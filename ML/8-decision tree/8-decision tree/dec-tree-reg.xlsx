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MYLEARN\2-ANALYTICS-DataScience\ML\decision tree\"/>
    </mc:Choice>
  </mc:AlternateContent>
  <xr:revisionPtr revIDLastSave="0" documentId="13_ncr:1_{8D4A692B-D325-4363-83E1-14B9BDAA225D}" xr6:coauthVersionLast="40" xr6:coauthVersionMax="40" xr10:uidLastSave="{00000000-0000-0000-0000-000000000000}"/>
  <bookViews>
    <workbookView xWindow="0" yWindow="0" windowWidth="22650" windowHeight="11310" xr2:uid="{A4C059AB-F423-4E3A-B225-995353BFAD26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9" i="1" l="1"/>
  <c r="C60" i="1"/>
  <c r="C49" i="1"/>
  <c r="C50" i="1"/>
  <c r="C29" i="1"/>
  <c r="C40" i="1"/>
  <c r="C39" i="1"/>
  <c r="C28" i="1"/>
  <c r="G4" i="1"/>
  <c r="H4" i="1" s="1"/>
  <c r="G9" i="1"/>
  <c r="H9" i="1" s="1"/>
  <c r="G15" i="1"/>
  <c r="H15" i="1" s="1"/>
  <c r="F18" i="1"/>
  <c r="G6" i="1" s="1"/>
  <c r="H6" i="1" s="1"/>
  <c r="G13" i="1" l="1"/>
  <c r="H13" i="1" s="1"/>
  <c r="G8" i="1"/>
  <c r="H8" i="1" s="1"/>
  <c r="G3" i="1"/>
  <c r="H3" i="1" s="1"/>
  <c r="I3" i="1" s="1"/>
  <c r="J3" i="1" s="1"/>
  <c r="G12" i="1"/>
  <c r="H12" i="1" s="1"/>
  <c r="G7" i="1"/>
  <c r="H7" i="1" s="1"/>
  <c r="G16" i="1"/>
  <c r="H16" i="1" s="1"/>
  <c r="G11" i="1"/>
  <c r="H11" i="1" s="1"/>
  <c r="G5" i="1"/>
  <c r="H5" i="1" s="1"/>
  <c r="G14" i="1"/>
  <c r="H14" i="1" s="1"/>
  <c r="G10" i="1"/>
  <c r="H10" i="1" s="1"/>
</calcChain>
</file>

<file path=xl/sharedStrings.xml><?xml version="1.0" encoding="utf-8"?>
<sst xmlns="http://schemas.openxmlformats.org/spreadsheetml/2006/main" count="139" uniqueCount="37">
  <si>
    <t>Outlook</t>
  </si>
  <si>
    <t>Temp</t>
  </si>
  <si>
    <t>Humidity</t>
  </si>
  <si>
    <t>Windy</t>
  </si>
  <si>
    <t>Hours Played</t>
  </si>
  <si>
    <t>Rainy</t>
  </si>
  <si>
    <t>Overcast</t>
  </si>
  <si>
    <t>Sunny</t>
  </si>
  <si>
    <t>Hot</t>
  </si>
  <si>
    <t>High</t>
  </si>
  <si>
    <t>Mild</t>
  </si>
  <si>
    <t>Cool</t>
  </si>
  <si>
    <t>Normal</t>
  </si>
  <si>
    <t>mean</t>
  </si>
  <si>
    <t>S.D</t>
  </si>
  <si>
    <t>Var</t>
  </si>
  <si>
    <t>Grand Total</t>
  </si>
  <si>
    <t>Count of Outlook</t>
  </si>
  <si>
    <t>StdDevp of Hours Played</t>
  </si>
  <si>
    <t xml:space="preserve">SD (Hours, Outlook) = </t>
  </si>
  <si>
    <t>p(Sunny) * SD(Sunny) + p(Overcast) * SD(overcast) + p(Rainy)* SD(Rainy)</t>
  </si>
  <si>
    <t>Count of Temp</t>
  </si>
  <si>
    <t>Count of Humidity</t>
  </si>
  <si>
    <t>FALSE</t>
  </si>
  <si>
    <t>TRUE</t>
  </si>
  <si>
    <t>Count of Windy</t>
  </si>
  <si>
    <t xml:space="preserve">SDR </t>
  </si>
  <si>
    <t xml:space="preserve">SD (Hours, Temp) = </t>
  </si>
  <si>
    <t>p(Cool) * SD(Cool) + p(Hot) * SD(Hot) + p(Mild)* SD(Mild)</t>
  </si>
  <si>
    <t xml:space="preserve">SD (Hours, Humidity) = </t>
  </si>
  <si>
    <t>p(High) * SD(High) + p(Normal) * SD(Normal)</t>
  </si>
  <si>
    <t xml:space="preserve">SD (Hours, Windy) = </t>
  </si>
  <si>
    <t xml:space="preserve">p(FALSE) * SD(FALSE) + p(TRUE) * SD(TRUE) </t>
  </si>
  <si>
    <t>split on 'outlook' feature</t>
  </si>
  <si>
    <t>Dataset is divided based on the values of the selected feature</t>
  </si>
  <si>
    <t>(x -  mean)</t>
  </si>
  <si>
    <t>(x- mean) ^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</si>
</sst>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Arial"/>
      <family val="2"/>
    </font>
    <font>
      <b/>
      <sz val="16"/>
      <name val="Gill Sans MT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5" xfId="0" applyFont="1" applyFill="1" applyBorder="1"/>
    <xf numFmtId="0" fontId="3" fillId="3" borderId="5" xfId="0" applyFont="1" applyFill="1" applyBorder="1"/>
    <xf numFmtId="0" fontId="3" fillId="3" borderId="0" xfId="0" applyFont="1" applyFill="1" applyBorder="1"/>
    <xf numFmtId="0" fontId="4" fillId="0" borderId="0" xfId="0" applyFont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 applyAlignment="1">
      <alignment horizontal="center"/>
    </xf>
    <xf numFmtId="0" fontId="4" fillId="0" borderId="1" xfId="0" applyFont="1" applyBorder="1"/>
    <xf numFmtId="0" fontId="4" fillId="0" borderId="8" xfId="0" applyFont="1" applyBorder="1"/>
    <xf numFmtId="0" fontId="4" fillId="0" borderId="4" xfId="0" applyFont="1" applyBorder="1"/>
    <xf numFmtId="0" fontId="4" fillId="0" borderId="0" xfId="0" applyFont="1" applyBorder="1"/>
    <xf numFmtId="0" fontId="4" fillId="0" borderId="9" xfId="0" applyFont="1" applyBorder="1"/>
    <xf numFmtId="0" fontId="4" fillId="0" borderId="2" xfId="0" applyFont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3" xfId="0" applyFont="1" applyBorder="1"/>
    <xf numFmtId="0" fontId="2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NumberFormat="1" applyFont="1" applyBorder="1"/>
    <xf numFmtId="0" fontId="0" fillId="0" borderId="6" xfId="0" pivotButton="1" applyBorder="1"/>
    <xf numFmtId="0" fontId="0" fillId="0" borderId="7" xfId="0" applyBorder="1"/>
    <xf numFmtId="0" fontId="0" fillId="0" borderId="4" xfId="0" applyBorder="1" applyAlignment="1">
      <alignment horizontal="left"/>
    </xf>
    <xf numFmtId="0" fontId="0" fillId="0" borderId="0" xfId="0" applyNumberFormat="1" applyBorder="1"/>
    <xf numFmtId="0" fontId="2" fillId="0" borderId="0" xfId="0" applyFont="1" applyBorder="1"/>
    <xf numFmtId="0" fontId="2" fillId="0" borderId="11" xfId="0" applyFont="1" applyBorder="1"/>
    <xf numFmtId="0" fontId="4" fillId="0" borderId="4" xfId="0" pivotButton="1" applyFont="1" applyBorder="1"/>
    <xf numFmtId="0" fontId="1" fillId="0" borderId="0" xfId="0" applyFont="1"/>
    <xf numFmtId="0" fontId="2" fillId="0" borderId="10" xfId="0" applyFont="1" applyBorder="1"/>
    <xf numFmtId="0" fontId="0" fillId="0" borderId="0" xfId="0" applyBorder="1"/>
    <xf numFmtId="0" fontId="0" fillId="0" borderId="4" xfId="0" applyBorder="1"/>
    <xf numFmtId="0" fontId="1" fillId="0" borderId="0" xfId="0" applyFont="1" applyBorder="1"/>
    <xf numFmtId="0" fontId="0" fillId="0" borderId="11" xfId="0" applyBorder="1"/>
    <xf numFmtId="0" fontId="2" fillId="4" borderId="11" xfId="0" applyFont="1" applyFill="1" applyBorder="1"/>
    <xf numFmtId="0" fontId="2" fillId="0" borderId="11" xfId="0" applyFont="1" applyFill="1" applyBorder="1"/>
    <xf numFmtId="0" fontId="2" fillId="0" borderId="0" xfId="0" applyFont="1" applyFill="1" applyBorder="1"/>
    <xf numFmtId="0" fontId="5" fillId="0" borderId="0" xfId="0" applyFont="1" applyAlignment="1">
      <alignment horizontal="left" vertical="center" indent="2" readingOrder="1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 indent="2" readingOrder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5" borderId="5" xfId="0" applyFont="1" applyFill="1" applyBorder="1"/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</cellXfs>
  <cellStyles count="1">
    <cellStyle name="Normal" xfId="0" builtinId="0"/>
  </cellStyles>
  <dxfs count="48"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3468.801452199077" createdVersion="6" refreshedVersion="6" minRefreshableVersion="3" recordCount="14" xr:uid="{BBC90A9D-AC61-4A9D-B74A-51F8C3018266}">
  <cacheSource type="worksheet">
    <worksheetSource ref="B2:F16" sheet="Sheet1"/>
  </cacheSource>
  <cacheFields count="5">
    <cacheField name="Outlook" numFmtId="0">
      <sharedItems count="3">
        <s v="Rainy"/>
        <s v="Overcast"/>
        <s v="Sunny"/>
      </sharedItems>
    </cacheField>
    <cacheField name="Temp" numFmtId="0">
      <sharedItems count="3">
        <s v="Hot"/>
        <s v="Mild"/>
        <s v="Cool"/>
      </sharedItems>
    </cacheField>
    <cacheField name="Humidity" numFmtId="0">
      <sharedItems count="2">
        <s v="High"/>
        <s v="Normal"/>
      </sharedItems>
    </cacheField>
    <cacheField name="Windy" numFmtId="0">
      <sharedItems count="2">
        <b v="0"/>
        <b v="1"/>
      </sharedItems>
    </cacheField>
    <cacheField name="Hours Played" numFmtId="0">
      <sharedItems containsSemiMixedTypes="0" containsString="0" containsNumber="1" containsInteger="1" minValue="23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  <x v="0"/>
    <n v="25"/>
  </r>
  <r>
    <x v="0"/>
    <x v="0"/>
    <x v="0"/>
    <x v="1"/>
    <n v="30"/>
  </r>
  <r>
    <x v="1"/>
    <x v="0"/>
    <x v="0"/>
    <x v="0"/>
    <n v="46"/>
  </r>
  <r>
    <x v="2"/>
    <x v="1"/>
    <x v="0"/>
    <x v="0"/>
    <n v="45"/>
  </r>
  <r>
    <x v="2"/>
    <x v="2"/>
    <x v="1"/>
    <x v="0"/>
    <n v="52"/>
  </r>
  <r>
    <x v="2"/>
    <x v="2"/>
    <x v="1"/>
    <x v="1"/>
    <n v="23"/>
  </r>
  <r>
    <x v="1"/>
    <x v="2"/>
    <x v="1"/>
    <x v="1"/>
    <n v="43"/>
  </r>
  <r>
    <x v="0"/>
    <x v="1"/>
    <x v="0"/>
    <x v="0"/>
    <n v="35"/>
  </r>
  <r>
    <x v="0"/>
    <x v="2"/>
    <x v="1"/>
    <x v="0"/>
    <n v="38"/>
  </r>
  <r>
    <x v="2"/>
    <x v="1"/>
    <x v="1"/>
    <x v="0"/>
    <n v="46"/>
  </r>
  <r>
    <x v="0"/>
    <x v="1"/>
    <x v="1"/>
    <x v="1"/>
    <n v="48"/>
  </r>
  <r>
    <x v="1"/>
    <x v="1"/>
    <x v="0"/>
    <x v="1"/>
    <n v="52"/>
  </r>
  <r>
    <x v="1"/>
    <x v="0"/>
    <x v="1"/>
    <x v="0"/>
    <n v="44"/>
  </r>
  <r>
    <x v="2"/>
    <x v="1"/>
    <x v="0"/>
    <x v="1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66201-8B45-4932-8343-2CDC79410B0D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Windy">
  <location ref="B53:D56" firstHeaderRow="0" firstDataRow="1" firstDataCol="1"/>
  <pivotFields count="5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Windy" fld="3" subtotal="count" baseField="0" baseItem="0"/>
    <dataField name="StdDevp of Hours Played" fld="4" subtotal="stdDevp" baseField="3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D1CBF-486C-411E-AD62-8ABE5517337A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umidity">
  <location ref="B43:D46" firstHeaderRow="0" firstDataRow="1" firstDataCol="1"/>
  <pivotFields count="5"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umidity" fld="2" subtotal="count" baseField="0" baseItem="0"/>
    <dataField name="StdDevp of Hours Played" fld="4" subtotal="stdDevp" baseField="2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A90B7-E329-4199-81A6-472C47F627C9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Temp">
  <location ref="B32:D36" firstHeaderRow="0" firstDataRow="1" firstDataCol="1"/>
  <pivotFields count="5"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emp" fld="1" subtotal="count" baseField="0" baseItem="0"/>
    <dataField name="StdDevp of Hours Played" fld="4" subtotal="stdDevp" baseField="1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EE8FC-EDE4-41B9-B4E3-AFF5599C89B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Outlook">
  <location ref="B21:D25" firstHeaderRow="0" firstDataRow="1" firstDataCol="1"/>
  <pivotFields count="5"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utlook" fld="0" subtotal="count" baseField="0" baseItem="0"/>
    <dataField name="StdDevp of Hours Played" fld="4" subtotal="stdDevp" baseField="0" baseItem="2"/>
  </dataFields>
  <formats count="18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BF17-7E26-493D-9488-7ABAEADFFC32}">
  <dimension ref="B2:J81"/>
  <sheetViews>
    <sheetView tabSelected="1" topLeftCell="A16" zoomScale="130" zoomScaleNormal="130" workbookViewId="0">
      <selection activeCell="B21" sqref="B21"/>
    </sheetView>
  </sheetViews>
  <sheetFormatPr defaultRowHeight="15.75" x14ac:dyDescent="0.25"/>
  <cols>
    <col min="1" max="1" width="9.140625" style="4"/>
    <col min="2" max="2" width="21.5703125" style="4" customWidth="1"/>
    <col min="3" max="3" width="17.85546875" style="4" customWidth="1"/>
    <col min="4" max="4" width="26.42578125" style="4" customWidth="1"/>
    <col min="5" max="6" width="16.140625" style="4" customWidth="1"/>
    <col min="7" max="7" width="12.5703125" style="4" customWidth="1"/>
    <col min="8" max="8" width="15" style="4" customWidth="1"/>
    <col min="9" max="9" width="9.85546875" style="4" customWidth="1"/>
    <col min="10" max="10" width="10" style="4" customWidth="1"/>
    <col min="11" max="16384" width="9.140625" style="4"/>
  </cols>
  <sheetData>
    <row r="2" spans="2:10" ht="16.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48" t="s">
        <v>4</v>
      </c>
      <c r="G2" s="3" t="s">
        <v>35</v>
      </c>
      <c r="H2" s="3" t="s">
        <v>36</v>
      </c>
      <c r="I2" s="3" t="s">
        <v>15</v>
      </c>
      <c r="J2" s="3" t="s">
        <v>14</v>
      </c>
    </row>
    <row r="3" spans="2:10" x14ac:dyDescent="0.25">
      <c r="B3" s="5" t="s">
        <v>5</v>
      </c>
      <c r="C3" s="6" t="s">
        <v>8</v>
      </c>
      <c r="D3" s="6" t="s">
        <v>9</v>
      </c>
      <c r="E3" s="7" t="b">
        <v>0</v>
      </c>
      <c r="F3" s="49">
        <v>25</v>
      </c>
      <c r="G3" s="5">
        <f xml:space="preserve"> F3 - $F$18</f>
        <v>-14.785714285714285</v>
      </c>
      <c r="H3" s="9">
        <f xml:space="preserve"> G3*G3</f>
        <v>218.61734693877548</v>
      </c>
      <c r="I3" s="42">
        <f>SUM(H3:H16)/COUNT(H3:H16)</f>
        <v>86.882653061224488</v>
      </c>
      <c r="J3" s="45">
        <f xml:space="preserve"> SQRT(I3)</f>
        <v>9.321086474291743</v>
      </c>
    </row>
    <row r="4" spans="2:10" x14ac:dyDescent="0.25">
      <c r="B4" s="10" t="s">
        <v>5</v>
      </c>
      <c r="C4" s="11" t="s">
        <v>8</v>
      </c>
      <c r="D4" s="11" t="s">
        <v>9</v>
      </c>
      <c r="E4" s="12" t="b">
        <v>1</v>
      </c>
      <c r="F4" s="50">
        <v>30</v>
      </c>
      <c r="G4" s="10">
        <f t="shared" ref="G4:G16" si="0" xml:space="preserve"> F4 - $F$18</f>
        <v>-9.7857142857142847</v>
      </c>
      <c r="H4" s="12">
        <f t="shared" ref="H4:H16" si="1" xml:space="preserve"> G4*G4</f>
        <v>95.760204081632637</v>
      </c>
      <c r="I4" s="43"/>
      <c r="J4" s="46"/>
    </row>
    <row r="5" spans="2:10" x14ac:dyDescent="0.25">
      <c r="B5" s="10" t="s">
        <v>6</v>
      </c>
      <c r="C5" s="11" t="s">
        <v>8</v>
      </c>
      <c r="D5" s="11" t="s">
        <v>9</v>
      </c>
      <c r="E5" s="14" t="b">
        <v>0</v>
      </c>
      <c r="F5" s="50">
        <v>46</v>
      </c>
      <c r="G5" s="10">
        <f t="shared" si="0"/>
        <v>6.2142857142857153</v>
      </c>
      <c r="H5" s="12">
        <f t="shared" si="1"/>
        <v>38.617346938775526</v>
      </c>
      <c r="I5" s="43"/>
      <c r="J5" s="46"/>
    </row>
    <row r="6" spans="2:10" x14ac:dyDescent="0.25">
      <c r="B6" s="10" t="s">
        <v>7</v>
      </c>
      <c r="C6" s="11" t="s">
        <v>10</v>
      </c>
      <c r="D6" s="11" t="s">
        <v>9</v>
      </c>
      <c r="E6" s="14" t="b">
        <v>0</v>
      </c>
      <c r="F6" s="50">
        <v>45</v>
      </c>
      <c r="G6" s="10">
        <f t="shared" si="0"/>
        <v>5.2142857142857153</v>
      </c>
      <c r="H6" s="12">
        <f t="shared" si="1"/>
        <v>27.188775510204092</v>
      </c>
      <c r="I6" s="43"/>
      <c r="J6" s="46"/>
    </row>
    <row r="7" spans="2:10" x14ac:dyDescent="0.25">
      <c r="B7" s="10" t="s">
        <v>7</v>
      </c>
      <c r="C7" s="11" t="s">
        <v>11</v>
      </c>
      <c r="D7" s="11" t="s">
        <v>12</v>
      </c>
      <c r="E7" s="14" t="b">
        <v>0</v>
      </c>
      <c r="F7" s="50">
        <v>52</v>
      </c>
      <c r="G7" s="10">
        <f t="shared" si="0"/>
        <v>12.214285714285715</v>
      </c>
      <c r="H7" s="12">
        <f t="shared" si="1"/>
        <v>149.1887755102041</v>
      </c>
      <c r="I7" s="43"/>
      <c r="J7" s="46"/>
    </row>
    <row r="8" spans="2:10" x14ac:dyDescent="0.25">
      <c r="B8" s="10" t="s">
        <v>7</v>
      </c>
      <c r="C8" s="11" t="s">
        <v>11</v>
      </c>
      <c r="D8" s="11" t="s">
        <v>12</v>
      </c>
      <c r="E8" s="12" t="b">
        <v>1</v>
      </c>
      <c r="F8" s="50">
        <v>23</v>
      </c>
      <c r="G8" s="10">
        <f t="shared" si="0"/>
        <v>-16.785714285714285</v>
      </c>
      <c r="H8" s="12">
        <f t="shared" si="1"/>
        <v>281.76020408163259</v>
      </c>
      <c r="I8" s="43"/>
      <c r="J8" s="46"/>
    </row>
    <row r="9" spans="2:10" x14ac:dyDescent="0.25">
      <c r="B9" s="10" t="s">
        <v>6</v>
      </c>
      <c r="C9" s="11" t="s">
        <v>11</v>
      </c>
      <c r="D9" s="11" t="s">
        <v>12</v>
      </c>
      <c r="E9" s="12" t="b">
        <v>1</v>
      </c>
      <c r="F9" s="50">
        <v>43</v>
      </c>
      <c r="G9" s="10">
        <f t="shared" si="0"/>
        <v>3.2142857142857153</v>
      </c>
      <c r="H9" s="12">
        <f t="shared" si="1"/>
        <v>10.331632653061231</v>
      </c>
      <c r="I9" s="43"/>
      <c r="J9" s="46"/>
    </row>
    <row r="10" spans="2:10" x14ac:dyDescent="0.25">
      <c r="B10" s="10" t="s">
        <v>5</v>
      </c>
      <c r="C10" s="11" t="s">
        <v>10</v>
      </c>
      <c r="D10" s="11" t="s">
        <v>9</v>
      </c>
      <c r="E10" s="14" t="b">
        <v>0</v>
      </c>
      <c r="F10" s="50">
        <v>35</v>
      </c>
      <c r="G10" s="10">
        <f t="shared" si="0"/>
        <v>-4.7857142857142847</v>
      </c>
      <c r="H10" s="12">
        <f t="shared" si="1"/>
        <v>22.903061224489786</v>
      </c>
      <c r="I10" s="43"/>
      <c r="J10" s="46"/>
    </row>
    <row r="11" spans="2:10" x14ac:dyDescent="0.25">
      <c r="B11" s="10" t="s">
        <v>5</v>
      </c>
      <c r="C11" s="11" t="s">
        <v>11</v>
      </c>
      <c r="D11" s="11" t="s">
        <v>12</v>
      </c>
      <c r="E11" s="14" t="b">
        <v>0</v>
      </c>
      <c r="F11" s="50">
        <v>38</v>
      </c>
      <c r="G11" s="10">
        <f t="shared" si="0"/>
        <v>-1.7857142857142847</v>
      </c>
      <c r="H11" s="12">
        <f t="shared" si="1"/>
        <v>3.1887755102040778</v>
      </c>
      <c r="I11" s="43"/>
      <c r="J11" s="46"/>
    </row>
    <row r="12" spans="2:10" x14ac:dyDescent="0.25">
      <c r="B12" s="10" t="s">
        <v>7</v>
      </c>
      <c r="C12" s="11" t="s">
        <v>10</v>
      </c>
      <c r="D12" s="11" t="s">
        <v>12</v>
      </c>
      <c r="E12" s="14" t="b">
        <v>0</v>
      </c>
      <c r="F12" s="50">
        <v>46</v>
      </c>
      <c r="G12" s="10">
        <f t="shared" si="0"/>
        <v>6.2142857142857153</v>
      </c>
      <c r="H12" s="12">
        <f t="shared" si="1"/>
        <v>38.617346938775526</v>
      </c>
      <c r="I12" s="43"/>
      <c r="J12" s="46"/>
    </row>
    <row r="13" spans="2:10" x14ac:dyDescent="0.25">
      <c r="B13" s="10" t="s">
        <v>5</v>
      </c>
      <c r="C13" s="11" t="s">
        <v>10</v>
      </c>
      <c r="D13" s="11" t="s">
        <v>12</v>
      </c>
      <c r="E13" s="12" t="b">
        <v>1</v>
      </c>
      <c r="F13" s="50">
        <v>48</v>
      </c>
      <c r="G13" s="10">
        <f t="shared" si="0"/>
        <v>8.2142857142857153</v>
      </c>
      <c r="H13" s="12">
        <f t="shared" si="1"/>
        <v>67.474489795918387</v>
      </c>
      <c r="I13" s="43"/>
      <c r="J13" s="46"/>
    </row>
    <row r="14" spans="2:10" x14ac:dyDescent="0.25">
      <c r="B14" s="10" t="s">
        <v>6</v>
      </c>
      <c r="C14" s="11" t="s">
        <v>10</v>
      </c>
      <c r="D14" s="11" t="s">
        <v>9</v>
      </c>
      <c r="E14" s="12" t="b">
        <v>1</v>
      </c>
      <c r="F14" s="50">
        <v>52</v>
      </c>
      <c r="G14" s="10">
        <f t="shared" si="0"/>
        <v>12.214285714285715</v>
      </c>
      <c r="H14" s="12">
        <f t="shared" si="1"/>
        <v>149.1887755102041</v>
      </c>
      <c r="I14" s="43"/>
      <c r="J14" s="46"/>
    </row>
    <row r="15" spans="2:10" x14ac:dyDescent="0.25">
      <c r="B15" s="10" t="s">
        <v>6</v>
      </c>
      <c r="C15" s="11" t="s">
        <v>8</v>
      </c>
      <c r="D15" s="11" t="s">
        <v>12</v>
      </c>
      <c r="E15" s="12" t="b">
        <v>0</v>
      </c>
      <c r="F15" s="50">
        <v>44</v>
      </c>
      <c r="G15" s="10">
        <f t="shared" si="0"/>
        <v>4.2142857142857153</v>
      </c>
      <c r="H15" s="12">
        <f t="shared" si="1"/>
        <v>17.760204081632661</v>
      </c>
      <c r="I15" s="43"/>
      <c r="J15" s="46"/>
    </row>
    <row r="16" spans="2:10" ht="16.5" thickBot="1" x14ac:dyDescent="0.3">
      <c r="B16" s="15" t="s">
        <v>7</v>
      </c>
      <c r="C16" s="16" t="s">
        <v>10</v>
      </c>
      <c r="D16" s="16" t="s">
        <v>9</v>
      </c>
      <c r="E16" s="17" t="b">
        <v>1</v>
      </c>
      <c r="F16" s="51">
        <v>30</v>
      </c>
      <c r="G16" s="15">
        <f t="shared" si="0"/>
        <v>-9.7857142857142847</v>
      </c>
      <c r="H16" s="17">
        <f t="shared" si="1"/>
        <v>95.760204081632637</v>
      </c>
      <c r="I16" s="44"/>
      <c r="J16" s="47"/>
    </row>
    <row r="18" spans="2:6" x14ac:dyDescent="0.25">
      <c r="E18" s="19" t="s">
        <v>13</v>
      </c>
      <c r="F18" s="19">
        <f>AVERAGE(F3:F16)</f>
        <v>39.785714285714285</v>
      </c>
    </row>
    <row r="19" spans="2:6" ht="16.5" thickBot="1" x14ac:dyDescent="0.3">
      <c r="E19" s="19"/>
      <c r="F19" s="19"/>
    </row>
    <row r="20" spans="2:6" x14ac:dyDescent="0.25">
      <c r="B20" s="5"/>
      <c r="C20" s="6"/>
      <c r="D20" s="6"/>
      <c r="E20" s="6"/>
      <c r="F20" s="9"/>
    </row>
    <row r="21" spans="2:6" x14ac:dyDescent="0.25">
      <c r="B21" s="28" t="s">
        <v>0</v>
      </c>
      <c r="C21" s="11" t="s">
        <v>17</v>
      </c>
      <c r="D21" s="11" t="s">
        <v>18</v>
      </c>
      <c r="E21" s="11"/>
      <c r="F21" s="12"/>
    </row>
    <row r="22" spans="2:6" x14ac:dyDescent="0.25">
      <c r="B22" s="20" t="s">
        <v>6</v>
      </c>
      <c r="C22" s="21">
        <v>4</v>
      </c>
      <c r="D22" s="21">
        <v>3.4910600109422352</v>
      </c>
      <c r="E22" s="11"/>
      <c r="F22" s="12"/>
    </row>
    <row r="23" spans="2:6" x14ac:dyDescent="0.25">
      <c r="B23" s="20" t="s">
        <v>5</v>
      </c>
      <c r="C23" s="21">
        <v>5</v>
      </c>
      <c r="D23" s="21">
        <v>7.7820305833374883</v>
      </c>
      <c r="E23" s="11"/>
      <c r="F23" s="12"/>
    </row>
    <row r="24" spans="2:6" x14ac:dyDescent="0.25">
      <c r="B24" s="20" t="s">
        <v>7</v>
      </c>
      <c r="C24" s="21">
        <v>5</v>
      </c>
      <c r="D24" s="21">
        <v>10.870142593360953</v>
      </c>
      <c r="E24" s="11"/>
      <c r="F24" s="12"/>
    </row>
    <row r="25" spans="2:6" x14ac:dyDescent="0.25">
      <c r="B25" s="20" t="s">
        <v>16</v>
      </c>
      <c r="C25" s="21">
        <v>14</v>
      </c>
      <c r="D25" s="21">
        <v>9.321086474291743</v>
      </c>
      <c r="E25" s="11"/>
      <c r="F25" s="12"/>
    </row>
    <row r="26" spans="2:6" x14ac:dyDescent="0.25">
      <c r="B26" s="10"/>
      <c r="C26" s="11"/>
      <c r="D26" s="11"/>
      <c r="E26" s="11"/>
      <c r="F26" s="12"/>
    </row>
    <row r="27" spans="2:6" x14ac:dyDescent="0.25">
      <c r="B27" s="10" t="s">
        <v>19</v>
      </c>
      <c r="C27" s="11" t="s">
        <v>20</v>
      </c>
      <c r="D27" s="11"/>
      <c r="E27" s="11"/>
      <c r="F27" s="12"/>
    </row>
    <row r="28" spans="2:6" x14ac:dyDescent="0.25">
      <c r="B28" s="10"/>
      <c r="C28" s="11">
        <f xml:space="preserve"> (4/14) * 3.49 + (5/14) * 7.78 + (5/14) * 10.87</f>
        <v>7.6578571428571429</v>
      </c>
      <c r="D28" s="11"/>
      <c r="E28" s="11"/>
      <c r="F28" s="12"/>
    </row>
    <row r="29" spans="2:6" ht="16.5" thickBot="1" x14ac:dyDescent="0.3">
      <c r="B29" s="30" t="s">
        <v>26</v>
      </c>
      <c r="C29" s="35">
        <f xml:space="preserve"> 9.32 - C28</f>
        <v>1.6621428571428574</v>
      </c>
      <c r="D29" s="16"/>
      <c r="E29" s="16"/>
      <c r="F29" s="17"/>
    </row>
    <row r="30" spans="2:6" x14ac:dyDescent="0.25">
      <c r="B30" s="26"/>
      <c r="C30" s="37"/>
      <c r="D30" s="11"/>
      <c r="E30" s="11"/>
      <c r="F30" s="11"/>
    </row>
    <row r="31" spans="2:6" ht="16.5" thickBot="1" x14ac:dyDescent="0.3"/>
    <row r="32" spans="2:6" x14ac:dyDescent="0.25">
      <c r="B32" s="22" t="s">
        <v>1</v>
      </c>
      <c r="C32" s="23" t="s">
        <v>21</v>
      </c>
      <c r="D32" s="23" t="s">
        <v>18</v>
      </c>
      <c r="E32" s="6"/>
      <c r="F32" s="9"/>
    </row>
    <row r="33" spans="2:6" x14ac:dyDescent="0.25">
      <c r="B33" s="24" t="s">
        <v>11</v>
      </c>
      <c r="C33" s="25">
        <v>4</v>
      </c>
      <c r="D33" s="25">
        <v>10.51189802081432</v>
      </c>
      <c r="E33" s="11"/>
      <c r="F33" s="12"/>
    </row>
    <row r="34" spans="2:6" x14ac:dyDescent="0.25">
      <c r="B34" s="24" t="s">
        <v>8</v>
      </c>
      <c r="C34" s="25">
        <v>4</v>
      </c>
      <c r="D34" s="25">
        <v>8.954747344286158</v>
      </c>
      <c r="E34" s="11"/>
      <c r="F34" s="12"/>
    </row>
    <row r="35" spans="2:6" x14ac:dyDescent="0.25">
      <c r="B35" s="24" t="s">
        <v>10</v>
      </c>
      <c r="C35" s="25">
        <v>6</v>
      </c>
      <c r="D35" s="25">
        <v>7.6521601888326645</v>
      </c>
      <c r="E35" s="11"/>
      <c r="F35" s="12"/>
    </row>
    <row r="36" spans="2:6" x14ac:dyDescent="0.25">
      <c r="B36" s="24" t="s">
        <v>16</v>
      </c>
      <c r="C36" s="25">
        <v>14</v>
      </c>
      <c r="D36" s="25">
        <v>9.321086474291743</v>
      </c>
      <c r="E36" s="11"/>
      <c r="F36" s="12"/>
    </row>
    <row r="37" spans="2:6" x14ac:dyDescent="0.25">
      <c r="B37" s="32"/>
      <c r="C37" s="31"/>
      <c r="D37" s="31"/>
      <c r="E37" s="11"/>
      <c r="F37" s="12"/>
    </row>
    <row r="38" spans="2:6" x14ac:dyDescent="0.25">
      <c r="B38" s="10" t="s">
        <v>27</v>
      </c>
      <c r="C38" s="11" t="s">
        <v>28</v>
      </c>
      <c r="D38" s="11"/>
      <c r="E38" s="11"/>
      <c r="F38" s="12"/>
    </row>
    <row r="39" spans="2:6" x14ac:dyDescent="0.25">
      <c r="B39" s="32"/>
      <c r="C39" s="33">
        <f xml:space="preserve"> (4/14) * 10.51 + (4/14) * 8.95 + (6/14) * 7.65</f>
        <v>8.8385714285714272</v>
      </c>
      <c r="D39" s="31"/>
      <c r="E39" s="11"/>
      <c r="F39" s="12"/>
    </row>
    <row r="40" spans="2:6" ht="16.5" thickBot="1" x14ac:dyDescent="0.3">
      <c r="B40" s="30" t="s">
        <v>26</v>
      </c>
      <c r="C40" s="27">
        <f xml:space="preserve"> 9.32 - C39</f>
        <v>0.48142857142857309</v>
      </c>
      <c r="D40" s="34"/>
      <c r="E40" s="16"/>
      <c r="F40" s="17"/>
    </row>
    <row r="41" spans="2:6" x14ac:dyDescent="0.25">
      <c r="B41"/>
      <c r="C41" s="29"/>
      <c r="D41"/>
    </row>
    <row r="42" spans="2:6" ht="16.5" thickBot="1" x14ac:dyDescent="0.3">
      <c r="B42"/>
      <c r="C42"/>
      <c r="D42"/>
    </row>
    <row r="43" spans="2:6" x14ac:dyDescent="0.25">
      <c r="B43" s="22" t="s">
        <v>2</v>
      </c>
      <c r="C43" s="23" t="s">
        <v>22</v>
      </c>
      <c r="D43" s="23" t="s">
        <v>18</v>
      </c>
      <c r="E43" s="6"/>
      <c r="F43" s="9"/>
    </row>
    <row r="44" spans="2:6" x14ac:dyDescent="0.25">
      <c r="B44" s="24" t="s">
        <v>9</v>
      </c>
      <c r="C44" s="25">
        <v>7</v>
      </c>
      <c r="D44" s="25">
        <v>9.3634112046708218</v>
      </c>
      <c r="E44" s="11"/>
      <c r="F44" s="12"/>
    </row>
    <row r="45" spans="2:6" x14ac:dyDescent="0.25">
      <c r="B45" s="24" t="s">
        <v>12</v>
      </c>
      <c r="C45" s="25">
        <v>7</v>
      </c>
      <c r="D45" s="25">
        <v>8.734169352933014</v>
      </c>
      <c r="E45" s="11"/>
      <c r="F45" s="12"/>
    </row>
    <row r="46" spans="2:6" x14ac:dyDescent="0.25">
      <c r="B46" s="24" t="s">
        <v>16</v>
      </c>
      <c r="C46" s="25">
        <v>14</v>
      </c>
      <c r="D46" s="25">
        <v>9.321086474291743</v>
      </c>
      <c r="E46" s="11"/>
      <c r="F46" s="12"/>
    </row>
    <row r="47" spans="2:6" x14ac:dyDescent="0.25">
      <c r="B47" s="32"/>
      <c r="C47" s="31"/>
      <c r="D47" s="31"/>
      <c r="E47" s="11"/>
      <c r="F47" s="12"/>
    </row>
    <row r="48" spans="2:6" x14ac:dyDescent="0.25">
      <c r="B48" s="10" t="s">
        <v>29</v>
      </c>
      <c r="C48" s="11" t="s">
        <v>30</v>
      </c>
      <c r="D48" s="11"/>
      <c r="E48" s="11"/>
      <c r="F48" s="12"/>
    </row>
    <row r="49" spans="2:6" x14ac:dyDescent="0.25">
      <c r="B49" s="10"/>
      <c r="C49" s="11">
        <f xml:space="preserve"> (7/14) * 9.36 + (7/14) * 8.73</f>
        <v>9.0449999999999999</v>
      </c>
      <c r="D49" s="11"/>
      <c r="E49" s="11"/>
      <c r="F49" s="12"/>
    </row>
    <row r="50" spans="2:6" ht="16.5" thickBot="1" x14ac:dyDescent="0.3">
      <c r="B50" s="30" t="s">
        <v>26</v>
      </c>
      <c r="C50" s="36">
        <f xml:space="preserve"> 9.32 - C49</f>
        <v>0.27500000000000036</v>
      </c>
      <c r="D50" s="16"/>
      <c r="E50" s="16"/>
      <c r="F50" s="17"/>
    </row>
    <row r="51" spans="2:6" x14ac:dyDescent="0.25">
      <c r="B51" s="26"/>
      <c r="C51" s="37"/>
      <c r="D51" s="11"/>
      <c r="E51" s="11"/>
      <c r="F51" s="11"/>
    </row>
    <row r="52" spans="2:6" ht="16.5" thickBot="1" x14ac:dyDescent="0.3">
      <c r="B52"/>
      <c r="C52"/>
      <c r="D52"/>
    </row>
    <row r="53" spans="2:6" x14ac:dyDescent="0.25">
      <c r="B53" s="22" t="s">
        <v>3</v>
      </c>
      <c r="C53" s="23" t="s">
        <v>25</v>
      </c>
      <c r="D53" s="23" t="s">
        <v>18</v>
      </c>
      <c r="E53" s="6"/>
      <c r="F53" s="9"/>
    </row>
    <row r="54" spans="2:6" x14ac:dyDescent="0.25">
      <c r="B54" s="24" t="s">
        <v>23</v>
      </c>
      <c r="C54" s="25">
        <v>8</v>
      </c>
      <c r="D54" s="25">
        <v>7.8730156229998682</v>
      </c>
      <c r="E54" s="11"/>
      <c r="F54" s="12"/>
    </row>
    <row r="55" spans="2:6" x14ac:dyDescent="0.25">
      <c r="B55" s="24" t="s">
        <v>24</v>
      </c>
      <c r="C55" s="25">
        <v>6</v>
      </c>
      <c r="D55" s="25">
        <v>10.593499054713803</v>
      </c>
      <c r="E55" s="11"/>
      <c r="F55" s="12"/>
    </row>
    <row r="56" spans="2:6" x14ac:dyDescent="0.25">
      <c r="B56" s="24" t="s">
        <v>16</v>
      </c>
      <c r="C56" s="25">
        <v>14</v>
      </c>
      <c r="D56" s="25">
        <v>9.321086474291743</v>
      </c>
      <c r="E56" s="11"/>
      <c r="F56" s="12"/>
    </row>
    <row r="57" spans="2:6" x14ac:dyDescent="0.25">
      <c r="B57" s="32"/>
      <c r="C57" s="31"/>
      <c r="D57" s="31"/>
      <c r="E57" s="11"/>
      <c r="F57" s="12"/>
    </row>
    <row r="58" spans="2:6" x14ac:dyDescent="0.25">
      <c r="B58" s="10" t="s">
        <v>31</v>
      </c>
      <c r="C58" s="11" t="s">
        <v>32</v>
      </c>
      <c r="D58" s="11"/>
      <c r="E58" s="11"/>
      <c r="F58" s="12"/>
    </row>
    <row r="59" spans="2:6" x14ac:dyDescent="0.25">
      <c r="B59" s="10"/>
      <c r="C59" s="11">
        <f xml:space="preserve"> (7/14) * 7.87 + (7/14) * 10.59</f>
        <v>9.23</v>
      </c>
      <c r="D59" s="11"/>
      <c r="E59" s="11"/>
      <c r="F59" s="12"/>
    </row>
    <row r="60" spans="2:6" ht="16.5" thickBot="1" x14ac:dyDescent="0.3">
      <c r="B60" s="30" t="s">
        <v>26</v>
      </c>
      <c r="C60" s="36">
        <f xml:space="preserve"> 9.32 - C59</f>
        <v>8.9999999999999858E-2</v>
      </c>
      <c r="D60" s="16"/>
      <c r="E60" s="16"/>
      <c r="F60" s="17"/>
    </row>
    <row r="61" spans="2:6" x14ac:dyDescent="0.25">
      <c r="B61"/>
      <c r="C61"/>
      <c r="D61"/>
    </row>
    <row r="62" spans="2:6" s="40" customFormat="1" ht="24.75" x14ac:dyDescent="0.25">
      <c r="B62" s="41" t="s">
        <v>34</v>
      </c>
      <c r="C62" s="39"/>
      <c r="D62" s="39"/>
    </row>
    <row r="63" spans="2:6" s="40" customFormat="1" ht="20.25" x14ac:dyDescent="0.25">
      <c r="B63" s="38" t="s">
        <v>33</v>
      </c>
      <c r="C63" s="39"/>
      <c r="D63" s="39"/>
    </row>
    <row r="64" spans="2:6" x14ac:dyDescent="0.25">
      <c r="B64"/>
      <c r="C64"/>
      <c r="D64"/>
    </row>
    <row r="65" spans="2:6" ht="16.5" thickBot="1" x14ac:dyDescent="0.3">
      <c r="B65" s="1" t="s">
        <v>0</v>
      </c>
      <c r="C65" s="1" t="s">
        <v>1</v>
      </c>
      <c r="D65" s="1" t="s">
        <v>2</v>
      </c>
      <c r="E65" s="1" t="s">
        <v>3</v>
      </c>
      <c r="F65" s="2" t="s">
        <v>4</v>
      </c>
    </row>
    <row r="66" spans="2:6" x14ac:dyDescent="0.25">
      <c r="B66" s="5" t="s">
        <v>6</v>
      </c>
      <c r="C66" s="6" t="s">
        <v>8</v>
      </c>
      <c r="D66" s="6" t="s">
        <v>9</v>
      </c>
      <c r="E66" s="7" t="b">
        <v>0</v>
      </c>
      <c r="F66" s="8">
        <v>46</v>
      </c>
    </row>
    <row r="67" spans="2:6" x14ac:dyDescent="0.25">
      <c r="B67" s="10" t="s">
        <v>6</v>
      </c>
      <c r="C67" s="11" t="s">
        <v>11</v>
      </c>
      <c r="D67" s="11" t="s">
        <v>12</v>
      </c>
      <c r="E67" s="12" t="b">
        <v>1</v>
      </c>
      <c r="F67" s="13">
        <v>43</v>
      </c>
    </row>
    <row r="68" spans="2:6" x14ac:dyDescent="0.25">
      <c r="B68" s="10" t="s">
        <v>6</v>
      </c>
      <c r="C68" s="11" t="s">
        <v>10</v>
      </c>
      <c r="D68" s="11" t="s">
        <v>9</v>
      </c>
      <c r="E68" s="12" t="b">
        <v>1</v>
      </c>
      <c r="F68" s="13">
        <v>52</v>
      </c>
    </row>
    <row r="69" spans="2:6" x14ac:dyDescent="0.25">
      <c r="B69" s="10" t="s">
        <v>6</v>
      </c>
      <c r="C69" s="11" t="s">
        <v>8</v>
      </c>
      <c r="D69" s="11" t="s">
        <v>12</v>
      </c>
      <c r="E69" s="12" t="b">
        <v>0</v>
      </c>
      <c r="F69" s="13">
        <v>44</v>
      </c>
    </row>
    <row r="70" spans="2:6" x14ac:dyDescent="0.25">
      <c r="B70" s="10"/>
      <c r="C70" s="11"/>
      <c r="D70" s="11"/>
      <c r="E70" s="12"/>
      <c r="F70" s="13"/>
    </row>
    <row r="71" spans="2:6" x14ac:dyDescent="0.25">
      <c r="B71" s="10" t="s">
        <v>5</v>
      </c>
      <c r="C71" s="11" t="s">
        <v>8</v>
      </c>
      <c r="D71" s="11" t="s">
        <v>9</v>
      </c>
      <c r="E71" s="14" t="b">
        <v>0</v>
      </c>
      <c r="F71" s="13">
        <v>25</v>
      </c>
    </row>
    <row r="72" spans="2:6" x14ac:dyDescent="0.25">
      <c r="B72" s="10" t="s">
        <v>5</v>
      </c>
      <c r="C72" s="11" t="s">
        <v>8</v>
      </c>
      <c r="D72" s="11" t="s">
        <v>9</v>
      </c>
      <c r="E72" s="12" t="b">
        <v>1</v>
      </c>
      <c r="F72" s="13">
        <v>30</v>
      </c>
    </row>
    <row r="73" spans="2:6" x14ac:dyDescent="0.25">
      <c r="B73" s="10" t="s">
        <v>5</v>
      </c>
      <c r="C73" s="11" t="s">
        <v>10</v>
      </c>
      <c r="D73" s="11" t="s">
        <v>9</v>
      </c>
      <c r="E73" s="14" t="b">
        <v>0</v>
      </c>
      <c r="F73" s="13">
        <v>35</v>
      </c>
    </row>
    <row r="74" spans="2:6" x14ac:dyDescent="0.25">
      <c r="B74" s="10" t="s">
        <v>5</v>
      </c>
      <c r="C74" s="11" t="s">
        <v>11</v>
      </c>
      <c r="D74" s="11" t="s">
        <v>12</v>
      </c>
      <c r="E74" s="14" t="b">
        <v>0</v>
      </c>
      <c r="F74" s="13">
        <v>38</v>
      </c>
    </row>
    <row r="75" spans="2:6" x14ac:dyDescent="0.25">
      <c r="B75" s="10" t="s">
        <v>5</v>
      </c>
      <c r="C75" s="11" t="s">
        <v>10</v>
      </c>
      <c r="D75" s="11" t="s">
        <v>12</v>
      </c>
      <c r="E75" s="12" t="b">
        <v>1</v>
      </c>
      <c r="F75" s="13">
        <v>48</v>
      </c>
    </row>
    <row r="76" spans="2:6" x14ac:dyDescent="0.25">
      <c r="B76" s="10"/>
      <c r="C76" s="11"/>
      <c r="D76" s="11"/>
      <c r="E76" s="12"/>
      <c r="F76" s="13"/>
    </row>
    <row r="77" spans="2:6" x14ac:dyDescent="0.25">
      <c r="B77" s="10" t="s">
        <v>7</v>
      </c>
      <c r="C77" s="11" t="s">
        <v>10</v>
      </c>
      <c r="D77" s="11" t="s">
        <v>9</v>
      </c>
      <c r="E77" s="14" t="b">
        <v>0</v>
      </c>
      <c r="F77" s="13">
        <v>45</v>
      </c>
    </row>
    <row r="78" spans="2:6" x14ac:dyDescent="0.25">
      <c r="B78" s="10" t="s">
        <v>7</v>
      </c>
      <c r="C78" s="11" t="s">
        <v>11</v>
      </c>
      <c r="D78" s="11" t="s">
        <v>12</v>
      </c>
      <c r="E78" s="14" t="b">
        <v>0</v>
      </c>
      <c r="F78" s="13">
        <v>52</v>
      </c>
    </row>
    <row r="79" spans="2:6" x14ac:dyDescent="0.25">
      <c r="B79" s="10" t="s">
        <v>7</v>
      </c>
      <c r="C79" s="11" t="s">
        <v>11</v>
      </c>
      <c r="D79" s="11" t="s">
        <v>12</v>
      </c>
      <c r="E79" s="12" t="b">
        <v>1</v>
      </c>
      <c r="F79" s="13">
        <v>23</v>
      </c>
    </row>
    <row r="80" spans="2:6" x14ac:dyDescent="0.25">
      <c r="B80" s="10" t="s">
        <v>7</v>
      </c>
      <c r="C80" s="11" t="s">
        <v>10</v>
      </c>
      <c r="D80" s="11" t="s">
        <v>12</v>
      </c>
      <c r="E80" s="14" t="b">
        <v>0</v>
      </c>
      <c r="F80" s="13">
        <v>46</v>
      </c>
    </row>
    <row r="81" spans="2:6" ht="16.5" thickBot="1" x14ac:dyDescent="0.3">
      <c r="B81" s="15" t="s">
        <v>7</v>
      </c>
      <c r="C81" s="16" t="s">
        <v>10</v>
      </c>
      <c r="D81" s="16" t="s">
        <v>9</v>
      </c>
      <c r="E81" s="17" t="b">
        <v>1</v>
      </c>
      <c r="F81" s="18">
        <v>30</v>
      </c>
    </row>
  </sheetData>
  <sortState xmlns:xlrd2="http://schemas.microsoft.com/office/spreadsheetml/2017/richdata2" ref="B66:F81">
    <sortCondition ref="B66:B81"/>
  </sortState>
  <mergeCells count="2">
    <mergeCell ref="I3:I16"/>
    <mergeCell ref="J3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2019-01-03T13:22:34Z</dcterms:created>
  <dcterms:modified xsi:type="dcterms:W3CDTF">2019-01-04T02:50:01Z</dcterms:modified>
</cp:coreProperties>
</file>