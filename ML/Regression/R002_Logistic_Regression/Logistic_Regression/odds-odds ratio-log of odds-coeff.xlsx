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LEARN\2-ANALYTICS-DataScience\ML\logit\"/>
    </mc:Choice>
  </mc:AlternateContent>
  <xr:revisionPtr revIDLastSave="0" documentId="13_ncr:1_{0490BE09-F3EE-4A2B-92C6-1B7D870F06B0}" xr6:coauthVersionLast="38" xr6:coauthVersionMax="38" xr10:uidLastSave="{00000000-0000-0000-0000-000000000000}"/>
  <bookViews>
    <workbookView xWindow="0" yWindow="0" windowWidth="24870" windowHeight="11340" xr2:uid="{BD25EE5B-ADB0-43EF-BFD7-DBBBC7DC7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1" l="1"/>
  <c r="C3" i="1" l="1"/>
  <c r="D5" i="1"/>
  <c r="D6" i="1"/>
  <c r="D20" i="1"/>
  <c r="D24" i="1"/>
  <c r="D26" i="1"/>
  <c r="C26" i="1"/>
  <c r="C24" i="1"/>
  <c r="C20" i="1"/>
  <c r="C31" i="1" l="1"/>
  <c r="D31" i="1" s="1"/>
  <c r="C30" i="1"/>
  <c r="D30" i="1" s="1"/>
  <c r="C29" i="1"/>
  <c r="D29" i="1" s="1"/>
  <c r="C27" i="1"/>
  <c r="D27" i="1" s="1"/>
  <c r="C28" i="1"/>
  <c r="D28" i="1" s="1"/>
  <c r="B6" i="1"/>
  <c r="C6" i="1" s="1"/>
  <c r="C5" i="1"/>
  <c r="C4" i="1"/>
  <c r="D4" i="1" s="1"/>
  <c r="B7" i="1" l="1"/>
  <c r="C7" i="1" l="1"/>
  <c r="D7" i="1" s="1"/>
  <c r="B8" i="1"/>
  <c r="B9" i="1" l="1"/>
  <c r="C8" i="1"/>
  <c r="D8" i="1" s="1"/>
  <c r="B10" i="1" l="1"/>
  <c r="C9" i="1"/>
  <c r="D9" i="1" s="1"/>
  <c r="B11" i="1" l="1"/>
  <c r="C10" i="1"/>
  <c r="D10" i="1" s="1"/>
  <c r="B12" i="1" l="1"/>
  <c r="C11" i="1"/>
  <c r="D11" i="1" s="1"/>
  <c r="B13" i="1" l="1"/>
  <c r="C12" i="1"/>
  <c r="D12" i="1" s="1"/>
  <c r="C13" i="1" l="1"/>
  <c r="D13" i="1" s="1"/>
  <c r="B14" i="1"/>
  <c r="C14" i="1" l="1"/>
  <c r="D14" i="1" s="1"/>
  <c r="B15" i="1"/>
  <c r="B16" i="1" l="1"/>
  <c r="C15" i="1"/>
  <c r="D15" i="1" s="1"/>
  <c r="B17" i="1" l="1"/>
  <c r="C16" i="1"/>
  <c r="D16" i="1" s="1"/>
  <c r="B18" i="1" l="1"/>
  <c r="C17" i="1"/>
  <c r="D17" i="1" s="1"/>
  <c r="C18" i="1" l="1"/>
  <c r="D18" i="1" s="1"/>
  <c r="B19" i="1"/>
  <c r="C19" i="1" l="1"/>
  <c r="D19" i="1" s="1"/>
  <c r="B21" i="1"/>
  <c r="C21" i="1" l="1"/>
  <c r="D21" i="1" s="1"/>
  <c r="B22" i="1"/>
  <c r="C22" i="1" l="1"/>
  <c r="D22" i="1" s="1"/>
  <c r="B23" i="1"/>
  <c r="B25" i="1" l="1"/>
  <c r="C25" i="1" s="1"/>
  <c r="D25" i="1" s="1"/>
  <c r="C23" i="1"/>
  <c r="D23" i="1" s="1"/>
</calcChain>
</file>

<file path=xl/sharedStrings.xml><?xml version="1.0" encoding="utf-8"?>
<sst xmlns="http://schemas.openxmlformats.org/spreadsheetml/2006/main" count="7" uniqueCount="7">
  <si>
    <t>probability</t>
  </si>
  <si>
    <t>odds</t>
  </si>
  <si>
    <t>transformation from probability to odds</t>
  </si>
  <si>
    <t xml:space="preserve">logodds  </t>
  </si>
  <si>
    <t>1/(1-1)</t>
  </si>
  <si>
    <t>infinity</t>
  </si>
  <si>
    <t>-infinity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</si>
</sst>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0" xfId="0" applyFont="1" applyFill="1"/>
    <xf numFmtId="0" fontId="3" fillId="0" borderId="0" xfId="0" applyFont="1"/>
    <xf numFmtId="0" fontId="1" fillId="2" borderId="1" xfId="0" applyFont="1" applyFill="1" applyBorder="1"/>
    <xf numFmtId="2" fontId="2" fillId="0" borderId="0" xfId="0" applyNumberFormat="1" applyFont="1"/>
    <xf numFmtId="0" fontId="1" fillId="3" borderId="0" xfId="0" applyFont="1" applyFill="1"/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Fill="1" applyBorder="1"/>
    <xf numFmtId="0" fontId="1" fillId="0" borderId="0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Probability VS Odds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Odds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Sheet1!$B$4:$B$25</c:f>
              <c:numCache>
                <c:formatCode>General</c:formatCode>
                <c:ptCount val="22"/>
                <c:pt idx="0">
                  <c:v>1E-3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0.15000000000000002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0.39999999999999997</c:v>
                </c:pt>
                <c:pt idx="10">
                  <c:v>0.44999999999999996</c:v>
                </c:pt>
                <c:pt idx="11">
                  <c:v>0.49999999999999994</c:v>
                </c:pt>
                <c:pt idx="12">
                  <c:v>0.54999999999999993</c:v>
                </c:pt>
                <c:pt idx="13">
                  <c:v>0.6</c:v>
                </c:pt>
                <c:pt idx="14">
                  <c:v>0.65</c:v>
                </c:pt>
                <c:pt idx="15">
                  <c:v>0.70000000000000007</c:v>
                </c:pt>
                <c:pt idx="16">
                  <c:v>0.73099999999999998</c:v>
                </c:pt>
                <c:pt idx="17">
                  <c:v>0.75000000000000011</c:v>
                </c:pt>
                <c:pt idx="18">
                  <c:v>0.80000000000000016</c:v>
                </c:pt>
                <c:pt idx="19">
                  <c:v>0.8500000000000002</c:v>
                </c:pt>
                <c:pt idx="20">
                  <c:v>0.88</c:v>
                </c:pt>
                <c:pt idx="21">
                  <c:v>0.90000000000000024</c:v>
                </c:pt>
              </c:numCache>
            </c:numRef>
          </c:xVal>
          <c:yVal>
            <c:numRef>
              <c:f>Sheet1!$C$4:$C$25</c:f>
              <c:numCache>
                <c:formatCode>General</c:formatCode>
                <c:ptCount val="22"/>
                <c:pt idx="0">
                  <c:v>1.001001001001001E-3</c:v>
                </c:pt>
                <c:pt idx="1">
                  <c:v>1.0101010101010102E-2</c:v>
                </c:pt>
                <c:pt idx="2">
                  <c:v>5.2631578947368425E-2</c:v>
                </c:pt>
                <c:pt idx="3">
                  <c:v>0.11111111111111112</c:v>
                </c:pt>
                <c:pt idx="4">
                  <c:v>0.17647058823529416</c:v>
                </c:pt>
                <c:pt idx="5">
                  <c:v>0.25</c:v>
                </c:pt>
                <c:pt idx="6">
                  <c:v>0.33333333333333331</c:v>
                </c:pt>
                <c:pt idx="7">
                  <c:v>0.4285714285714286</c:v>
                </c:pt>
                <c:pt idx="8">
                  <c:v>0.53846153846153844</c:v>
                </c:pt>
                <c:pt idx="9">
                  <c:v>0.66666666666666652</c:v>
                </c:pt>
                <c:pt idx="10">
                  <c:v>0.81818181818181801</c:v>
                </c:pt>
                <c:pt idx="11">
                  <c:v>0.99999999999999989</c:v>
                </c:pt>
                <c:pt idx="12">
                  <c:v>1.2222222222222219</c:v>
                </c:pt>
                <c:pt idx="13">
                  <c:v>1.4999999999999998</c:v>
                </c:pt>
                <c:pt idx="14">
                  <c:v>1.8571428571428574</c:v>
                </c:pt>
                <c:pt idx="15">
                  <c:v>2.3333333333333339</c:v>
                </c:pt>
                <c:pt idx="16">
                  <c:v>2.7174721189591078</c:v>
                </c:pt>
                <c:pt idx="17">
                  <c:v>3.0000000000000018</c:v>
                </c:pt>
                <c:pt idx="18">
                  <c:v>4.0000000000000036</c:v>
                </c:pt>
                <c:pt idx="19">
                  <c:v>5.6666666666666758</c:v>
                </c:pt>
                <c:pt idx="20">
                  <c:v>7.3333333333333339</c:v>
                </c:pt>
                <c:pt idx="21">
                  <c:v>9.0000000000000249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8-4644-A098-F1DA49480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623784"/>
        <c:axId val="561626408"/>
      </c:scatterChart>
      <c:valAx>
        <c:axId val="561623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26408"/>
        <c:crosses val="autoZero"/>
        <c:crossBetween val="midCat"/>
      </c:valAx>
      <c:valAx>
        <c:axId val="56162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Odds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23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logodds VS Odds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logodds 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Sheet1!$C$4:$C$27</c:f>
              <c:numCache>
                <c:formatCode>General</c:formatCode>
                <c:ptCount val="24"/>
                <c:pt idx="0">
                  <c:v>1.001001001001001E-3</c:v>
                </c:pt>
                <c:pt idx="1">
                  <c:v>1.0101010101010102E-2</c:v>
                </c:pt>
                <c:pt idx="2">
                  <c:v>5.2631578947368425E-2</c:v>
                </c:pt>
                <c:pt idx="3">
                  <c:v>0.11111111111111112</c:v>
                </c:pt>
                <c:pt idx="4">
                  <c:v>0.17647058823529416</c:v>
                </c:pt>
                <c:pt idx="5">
                  <c:v>0.25</c:v>
                </c:pt>
                <c:pt idx="6">
                  <c:v>0.33333333333333331</c:v>
                </c:pt>
                <c:pt idx="7">
                  <c:v>0.4285714285714286</c:v>
                </c:pt>
                <c:pt idx="8">
                  <c:v>0.53846153846153844</c:v>
                </c:pt>
                <c:pt idx="9">
                  <c:v>0.66666666666666652</c:v>
                </c:pt>
                <c:pt idx="10">
                  <c:v>0.81818181818181801</c:v>
                </c:pt>
                <c:pt idx="11">
                  <c:v>0.99999999999999989</c:v>
                </c:pt>
                <c:pt idx="12">
                  <c:v>1.2222222222222219</c:v>
                </c:pt>
                <c:pt idx="13">
                  <c:v>1.4999999999999998</c:v>
                </c:pt>
                <c:pt idx="14">
                  <c:v>1.8571428571428574</c:v>
                </c:pt>
                <c:pt idx="15">
                  <c:v>2.3333333333333339</c:v>
                </c:pt>
                <c:pt idx="16">
                  <c:v>2.7174721189591078</c:v>
                </c:pt>
                <c:pt idx="17">
                  <c:v>3.0000000000000018</c:v>
                </c:pt>
                <c:pt idx="18">
                  <c:v>4.0000000000000036</c:v>
                </c:pt>
                <c:pt idx="19">
                  <c:v>5.6666666666666758</c:v>
                </c:pt>
                <c:pt idx="20">
                  <c:v>7.3333333333333339</c:v>
                </c:pt>
                <c:pt idx="21">
                  <c:v>9.0000000000000249</c:v>
                </c:pt>
                <c:pt idx="22">
                  <c:v>18.999999999999982</c:v>
                </c:pt>
                <c:pt idx="23">
                  <c:v>98.999999999999915</c:v>
                </c:pt>
              </c:numCache>
            </c:numRef>
          </c:xVal>
          <c:yVal>
            <c:numRef>
              <c:f>Sheet1!$D$4:$D$27</c:f>
              <c:numCache>
                <c:formatCode>0.00</c:formatCode>
                <c:ptCount val="24"/>
                <c:pt idx="0">
                  <c:v>-6.9067547786485539</c:v>
                </c:pt>
                <c:pt idx="1">
                  <c:v>-4.5951198501345898</c:v>
                </c:pt>
                <c:pt idx="2">
                  <c:v>-2.9444389791664403</c:v>
                </c:pt>
                <c:pt idx="3">
                  <c:v>-2.1972245773362191</c:v>
                </c:pt>
                <c:pt idx="4">
                  <c:v>-1.7346010553881062</c:v>
                </c:pt>
                <c:pt idx="5">
                  <c:v>-1.3862943611198906</c:v>
                </c:pt>
                <c:pt idx="6">
                  <c:v>-1.0986122886681098</c:v>
                </c:pt>
                <c:pt idx="7">
                  <c:v>-0.84729786038720356</c:v>
                </c:pt>
                <c:pt idx="8">
                  <c:v>-0.61903920840622351</c:v>
                </c:pt>
                <c:pt idx="9">
                  <c:v>-0.40546510810816461</c:v>
                </c:pt>
                <c:pt idx="10">
                  <c:v>-0.20067069546215138</c:v>
                </c:pt>
                <c:pt idx="11">
                  <c:v>-1.1102230246251565E-16</c:v>
                </c:pt>
                <c:pt idx="12">
                  <c:v>0.20067069546215088</c:v>
                </c:pt>
                <c:pt idx="13">
                  <c:v>0.40546510810816422</c:v>
                </c:pt>
                <c:pt idx="14">
                  <c:v>0.61903920840622362</c:v>
                </c:pt>
                <c:pt idx="15">
                  <c:v>0.84729786038720389</c:v>
                </c:pt>
                <c:pt idx="16">
                  <c:v>0.99970208014793938</c:v>
                </c:pt>
                <c:pt idx="17">
                  <c:v>1.0986122886681102</c:v>
                </c:pt>
                <c:pt idx="18">
                  <c:v>1.3862943611198915</c:v>
                </c:pt>
                <c:pt idx="19">
                  <c:v>1.7346010553881079</c:v>
                </c:pt>
                <c:pt idx="20">
                  <c:v>1.9924301646902063</c:v>
                </c:pt>
                <c:pt idx="21">
                  <c:v>2.1972245773362222</c:v>
                </c:pt>
                <c:pt idx="22">
                  <c:v>2.9444389791664394</c:v>
                </c:pt>
                <c:pt idx="23">
                  <c:v>4.5951198501345889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E0-49A0-86A1-28E94FC4E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753480"/>
        <c:axId val="395752168"/>
      </c:scatterChart>
      <c:valAx>
        <c:axId val="395753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Odds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52168"/>
        <c:crosses val="autoZero"/>
        <c:crossBetween val="midCat"/>
      </c:valAx>
      <c:valAx>
        <c:axId val="39575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logodds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53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44825</xdr:colOff>
      <xdr:row>3</xdr:row>
      <xdr:rowOff>57149</xdr:rowOff>
    </xdr:from>
    <xdr:to>
      <xdr:col>18</xdr:col>
      <xdr:colOff>33618</xdr:colOff>
      <xdr:row>20</xdr:row>
      <xdr:rowOff>56030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4BB59A-A922-44D0-8D34-8635F9FF9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11206</xdr:colOff>
      <xdr:row>21</xdr:row>
      <xdr:rowOff>107575</xdr:rowOff>
    </xdr:from>
    <xdr:to>
      <xdr:col>18</xdr:col>
      <xdr:colOff>1</xdr:colOff>
      <xdr:row>39</xdr:row>
      <xdr:rowOff>100854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1B87DE-1549-4B8B-9A35-5D3CF6E95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22411</xdr:colOff>
      <xdr:row>14</xdr:row>
      <xdr:rowOff>0</xdr:rowOff>
    </xdr:from>
    <xdr:to>
      <xdr:col>4</xdr:col>
      <xdr:colOff>504264</xdr:colOff>
      <xdr:row>32</xdr:row>
      <xdr:rowOff>112059</xdr:rowOff>
    </xdr:to>
    <xdr:sp macro="" textlink="">
      <xdr:nvSpPr>
        <xdr:cNvPr id="2" name="Double Bracket 1">
          <a:extLst>
            <a:ext uri="{FF2B5EF4-FFF2-40B4-BE49-F238E27FC236}">
              <a16:creationId xmlns:a16="http://schemas.microsoft.com/office/drawing/2014/main" id="{0B20E3BA-2F64-4E2F-A071-159644EE47BA}"/>
            </a:ext>
          </a:extLst>
        </xdr:cNvPr>
        <xdr:cNvSpPr/>
      </xdr:nvSpPr>
      <xdr:spPr>
        <a:xfrm>
          <a:off x="627529" y="3316941"/>
          <a:ext cx="3843617" cy="4347883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22412</xdr:colOff>
      <xdr:row>41</xdr:row>
      <xdr:rowOff>89648</xdr:rowOff>
    </xdr:from>
    <xdr:to>
      <xdr:col>15</xdr:col>
      <xdr:colOff>291353</xdr:colOff>
      <xdr:row>65</xdr:row>
      <xdr:rowOff>145099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399D1-DBDC-407F-A09E-9E6387E4B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0471" y="9760324"/>
          <a:ext cx="5715000" cy="5703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C0B5-48A9-47F2-AEA9-5693DE3AD4D5}">
  <dimension ref="B1:G32"/>
  <sheetViews>
    <sheetView tabSelected="1" topLeftCell="A22" zoomScale="85" zoomScaleNormal="85" workbookViewId="0">
      <selection activeCell="C15" sqref="C15"/>
    </sheetView>
  </sheetViews>
  <sheetFormatPr defaultRowHeight="18.75" x14ac:dyDescent="0.3"/>
  <cols>
    <col min="1" max="1" width="9.140625" style="1"/>
    <col min="2" max="2" width="16.85546875" style="1" customWidth="1"/>
    <col min="3" max="3" width="21" style="1" customWidth="1"/>
    <col min="4" max="4" width="12.5703125" style="1" customWidth="1"/>
    <col min="5" max="6" width="16.85546875" style="1" customWidth="1"/>
    <col min="7" max="16384" width="9.140625" style="1"/>
  </cols>
  <sheetData>
    <row r="1" spans="2:7" ht="19.5" thickBot="1" x14ac:dyDescent="0.35"/>
    <row r="2" spans="2:7" ht="19.5" thickBot="1" x14ac:dyDescent="0.35">
      <c r="B2" s="2" t="s">
        <v>0</v>
      </c>
      <c r="C2" s="3" t="s">
        <v>1</v>
      </c>
      <c r="D2" s="6" t="s">
        <v>3</v>
      </c>
      <c r="G2" s="5" t="s">
        <v>2</v>
      </c>
    </row>
    <row r="3" spans="2:7" x14ac:dyDescent="0.3">
      <c r="B3" s="12">
        <v>0</v>
      </c>
      <c r="C3" s="1">
        <f xml:space="preserve"> B3/(1-B3)</f>
        <v>0</v>
      </c>
      <c r="D3" s="13" t="s">
        <v>6</v>
      </c>
      <c r="E3" s="1">
        <v>0.6</v>
      </c>
      <c r="F3" s="1">
        <f xml:space="preserve"> 0.6/0.4</f>
        <v>1.4999999999999998</v>
      </c>
      <c r="G3" s="5"/>
    </row>
    <row r="4" spans="2:7" x14ac:dyDescent="0.3">
      <c r="B4" s="1">
        <v>1E-3</v>
      </c>
      <c r="C4" s="1">
        <f xml:space="preserve"> B4/(1-B4)</f>
        <v>1.001001001001001E-3</v>
      </c>
      <c r="D4" s="7">
        <f>LN(C4)</f>
        <v>-6.9067547786485539</v>
      </c>
    </row>
    <row r="5" spans="2:7" x14ac:dyDescent="0.3">
      <c r="B5" s="1">
        <v>0.01</v>
      </c>
      <c r="C5" s="1">
        <f xml:space="preserve"> B5/(1-B5)</f>
        <v>1.0101010101010102E-2</v>
      </c>
      <c r="D5" s="7">
        <f t="shared" ref="D5:D31" si="0">LN(C5)</f>
        <v>-4.5951198501345898</v>
      </c>
    </row>
    <row r="6" spans="2:7" x14ac:dyDescent="0.3">
      <c r="B6" s="1">
        <f xml:space="preserve"> B5+ 0.04</f>
        <v>0.05</v>
      </c>
      <c r="C6" s="1">
        <f xml:space="preserve"> B6/(1-B6)</f>
        <v>5.2631578947368425E-2</v>
      </c>
      <c r="D6" s="7">
        <f t="shared" si="0"/>
        <v>-2.9444389791664403</v>
      </c>
    </row>
    <row r="7" spans="2:7" x14ac:dyDescent="0.3">
      <c r="B7" s="4">
        <f xml:space="preserve"> B6+ 0.05</f>
        <v>0.1</v>
      </c>
      <c r="C7" s="4">
        <f t="shared" ref="C7:C31" si="1" xml:space="preserve"> B7/(1-B7)</f>
        <v>0.11111111111111112</v>
      </c>
      <c r="D7" s="7">
        <f t="shared" si="0"/>
        <v>-2.1972245773362191</v>
      </c>
    </row>
    <row r="8" spans="2:7" x14ac:dyDescent="0.3">
      <c r="B8" s="4">
        <f t="shared" ref="B8:B23" si="2" xml:space="preserve"> B7+ 0.05</f>
        <v>0.15000000000000002</v>
      </c>
      <c r="C8" s="4">
        <f t="shared" si="1"/>
        <v>0.17647058823529416</v>
      </c>
      <c r="D8" s="7">
        <f t="shared" si="0"/>
        <v>-1.7346010553881062</v>
      </c>
    </row>
    <row r="9" spans="2:7" x14ac:dyDescent="0.3">
      <c r="B9" s="4">
        <f t="shared" si="2"/>
        <v>0.2</v>
      </c>
      <c r="C9" s="4">
        <f t="shared" si="1"/>
        <v>0.25</v>
      </c>
      <c r="D9" s="7">
        <f t="shared" si="0"/>
        <v>-1.3862943611198906</v>
      </c>
    </row>
    <row r="10" spans="2:7" x14ac:dyDescent="0.3">
      <c r="B10" s="4">
        <f t="shared" si="2"/>
        <v>0.25</v>
      </c>
      <c r="C10" s="4">
        <f t="shared" si="1"/>
        <v>0.33333333333333331</v>
      </c>
      <c r="D10" s="7">
        <f t="shared" si="0"/>
        <v>-1.0986122886681098</v>
      </c>
    </row>
    <row r="11" spans="2:7" x14ac:dyDescent="0.3">
      <c r="B11" s="4">
        <f t="shared" si="2"/>
        <v>0.3</v>
      </c>
      <c r="C11" s="4">
        <f t="shared" si="1"/>
        <v>0.4285714285714286</v>
      </c>
      <c r="D11" s="7">
        <f t="shared" si="0"/>
        <v>-0.84729786038720356</v>
      </c>
    </row>
    <row r="12" spans="2:7" x14ac:dyDescent="0.3">
      <c r="B12" s="4">
        <f t="shared" si="2"/>
        <v>0.35</v>
      </c>
      <c r="C12" s="4">
        <f t="shared" si="1"/>
        <v>0.53846153846153844</v>
      </c>
      <c r="D12" s="7">
        <f t="shared" si="0"/>
        <v>-0.61903920840622351</v>
      </c>
    </row>
    <row r="13" spans="2:7" x14ac:dyDescent="0.3">
      <c r="B13" s="4">
        <f t="shared" si="2"/>
        <v>0.39999999999999997</v>
      </c>
      <c r="C13" s="4">
        <f t="shared" si="1"/>
        <v>0.66666666666666652</v>
      </c>
      <c r="D13" s="7">
        <f t="shared" si="0"/>
        <v>-0.40546510810816461</v>
      </c>
    </row>
    <row r="14" spans="2:7" x14ac:dyDescent="0.3">
      <c r="B14" s="4">
        <f t="shared" si="2"/>
        <v>0.44999999999999996</v>
      </c>
      <c r="C14" s="4">
        <f t="shared" si="1"/>
        <v>0.81818181818181801</v>
      </c>
      <c r="D14" s="7">
        <f t="shared" si="0"/>
        <v>-0.20067069546215138</v>
      </c>
    </row>
    <row r="15" spans="2:7" x14ac:dyDescent="0.3">
      <c r="B15" s="8">
        <f t="shared" si="2"/>
        <v>0.49999999999999994</v>
      </c>
      <c r="C15" s="8">
        <f t="shared" si="1"/>
        <v>0.99999999999999989</v>
      </c>
      <c r="D15" s="9">
        <f t="shared" si="0"/>
        <v>-1.1102230246251565E-16</v>
      </c>
    </row>
    <row r="16" spans="2:7" x14ac:dyDescent="0.3">
      <c r="B16" s="4">
        <f xml:space="preserve"> B15+ 0.05</f>
        <v>0.54999999999999993</v>
      </c>
      <c r="C16" s="4">
        <f t="shared" si="1"/>
        <v>1.2222222222222219</v>
      </c>
      <c r="D16" s="7">
        <f t="shared" si="0"/>
        <v>0.20067069546215088</v>
      </c>
    </row>
    <row r="17" spans="2:5" x14ac:dyDescent="0.3">
      <c r="B17" s="4">
        <f t="shared" si="2"/>
        <v>0.6</v>
      </c>
      <c r="C17" s="4">
        <f t="shared" si="1"/>
        <v>1.4999999999999998</v>
      </c>
      <c r="D17" s="7">
        <f t="shared" si="0"/>
        <v>0.40546510810816422</v>
      </c>
    </row>
    <row r="18" spans="2:5" x14ac:dyDescent="0.3">
      <c r="B18" s="4">
        <f t="shared" si="2"/>
        <v>0.65</v>
      </c>
      <c r="C18" s="4">
        <f t="shared" si="1"/>
        <v>1.8571428571428574</v>
      </c>
      <c r="D18" s="7">
        <f t="shared" si="0"/>
        <v>0.61903920840622362</v>
      </c>
    </row>
    <row r="19" spans="2:5" x14ac:dyDescent="0.3">
      <c r="B19" s="4">
        <f t="shared" si="2"/>
        <v>0.70000000000000007</v>
      </c>
      <c r="C19" s="4">
        <f t="shared" si="1"/>
        <v>2.3333333333333339</v>
      </c>
      <c r="D19" s="7">
        <f t="shared" si="0"/>
        <v>0.84729786038720389</v>
      </c>
    </row>
    <row r="20" spans="2:5" x14ac:dyDescent="0.3">
      <c r="B20" s="8">
        <v>0.73099999999999998</v>
      </c>
      <c r="C20" s="8">
        <f xml:space="preserve"> B20/(1-B20)</f>
        <v>2.7174721189591078</v>
      </c>
      <c r="D20" s="9">
        <f t="shared" si="0"/>
        <v>0.99970208014793938</v>
      </c>
    </row>
    <row r="21" spans="2:5" x14ac:dyDescent="0.3">
      <c r="B21" s="4">
        <f xml:space="preserve"> B19+ 0.05</f>
        <v>0.75000000000000011</v>
      </c>
      <c r="C21" s="4">
        <f t="shared" si="1"/>
        <v>3.0000000000000018</v>
      </c>
      <c r="D21" s="7">
        <f t="shared" si="0"/>
        <v>1.0986122886681102</v>
      </c>
    </row>
    <row r="22" spans="2:5" x14ac:dyDescent="0.3">
      <c r="B22" s="4">
        <f t="shared" si="2"/>
        <v>0.80000000000000016</v>
      </c>
      <c r="C22" s="4">
        <f t="shared" si="1"/>
        <v>4.0000000000000036</v>
      </c>
      <c r="D22" s="7">
        <f t="shared" si="0"/>
        <v>1.3862943611198915</v>
      </c>
    </row>
    <row r="23" spans="2:5" x14ac:dyDescent="0.3">
      <c r="B23" s="4">
        <f t="shared" si="2"/>
        <v>0.8500000000000002</v>
      </c>
      <c r="C23" s="4">
        <f t="shared" si="1"/>
        <v>5.6666666666666758</v>
      </c>
      <c r="D23" s="7">
        <f t="shared" si="0"/>
        <v>1.7346010553881079</v>
      </c>
    </row>
    <row r="24" spans="2:5" x14ac:dyDescent="0.3">
      <c r="B24" s="8">
        <v>0.88</v>
      </c>
      <c r="C24" s="8">
        <f xml:space="preserve"> B24/(1-B24)</f>
        <v>7.3333333333333339</v>
      </c>
      <c r="D24" s="9">
        <f t="shared" si="0"/>
        <v>1.9924301646902063</v>
      </c>
    </row>
    <row r="25" spans="2:5" x14ac:dyDescent="0.3">
      <c r="B25" s="4">
        <f xml:space="preserve"> B23+ 0.05</f>
        <v>0.90000000000000024</v>
      </c>
      <c r="C25" s="4">
        <f t="shared" si="1"/>
        <v>9.0000000000000249</v>
      </c>
      <c r="D25" s="7">
        <f t="shared" si="0"/>
        <v>2.1972245773362222</v>
      </c>
    </row>
    <row r="26" spans="2:5" x14ac:dyDescent="0.3">
      <c r="B26" s="8">
        <v>0.95</v>
      </c>
      <c r="C26" s="8">
        <f t="shared" ref="C26" si="3" xml:space="preserve"> B26/(1-B26)</f>
        <v>18.999999999999982</v>
      </c>
      <c r="D26" s="9">
        <f t="shared" si="0"/>
        <v>2.9444389791664394</v>
      </c>
    </row>
    <row r="27" spans="2:5" x14ac:dyDescent="0.3">
      <c r="B27" s="1">
        <v>0.99</v>
      </c>
      <c r="C27" s="1">
        <f t="shared" si="1"/>
        <v>98.999999999999915</v>
      </c>
      <c r="D27" s="7">
        <f t="shared" si="0"/>
        <v>4.5951198501345889</v>
      </c>
    </row>
    <row r="28" spans="2:5" x14ac:dyDescent="0.3">
      <c r="B28" s="1">
        <v>0.999</v>
      </c>
      <c r="C28" s="1">
        <f t="shared" si="1"/>
        <v>998.99999999999909</v>
      </c>
      <c r="D28" s="7">
        <f t="shared" si="0"/>
        <v>6.906754778648553</v>
      </c>
    </row>
    <row r="29" spans="2:5" x14ac:dyDescent="0.3">
      <c r="B29" s="1">
        <v>0.99990000000000001</v>
      </c>
      <c r="C29" s="1">
        <f t="shared" si="1"/>
        <v>9999.0000000011005</v>
      </c>
      <c r="D29" s="7">
        <f t="shared" si="0"/>
        <v>9.2102403669759596</v>
      </c>
    </row>
    <row r="30" spans="2:5" x14ac:dyDescent="0.3">
      <c r="B30" s="1">
        <v>0.99999899999999997</v>
      </c>
      <c r="C30" s="1">
        <f t="shared" si="1"/>
        <v>999998.99997124437</v>
      </c>
      <c r="D30" s="7">
        <f t="shared" si="0"/>
        <v>13.815509557935018</v>
      </c>
    </row>
    <row r="31" spans="2:5" x14ac:dyDescent="0.3">
      <c r="B31" s="1">
        <v>0.99999999900000003</v>
      </c>
      <c r="C31" s="1">
        <f t="shared" si="1"/>
        <v>1000000027.2819322</v>
      </c>
      <c r="D31" s="7">
        <f t="shared" si="0"/>
        <v>20.723265864228342</v>
      </c>
    </row>
    <row r="32" spans="2:5" x14ac:dyDescent="0.3">
      <c r="B32" s="10">
        <v>1</v>
      </c>
      <c r="C32" s="11" t="s">
        <v>4</v>
      </c>
      <c r="D32" s="11" t="s">
        <v>5</v>
      </c>
      <c r="E32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2018-11-18T04:37:18Z</dcterms:created>
  <dcterms:modified xsi:type="dcterms:W3CDTF">2018-11-18T14:37:16Z</dcterms:modified>
</cp:coreProperties>
</file>