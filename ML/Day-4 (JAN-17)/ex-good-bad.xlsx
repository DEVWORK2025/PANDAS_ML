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YLEARN\2-ANALYTICS-DataScience\ML\Linear Regression\"/>
    </mc:Choice>
  </mc:AlternateContent>
  <xr:revisionPtr revIDLastSave="0" documentId="13_ncr:1_{97FE4621-1C66-4043-B89A-92CA09D65852}" xr6:coauthVersionLast="34" xr6:coauthVersionMax="34" xr10:uidLastSave="{00000000-0000-0000-0000-000000000000}"/>
  <bookViews>
    <workbookView xWindow="0" yWindow="0" windowWidth="21795" windowHeight="10470" tabRatio="500" activeTab="1" xr2:uid="{00000000-000D-0000-FFFF-FFFF00000000}"/>
  </bookViews>
  <sheets>
    <sheet name="Bad" sheetId="1" r:id="rId1"/>
    <sheet name="Good" sheetId="3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7" i="1" l="1"/>
  <c r="E38" i="1" s="1"/>
  <c r="B29" i="1"/>
  <c r="F37" i="1"/>
  <c r="G37" i="1" s="1"/>
  <c r="F36" i="1"/>
  <c r="G36" i="1" s="1"/>
  <c r="E37" i="3"/>
  <c r="E38" i="3" s="1"/>
  <c r="B29" i="3"/>
  <c r="F37" i="3"/>
  <c r="G37" i="3" s="1"/>
  <c r="F36" i="3"/>
  <c r="G36" i="3" s="1"/>
  <c r="C4" i="1"/>
  <c r="F4" i="1" s="1"/>
  <c r="C5" i="1"/>
  <c r="C6" i="1"/>
  <c r="F6" i="1" s="1"/>
  <c r="C7" i="1"/>
  <c r="C8" i="1"/>
  <c r="F8" i="1" s="1"/>
  <c r="C9" i="1"/>
  <c r="C10" i="1"/>
  <c r="F10" i="1" s="1"/>
  <c r="C11" i="1"/>
  <c r="C12" i="1"/>
  <c r="F12" i="1" s="1"/>
  <c r="C13" i="1"/>
  <c r="C14" i="1"/>
  <c r="F14" i="1" s="1"/>
  <c r="C15" i="1"/>
  <c r="C16" i="1"/>
  <c r="F16" i="1" s="1"/>
  <c r="C17" i="1"/>
  <c r="C18" i="1"/>
  <c r="F18" i="1" s="1"/>
  <c r="C19" i="1"/>
  <c r="C20" i="1"/>
  <c r="F20" i="1" s="1"/>
  <c r="C21" i="1"/>
  <c r="C22" i="1"/>
  <c r="F22" i="1" s="1"/>
  <c r="C23" i="1"/>
  <c r="F5" i="1"/>
  <c r="F7" i="1"/>
  <c r="F9" i="1"/>
  <c r="F11" i="1"/>
  <c r="F13" i="1"/>
  <c r="F15" i="1"/>
  <c r="F17" i="1"/>
  <c r="F19" i="1"/>
  <c r="F21" i="1"/>
  <c r="F23" i="1"/>
  <c r="B25" i="1"/>
  <c r="B26" i="1" s="1"/>
  <c r="D4" i="1"/>
  <c r="D5" i="1"/>
  <c r="D2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5" i="1"/>
  <c r="E7" i="1"/>
  <c r="E9" i="1"/>
  <c r="E11" i="1"/>
  <c r="E13" i="1"/>
  <c r="E15" i="1"/>
  <c r="E17" i="1"/>
  <c r="E19" i="1"/>
  <c r="E21" i="1"/>
  <c r="E23" i="1"/>
  <c r="C25" i="3"/>
  <c r="F4" i="3"/>
  <c r="F5" i="3"/>
  <c r="F2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B25" i="3"/>
  <c r="B26" i="3" s="1"/>
  <c r="D4" i="3"/>
  <c r="D5" i="3"/>
  <c r="D25" i="3" s="1"/>
  <c r="B28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C26" i="3"/>
  <c r="B27" i="3"/>
  <c r="E10" i="3"/>
  <c r="E7" i="3"/>
  <c r="E16" i="3"/>
  <c r="E4" i="3"/>
  <c r="E12" i="3"/>
  <c r="E13" i="3"/>
  <c r="E17" i="3"/>
  <c r="E5" i="3"/>
  <c r="E14" i="3"/>
  <c r="E8" i="3"/>
  <c r="E20" i="3"/>
  <c r="E23" i="3"/>
  <c r="E6" i="3"/>
  <c r="E21" i="3"/>
  <c r="E18" i="3"/>
  <c r="E19" i="3"/>
  <c r="E15" i="3"/>
  <c r="E11" i="3"/>
  <c r="E22" i="3"/>
  <c r="E9" i="3"/>
  <c r="D26" i="3"/>
  <c r="E25" i="3" l="1"/>
  <c r="E26" i="3" s="1"/>
  <c r="B30" i="3"/>
  <c r="F26" i="3"/>
  <c r="B28" i="1"/>
  <c r="D26" i="1"/>
  <c r="F25" i="1"/>
  <c r="E39" i="3"/>
  <c r="F38" i="3"/>
  <c r="G38" i="3" s="1"/>
  <c r="E39" i="1"/>
  <c r="F38" i="1"/>
  <c r="G38" i="1" s="1"/>
  <c r="E22" i="1"/>
  <c r="E18" i="1"/>
  <c r="E14" i="1"/>
  <c r="E10" i="1"/>
  <c r="E6" i="1"/>
  <c r="C25" i="1"/>
  <c r="E20" i="1"/>
  <c r="E16" i="1"/>
  <c r="E12" i="1"/>
  <c r="E8" i="1"/>
  <c r="E4" i="1"/>
  <c r="E25" i="1" s="1"/>
  <c r="E26" i="1" s="1"/>
  <c r="F39" i="3" l="1"/>
  <c r="G39" i="3" s="1"/>
  <c r="E40" i="3"/>
  <c r="B30" i="1"/>
  <c r="F26" i="1"/>
  <c r="B27" i="1"/>
  <c r="I4" i="3"/>
  <c r="B31" i="1"/>
  <c r="C26" i="1"/>
  <c r="E40" i="1"/>
  <c r="F39" i="1"/>
  <c r="G39" i="1" s="1"/>
  <c r="B31" i="3"/>
  <c r="G11" i="3" s="1"/>
  <c r="H11" i="3" s="1"/>
  <c r="G7" i="3" l="1"/>
  <c r="H7" i="3" s="1"/>
  <c r="G22" i="3"/>
  <c r="H22" i="3" s="1"/>
  <c r="G14" i="3"/>
  <c r="H14" i="3" s="1"/>
  <c r="G4" i="3"/>
  <c r="H4" i="3" s="1"/>
  <c r="G5" i="3"/>
  <c r="H5" i="3" s="1"/>
  <c r="G23" i="3"/>
  <c r="H23" i="3" s="1"/>
  <c r="G20" i="3"/>
  <c r="H20" i="3" s="1"/>
  <c r="G12" i="3"/>
  <c r="H12" i="3" s="1"/>
  <c r="G21" i="3"/>
  <c r="H21" i="3" s="1"/>
  <c r="G8" i="3"/>
  <c r="H8" i="3" s="1"/>
  <c r="G11" i="1"/>
  <c r="H11" i="1" s="1"/>
  <c r="G18" i="1"/>
  <c r="H18" i="1" s="1"/>
  <c r="G12" i="1"/>
  <c r="H12" i="1" s="1"/>
  <c r="G17" i="1"/>
  <c r="H17" i="1" s="1"/>
  <c r="G4" i="1"/>
  <c r="H4" i="1" s="1"/>
  <c r="G14" i="1"/>
  <c r="H14" i="1" s="1"/>
  <c r="G23" i="1"/>
  <c r="H23" i="1" s="1"/>
  <c r="G19" i="1"/>
  <c r="H19" i="1" s="1"/>
  <c r="G9" i="1"/>
  <c r="H9" i="1" s="1"/>
  <c r="G10" i="1"/>
  <c r="H10" i="1" s="1"/>
  <c r="G7" i="1"/>
  <c r="H7" i="1" s="1"/>
  <c r="G22" i="1"/>
  <c r="H22" i="1" s="1"/>
  <c r="G13" i="1"/>
  <c r="H13" i="1" s="1"/>
  <c r="G21" i="1"/>
  <c r="H21" i="1" s="1"/>
  <c r="G8" i="1"/>
  <c r="H8" i="1" s="1"/>
  <c r="G15" i="1"/>
  <c r="H15" i="1" s="1"/>
  <c r="G5" i="1"/>
  <c r="H5" i="1" s="1"/>
  <c r="G16" i="1"/>
  <c r="H16" i="1" s="1"/>
  <c r="G6" i="1"/>
  <c r="H6" i="1" s="1"/>
  <c r="G20" i="1"/>
  <c r="H20" i="1" s="1"/>
  <c r="G19" i="3"/>
  <c r="H19" i="3" s="1"/>
  <c r="G17" i="3"/>
  <c r="H17" i="3" s="1"/>
  <c r="G18" i="3"/>
  <c r="H18" i="3" s="1"/>
  <c r="G10" i="3"/>
  <c r="H10" i="3" s="1"/>
  <c r="G15" i="3"/>
  <c r="H15" i="3" s="1"/>
  <c r="F40" i="3"/>
  <c r="G40" i="3" s="1"/>
  <c r="E41" i="3"/>
  <c r="F40" i="1"/>
  <c r="G40" i="1" s="1"/>
  <c r="E41" i="1"/>
  <c r="G13" i="3"/>
  <c r="H13" i="3" s="1"/>
  <c r="G9" i="3"/>
  <c r="H9" i="3" s="1"/>
  <c r="G16" i="3"/>
  <c r="H16" i="3" s="1"/>
  <c r="G6" i="3"/>
  <c r="H6" i="3" s="1"/>
  <c r="E42" i="1" l="1"/>
  <c r="F41" i="1"/>
  <c r="G41" i="1" s="1"/>
  <c r="E42" i="3"/>
  <c r="F41" i="3"/>
  <c r="G41" i="3" s="1"/>
  <c r="E43" i="3" l="1"/>
  <c r="F42" i="3"/>
  <c r="G42" i="3" s="1"/>
  <c r="E43" i="1"/>
  <c r="F42" i="1"/>
  <c r="G42" i="1" s="1"/>
  <c r="E44" i="1" l="1"/>
  <c r="F43" i="1"/>
  <c r="G43" i="1" s="1"/>
  <c r="F43" i="3"/>
  <c r="G43" i="3" s="1"/>
  <c r="E44" i="3"/>
  <c r="F44" i="3" l="1"/>
  <c r="G44" i="3" s="1"/>
  <c r="E45" i="3"/>
  <c r="F44" i="1"/>
  <c r="G44" i="1" s="1"/>
  <c r="E45" i="1"/>
  <c r="E46" i="3" l="1"/>
  <c r="F45" i="3"/>
  <c r="G45" i="3" s="1"/>
  <c r="E46" i="1"/>
  <c r="F45" i="1"/>
  <c r="G45" i="1" s="1"/>
  <c r="E47" i="1" l="1"/>
  <c r="F46" i="1"/>
  <c r="G46" i="1" s="1"/>
  <c r="E47" i="3"/>
  <c r="F46" i="3"/>
  <c r="G46" i="3" s="1"/>
  <c r="E48" i="3" l="1"/>
  <c r="F47" i="3"/>
  <c r="G47" i="3" s="1"/>
  <c r="E48" i="1"/>
  <c r="F47" i="1"/>
  <c r="G47" i="1" s="1"/>
  <c r="F48" i="1" l="1"/>
  <c r="G48" i="1" s="1"/>
  <c r="E49" i="1"/>
  <c r="F48" i="3"/>
  <c r="G48" i="3" s="1"/>
  <c r="E49" i="3"/>
  <c r="E50" i="3" l="1"/>
  <c r="F49" i="3"/>
  <c r="G49" i="3" s="1"/>
  <c r="E50" i="1"/>
  <c r="F49" i="1"/>
  <c r="G49" i="1" s="1"/>
  <c r="E51" i="1" l="1"/>
  <c r="F50" i="1"/>
  <c r="G50" i="1" s="1"/>
  <c r="E51" i="3"/>
  <c r="F50" i="3"/>
  <c r="G50" i="3" s="1"/>
  <c r="E52" i="3" l="1"/>
  <c r="F51" i="3"/>
  <c r="G51" i="3" s="1"/>
  <c r="E52" i="1"/>
  <c r="F51" i="1"/>
  <c r="G51" i="1" s="1"/>
  <c r="F52" i="1" l="1"/>
  <c r="G52" i="1" s="1"/>
  <c r="E53" i="1"/>
  <c r="E53" i="3"/>
  <c r="F52" i="3"/>
  <c r="G52" i="3" s="1"/>
  <c r="E54" i="3" l="1"/>
  <c r="F53" i="3"/>
  <c r="G53" i="3" s="1"/>
  <c r="E54" i="1"/>
  <c r="F53" i="1"/>
  <c r="G53" i="1" s="1"/>
  <c r="E55" i="1" l="1"/>
  <c r="F55" i="1" s="1"/>
  <c r="G55" i="1" s="1"/>
  <c r="F54" i="1"/>
  <c r="G54" i="1" s="1"/>
  <c r="E55" i="3"/>
  <c r="F55" i="3" s="1"/>
  <c r="G55" i="3" s="1"/>
  <c r="F54" i="3"/>
  <c r="G5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Seufert</author>
  </authors>
  <commentList>
    <comment ref="H36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Eric Seufert:</t>
        </r>
        <r>
          <rPr>
            <sz val="9"/>
            <color indexed="81"/>
            <rFont val="Calibri"/>
            <family val="2"/>
          </rPr>
          <t xml:space="preserve">
These aren't dynamic; they're sorted from the Residuals column above. If you change the X and Y data, you'll have to copy and paste special -&gt; values the residuals here and then sort them in ascending order.</t>
        </r>
      </text>
    </comment>
  </commentList>
</comments>
</file>

<file path=xl/sharedStrings.xml><?xml version="1.0" encoding="utf-8"?>
<sst xmlns="http://schemas.openxmlformats.org/spreadsheetml/2006/main" count="38" uniqueCount="20">
  <si>
    <t>Total Shares (y)</t>
  </si>
  <si>
    <t>Number of Friends (x)</t>
  </si>
  <si>
    <t>x^2</t>
  </si>
  <si>
    <t>y^2</t>
  </si>
  <si>
    <t>xy</t>
  </si>
  <si>
    <t>Sum</t>
  </si>
  <si>
    <t>Mean</t>
  </si>
  <si>
    <t>S(XY)</t>
  </si>
  <si>
    <t>S(XX)</t>
  </si>
  <si>
    <t>m</t>
  </si>
  <si>
    <t>b</t>
  </si>
  <si>
    <t>Predicted</t>
  </si>
  <si>
    <t>Residual</t>
  </si>
  <si>
    <t>Height (x)</t>
  </si>
  <si>
    <t>Weight (y)</t>
  </si>
  <si>
    <t>n</t>
  </si>
  <si>
    <t>Rank</t>
  </si>
  <si>
    <t>Residual Normality</t>
  </si>
  <si>
    <t>Proportion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</si>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</sst>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15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Real and Predicted Values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 Values</c:v>
          </c:tx>
          <c:spPr>
            <a:ln w="47625">
              <a:noFill/>
            </a:ln>
          </c:spPr>
          <c:xVal>
            <c:numRef>
              <c:f>Bad!$B$4:$B$23</c:f>
              <c:numCache>
                <c:formatCode>General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23</c:v>
                </c:pt>
                <c:pt idx="4">
                  <c:v>28</c:v>
                </c:pt>
                <c:pt idx="5">
                  <c:v>30</c:v>
                </c:pt>
                <c:pt idx="6">
                  <c:v>36</c:v>
                </c:pt>
                <c:pt idx="7">
                  <c:v>47</c:v>
                </c:pt>
                <c:pt idx="8">
                  <c:v>69</c:v>
                </c:pt>
                <c:pt idx="9">
                  <c:v>71</c:v>
                </c:pt>
                <c:pt idx="10">
                  <c:v>108</c:v>
                </c:pt>
                <c:pt idx="11">
                  <c:v>111</c:v>
                </c:pt>
                <c:pt idx="12">
                  <c:v>118</c:v>
                </c:pt>
                <c:pt idx="13">
                  <c:v>119</c:v>
                </c:pt>
                <c:pt idx="14">
                  <c:v>137</c:v>
                </c:pt>
                <c:pt idx="15">
                  <c:v>137</c:v>
                </c:pt>
                <c:pt idx="16">
                  <c:v>139</c:v>
                </c:pt>
                <c:pt idx="17">
                  <c:v>147</c:v>
                </c:pt>
                <c:pt idx="18">
                  <c:v>158</c:v>
                </c:pt>
                <c:pt idx="19">
                  <c:v>172</c:v>
                </c:pt>
              </c:numCache>
            </c:numRef>
          </c:xVal>
          <c:yVal>
            <c:numRef>
              <c:f>Bad!$C$4:$C$23</c:f>
              <c:numCache>
                <c:formatCode>General</c:formatCode>
                <c:ptCount val="20"/>
                <c:pt idx="0">
                  <c:v>8</c:v>
                </c:pt>
                <c:pt idx="1">
                  <c:v>216</c:v>
                </c:pt>
                <c:pt idx="2">
                  <c:v>4096</c:v>
                </c:pt>
                <c:pt idx="3">
                  <c:v>12167</c:v>
                </c:pt>
                <c:pt idx="4">
                  <c:v>21952</c:v>
                </c:pt>
                <c:pt idx="5">
                  <c:v>27000</c:v>
                </c:pt>
                <c:pt idx="6">
                  <c:v>46656</c:v>
                </c:pt>
                <c:pt idx="7">
                  <c:v>103823</c:v>
                </c:pt>
                <c:pt idx="8">
                  <c:v>328509</c:v>
                </c:pt>
                <c:pt idx="9">
                  <c:v>357911</c:v>
                </c:pt>
                <c:pt idx="10">
                  <c:v>1259712</c:v>
                </c:pt>
                <c:pt idx="11">
                  <c:v>1367631</c:v>
                </c:pt>
                <c:pt idx="12">
                  <c:v>1643032</c:v>
                </c:pt>
                <c:pt idx="13">
                  <c:v>1685159</c:v>
                </c:pt>
                <c:pt idx="14">
                  <c:v>2571353</c:v>
                </c:pt>
                <c:pt idx="15">
                  <c:v>2571353</c:v>
                </c:pt>
                <c:pt idx="16">
                  <c:v>2685619</c:v>
                </c:pt>
                <c:pt idx="17">
                  <c:v>3176523</c:v>
                </c:pt>
                <c:pt idx="18">
                  <c:v>3944312</c:v>
                </c:pt>
                <c:pt idx="19">
                  <c:v>5088448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1-4143-83A4-213BD39DDAC1}"/>
            </c:ext>
          </c:extLst>
        </c:ser>
        <c:ser>
          <c:idx val="1"/>
          <c:order val="1"/>
          <c:tx>
            <c:v>Predicted Values</c:v>
          </c:tx>
          <c:spPr>
            <a:ln w="47625">
              <a:noFill/>
            </a:ln>
          </c:spPr>
          <c:xVal>
            <c:numRef>
              <c:f>Bad!$B$4:$B$23</c:f>
              <c:numCache>
                <c:formatCode>General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23</c:v>
                </c:pt>
                <c:pt idx="4">
                  <c:v>28</c:v>
                </c:pt>
                <c:pt idx="5">
                  <c:v>30</c:v>
                </c:pt>
                <c:pt idx="6">
                  <c:v>36</c:v>
                </c:pt>
                <c:pt idx="7">
                  <c:v>47</c:v>
                </c:pt>
                <c:pt idx="8">
                  <c:v>69</c:v>
                </c:pt>
                <c:pt idx="9">
                  <c:v>71</c:v>
                </c:pt>
                <c:pt idx="10">
                  <c:v>108</c:v>
                </c:pt>
                <c:pt idx="11">
                  <c:v>111</c:v>
                </c:pt>
                <c:pt idx="12">
                  <c:v>118</c:v>
                </c:pt>
                <c:pt idx="13">
                  <c:v>119</c:v>
                </c:pt>
                <c:pt idx="14">
                  <c:v>137</c:v>
                </c:pt>
                <c:pt idx="15">
                  <c:v>137</c:v>
                </c:pt>
                <c:pt idx="16">
                  <c:v>139</c:v>
                </c:pt>
                <c:pt idx="17">
                  <c:v>147</c:v>
                </c:pt>
                <c:pt idx="18">
                  <c:v>158</c:v>
                </c:pt>
                <c:pt idx="19">
                  <c:v>172</c:v>
                </c:pt>
              </c:numCache>
            </c:numRef>
          </c:xVal>
          <c:yVal>
            <c:numRef>
              <c:f>Bad!$G$4:$G$23</c:f>
              <c:numCache>
                <c:formatCode>General</c:formatCode>
                <c:ptCount val="20"/>
                <c:pt idx="0">
                  <c:v>-712557.69458217209</c:v>
                </c:pt>
                <c:pt idx="1">
                  <c:v>-611831.54062466067</c:v>
                </c:pt>
                <c:pt idx="2">
                  <c:v>-360016.1557308819</c:v>
                </c:pt>
                <c:pt idx="3">
                  <c:v>-183745.38630523684</c:v>
                </c:pt>
                <c:pt idx="4">
                  <c:v>-57837.693858347484</c:v>
                </c:pt>
                <c:pt idx="5">
                  <c:v>-7474.6168795917183</c:v>
                </c:pt>
                <c:pt idx="6">
                  <c:v>143614.61405667558</c:v>
                </c:pt>
                <c:pt idx="7">
                  <c:v>420611.53743983223</c:v>
                </c:pt>
                <c:pt idx="8">
                  <c:v>974605.3842061453</c:v>
                </c:pt>
                <c:pt idx="9">
                  <c:v>1024968.461184901</c:v>
                </c:pt>
                <c:pt idx="10">
                  <c:v>1956685.3852918823</c:v>
                </c:pt>
                <c:pt idx="11">
                  <c:v>2032230.000760016</c:v>
                </c:pt>
                <c:pt idx="12">
                  <c:v>2208500.770185661</c:v>
                </c:pt>
                <c:pt idx="13">
                  <c:v>2233682.3086750391</c:v>
                </c:pt>
                <c:pt idx="14">
                  <c:v>2686950.0014838404</c:v>
                </c:pt>
                <c:pt idx="15">
                  <c:v>2686950.0014838404</c:v>
                </c:pt>
                <c:pt idx="16">
                  <c:v>2737313.0784625965</c:v>
                </c:pt>
                <c:pt idx="17">
                  <c:v>2938765.3863776191</c:v>
                </c:pt>
                <c:pt idx="18">
                  <c:v>3215762.3097607759</c:v>
                </c:pt>
                <c:pt idx="19">
                  <c:v>3568303.8486120664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1-4143-83A4-213BD39DD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9838376"/>
        <c:axId val="-2139841544"/>
      </c:scatterChart>
      <c:valAx>
        <c:axId val="-2139838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Friends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139841544"/>
        <c:crosses val="autoZero"/>
        <c:crossBetween val="midCat"/>
      </c:valAx>
      <c:valAx>
        <c:axId val="-2139841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Shares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139838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 of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Bad!$B$4:$B$23</c:f>
              <c:numCache>
                <c:formatCode>General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23</c:v>
                </c:pt>
                <c:pt idx="4">
                  <c:v>28</c:v>
                </c:pt>
                <c:pt idx="5">
                  <c:v>30</c:v>
                </c:pt>
                <c:pt idx="6">
                  <c:v>36</c:v>
                </c:pt>
                <c:pt idx="7">
                  <c:v>47</c:v>
                </c:pt>
                <c:pt idx="8">
                  <c:v>69</c:v>
                </c:pt>
                <c:pt idx="9">
                  <c:v>71</c:v>
                </c:pt>
                <c:pt idx="10">
                  <c:v>108</c:v>
                </c:pt>
                <c:pt idx="11">
                  <c:v>111</c:v>
                </c:pt>
                <c:pt idx="12">
                  <c:v>118</c:v>
                </c:pt>
                <c:pt idx="13">
                  <c:v>119</c:v>
                </c:pt>
                <c:pt idx="14">
                  <c:v>137</c:v>
                </c:pt>
                <c:pt idx="15">
                  <c:v>137</c:v>
                </c:pt>
                <c:pt idx="16">
                  <c:v>139</c:v>
                </c:pt>
                <c:pt idx="17">
                  <c:v>147</c:v>
                </c:pt>
                <c:pt idx="18">
                  <c:v>158</c:v>
                </c:pt>
                <c:pt idx="19">
                  <c:v>172</c:v>
                </c:pt>
              </c:numCache>
            </c:numRef>
          </c:xVal>
          <c:yVal>
            <c:numRef>
              <c:f>Bad!$H$4:$H$23</c:f>
              <c:numCache>
                <c:formatCode>General</c:formatCode>
                <c:ptCount val="20"/>
                <c:pt idx="0">
                  <c:v>712565.69458217209</c:v>
                </c:pt>
                <c:pt idx="1">
                  <c:v>612047.54062466067</c:v>
                </c:pt>
                <c:pt idx="2">
                  <c:v>364112.1557308819</c:v>
                </c:pt>
                <c:pt idx="3">
                  <c:v>195912.38630523684</c:v>
                </c:pt>
                <c:pt idx="4">
                  <c:v>79789.693858347484</c:v>
                </c:pt>
                <c:pt idx="5">
                  <c:v>34474.616879591718</c:v>
                </c:pt>
                <c:pt idx="6">
                  <c:v>-96958.614056675578</c:v>
                </c:pt>
                <c:pt idx="7">
                  <c:v>-316788.53743983223</c:v>
                </c:pt>
                <c:pt idx="8">
                  <c:v>-646096.3842061453</c:v>
                </c:pt>
                <c:pt idx="9">
                  <c:v>-667057.46118490095</c:v>
                </c:pt>
                <c:pt idx="10">
                  <c:v>-696973.38529188232</c:v>
                </c:pt>
                <c:pt idx="11">
                  <c:v>-664599.00076001603</c:v>
                </c:pt>
                <c:pt idx="12">
                  <c:v>-565468.77018566104</c:v>
                </c:pt>
                <c:pt idx="13">
                  <c:v>-548523.30867503909</c:v>
                </c:pt>
                <c:pt idx="14">
                  <c:v>-115597.0014838404</c:v>
                </c:pt>
                <c:pt idx="15">
                  <c:v>-115597.0014838404</c:v>
                </c:pt>
                <c:pt idx="16">
                  <c:v>-51694.078462596517</c:v>
                </c:pt>
                <c:pt idx="17">
                  <c:v>237757.61362238089</c:v>
                </c:pt>
                <c:pt idx="18">
                  <c:v>728549.69023922412</c:v>
                </c:pt>
                <c:pt idx="19">
                  <c:v>1520144.1513879336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0-4319-90CE-27C83E84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64248"/>
        <c:axId val="2136397080"/>
      </c:scatterChart>
      <c:valAx>
        <c:axId val="2136464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Friends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6397080"/>
        <c:crosses val="autoZero"/>
        <c:crossBetween val="midCat"/>
      </c:valAx>
      <c:valAx>
        <c:axId val="2136397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6464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</a:t>
            </a:r>
            <a:r>
              <a:rPr lang="en-US" baseline="0"/>
              <a:t> Normality Plot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Bad!$G$36:$G$55</c:f>
              <c:numCache>
                <c:formatCode>General</c:formatCode>
                <c:ptCount val="20"/>
                <c:pt idx="0">
                  <c:v>-1.8682416548639302</c:v>
                </c:pt>
                <c:pt idx="1">
                  <c:v>-1.4034126358514019</c:v>
                </c:pt>
                <c:pt idx="2">
                  <c:v>-1.1281436452787641</c:v>
                </c:pt>
                <c:pt idx="3">
                  <c:v>-0.91913552204621074</c:v>
                </c:pt>
                <c:pt idx="4">
                  <c:v>-0.74414274222016763</c:v>
                </c:pt>
                <c:pt idx="5">
                  <c:v>-0.58945579784977842</c:v>
                </c:pt>
                <c:pt idx="6">
                  <c:v>-0.44776751848294888</c:v>
                </c:pt>
                <c:pt idx="7">
                  <c:v>-0.31457229183888502</c:v>
                </c:pt>
                <c:pt idx="8">
                  <c:v>-0.18675612106373712</c:v>
                </c:pt>
                <c:pt idx="9">
                  <c:v>-6.1931623455317261E-2</c:v>
                </c:pt>
                <c:pt idx="10">
                  <c:v>6.1931623455317261E-2</c:v>
                </c:pt>
                <c:pt idx="11">
                  <c:v>0.18675612106373712</c:v>
                </c:pt>
                <c:pt idx="12">
                  <c:v>0.31457229183888502</c:v>
                </c:pt>
                <c:pt idx="13">
                  <c:v>0.44776751848294888</c:v>
                </c:pt>
                <c:pt idx="14">
                  <c:v>0.58945579784977842</c:v>
                </c:pt>
                <c:pt idx="15">
                  <c:v>0.74414274222016763</c:v>
                </c:pt>
                <c:pt idx="16">
                  <c:v>0.91913552204621074</c:v>
                </c:pt>
                <c:pt idx="17">
                  <c:v>1.1281436452787641</c:v>
                </c:pt>
                <c:pt idx="18">
                  <c:v>1.4034126358514019</c:v>
                </c:pt>
                <c:pt idx="19">
                  <c:v>1.8682416548639302</c:v>
                </c:pt>
              </c:numCache>
            </c:numRef>
          </c:xVal>
          <c:yVal>
            <c:numRef>
              <c:f>Bad!$H$36:$H$55</c:f>
              <c:numCache>
                <c:formatCode>General</c:formatCode>
                <c:ptCount val="20"/>
                <c:pt idx="0">
                  <c:v>-696973.38529188232</c:v>
                </c:pt>
                <c:pt idx="1">
                  <c:v>-667057.46118490095</c:v>
                </c:pt>
                <c:pt idx="2">
                  <c:v>-664599.00076001603</c:v>
                </c:pt>
                <c:pt idx="3">
                  <c:v>-646096.3842061453</c:v>
                </c:pt>
                <c:pt idx="4">
                  <c:v>-565468.77018566104</c:v>
                </c:pt>
                <c:pt idx="5">
                  <c:v>-548523.30867503909</c:v>
                </c:pt>
                <c:pt idx="6">
                  <c:v>-316788.53743983223</c:v>
                </c:pt>
                <c:pt idx="7">
                  <c:v>-115597.0014838404</c:v>
                </c:pt>
                <c:pt idx="8">
                  <c:v>-115597.0014838404</c:v>
                </c:pt>
                <c:pt idx="9">
                  <c:v>-96958.614056675578</c:v>
                </c:pt>
                <c:pt idx="10">
                  <c:v>-51694.078462596517</c:v>
                </c:pt>
                <c:pt idx="11">
                  <c:v>34474.616879591718</c:v>
                </c:pt>
                <c:pt idx="12">
                  <c:v>79789.693858347484</c:v>
                </c:pt>
                <c:pt idx="13">
                  <c:v>195912.38630523684</c:v>
                </c:pt>
                <c:pt idx="14">
                  <c:v>237757.61362238089</c:v>
                </c:pt>
                <c:pt idx="15">
                  <c:v>364112.1557308819</c:v>
                </c:pt>
                <c:pt idx="16">
                  <c:v>612047.54062466067</c:v>
                </c:pt>
                <c:pt idx="17">
                  <c:v>712565.69458217209</c:v>
                </c:pt>
                <c:pt idx="18">
                  <c:v>728549.69023922412</c:v>
                </c:pt>
                <c:pt idx="19">
                  <c:v>1520144.1513879336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F-4470-9B25-03294D90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7678728"/>
        <c:axId val="2119220856"/>
      </c:scatterChart>
      <c:valAx>
        <c:axId val="-2137678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19220856"/>
        <c:crosses val="autoZero"/>
        <c:crossBetween val="midCat"/>
      </c:valAx>
      <c:valAx>
        <c:axId val="2119220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137678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Real</a:t>
            </a:r>
            <a:r>
              <a:rPr lang="en-US" baseline="0"/>
              <a:t> and Predicted Values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 Values</c:v>
          </c:tx>
          <c:spPr>
            <a:ln w="47625">
              <a:noFill/>
            </a:ln>
          </c:spPr>
          <c:xVal>
            <c:numRef>
              <c:f>Good!$B$4:$B$23</c:f>
              <c:numCache>
                <c:formatCode>General</c:formatCode>
                <c:ptCount val="20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68</c:v>
                </c:pt>
                <c:pt idx="6">
                  <c:v>69</c:v>
                </c:pt>
                <c:pt idx="7">
                  <c:v>69</c:v>
                </c:pt>
                <c:pt idx="8">
                  <c:v>71</c:v>
                </c:pt>
                <c:pt idx="9">
                  <c:v>71</c:v>
                </c:pt>
                <c:pt idx="10">
                  <c:v>73</c:v>
                </c:pt>
                <c:pt idx="11">
                  <c:v>75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80</c:v>
                </c:pt>
              </c:numCache>
            </c:numRef>
          </c:xVal>
          <c:yVal>
            <c:numRef>
              <c:f>Good!$C$4:$C$23</c:f>
              <c:numCache>
                <c:formatCode>General</c:formatCode>
                <c:ptCount val="20"/>
                <c:pt idx="0">
                  <c:v>120</c:v>
                </c:pt>
                <c:pt idx="1">
                  <c:v>122.75</c:v>
                </c:pt>
                <c:pt idx="2">
                  <c:v>128.75</c:v>
                </c:pt>
                <c:pt idx="3">
                  <c:v>126</c:v>
                </c:pt>
                <c:pt idx="4">
                  <c:v>126</c:v>
                </c:pt>
                <c:pt idx="5">
                  <c:v>131</c:v>
                </c:pt>
                <c:pt idx="6">
                  <c:v>126.25</c:v>
                </c:pt>
                <c:pt idx="7">
                  <c:v>130.25</c:v>
                </c:pt>
                <c:pt idx="8">
                  <c:v>131.75</c:v>
                </c:pt>
                <c:pt idx="9">
                  <c:v>134.75</c:v>
                </c:pt>
                <c:pt idx="10">
                  <c:v>136.25</c:v>
                </c:pt>
                <c:pt idx="11">
                  <c:v>136.75</c:v>
                </c:pt>
                <c:pt idx="12">
                  <c:v>135</c:v>
                </c:pt>
                <c:pt idx="13">
                  <c:v>141</c:v>
                </c:pt>
                <c:pt idx="14">
                  <c:v>141</c:v>
                </c:pt>
                <c:pt idx="15">
                  <c:v>138.25</c:v>
                </c:pt>
                <c:pt idx="16">
                  <c:v>141.5</c:v>
                </c:pt>
                <c:pt idx="17">
                  <c:v>144.5</c:v>
                </c:pt>
                <c:pt idx="18">
                  <c:v>140.5</c:v>
                </c:pt>
                <c:pt idx="19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3-4714-A8AF-A49D46516B39}"/>
            </c:ext>
          </c:extLst>
        </c:ser>
        <c:ser>
          <c:idx val="1"/>
          <c:order val="1"/>
          <c:tx>
            <c:v>Predicted Values</c:v>
          </c:tx>
          <c:spPr>
            <a:ln w="47625">
              <a:noFill/>
            </a:ln>
          </c:spPr>
          <c:xVal>
            <c:numRef>
              <c:f>Good!$B$4:$B$23</c:f>
              <c:numCache>
                <c:formatCode>General</c:formatCode>
                <c:ptCount val="20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68</c:v>
                </c:pt>
                <c:pt idx="6">
                  <c:v>69</c:v>
                </c:pt>
                <c:pt idx="7">
                  <c:v>69</c:v>
                </c:pt>
                <c:pt idx="8">
                  <c:v>71</c:v>
                </c:pt>
                <c:pt idx="9">
                  <c:v>71</c:v>
                </c:pt>
                <c:pt idx="10">
                  <c:v>73</c:v>
                </c:pt>
                <c:pt idx="11">
                  <c:v>75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80</c:v>
                </c:pt>
              </c:numCache>
            </c:numRef>
          </c:xVal>
          <c:yVal>
            <c:numRef>
              <c:f>Good!$G$4:$G$23</c:f>
              <c:numCache>
                <c:formatCode>General</c:formatCode>
                <c:ptCount val="20"/>
                <c:pt idx="0">
                  <c:v>120.83920995896794</c:v>
                </c:pt>
                <c:pt idx="1">
                  <c:v>124.25142569024273</c:v>
                </c:pt>
                <c:pt idx="2">
                  <c:v>124.25142569024273</c:v>
                </c:pt>
                <c:pt idx="3">
                  <c:v>125.38883093400098</c:v>
                </c:pt>
                <c:pt idx="4">
                  <c:v>125.38883093400098</c:v>
                </c:pt>
                <c:pt idx="5">
                  <c:v>129.93845190903403</c:v>
                </c:pt>
                <c:pt idx="6">
                  <c:v>131.07585715279225</c:v>
                </c:pt>
                <c:pt idx="7">
                  <c:v>131.07585715279225</c:v>
                </c:pt>
                <c:pt idx="8">
                  <c:v>133.35066764030879</c:v>
                </c:pt>
                <c:pt idx="9">
                  <c:v>133.35066764030879</c:v>
                </c:pt>
                <c:pt idx="10">
                  <c:v>135.62547812782532</c:v>
                </c:pt>
                <c:pt idx="11">
                  <c:v>137.90028861534182</c:v>
                </c:pt>
                <c:pt idx="12">
                  <c:v>139.03769385910007</c:v>
                </c:pt>
                <c:pt idx="13">
                  <c:v>139.03769385910007</c:v>
                </c:pt>
                <c:pt idx="14">
                  <c:v>139.03769385910007</c:v>
                </c:pt>
                <c:pt idx="15">
                  <c:v>140.17509910285833</c:v>
                </c:pt>
                <c:pt idx="16">
                  <c:v>141.31250434661661</c:v>
                </c:pt>
                <c:pt idx="17">
                  <c:v>141.31250434661661</c:v>
                </c:pt>
                <c:pt idx="18">
                  <c:v>141.31250434661661</c:v>
                </c:pt>
                <c:pt idx="19">
                  <c:v>143.58731483413311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3-4714-A8AF-A49D46516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587272"/>
        <c:axId val="2141555944"/>
      </c:scatterChart>
      <c:valAx>
        <c:axId val="2140587272"/>
        <c:scaling>
          <c:orientation val="minMax"/>
          <c:min val="5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1555944"/>
        <c:crosses val="autoZero"/>
        <c:crossBetween val="midCat"/>
      </c:valAx>
      <c:valAx>
        <c:axId val="2141555944"/>
        <c:scaling>
          <c:orientation val="minMax"/>
          <c:max val="155"/>
          <c:min val="11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05872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 of Residuals</a:t>
            </a:r>
          </a:p>
        </c:rich>
      </c:tx>
      <c:layout>
        <c:manualLayout>
          <c:xMode val="edge"/>
          <c:yMode val="edge"/>
          <c:x val="0.39194963748343298"/>
          <c:y val="3.408408369834679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Good!$B$4:$B$23</c:f>
              <c:numCache>
                <c:formatCode>General</c:formatCode>
                <c:ptCount val="20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68</c:v>
                </c:pt>
                <c:pt idx="6">
                  <c:v>69</c:v>
                </c:pt>
                <c:pt idx="7">
                  <c:v>69</c:v>
                </c:pt>
                <c:pt idx="8">
                  <c:v>71</c:v>
                </c:pt>
                <c:pt idx="9">
                  <c:v>71</c:v>
                </c:pt>
                <c:pt idx="10">
                  <c:v>73</c:v>
                </c:pt>
                <c:pt idx="11">
                  <c:v>75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80</c:v>
                </c:pt>
              </c:numCache>
            </c:numRef>
          </c:xVal>
          <c:yVal>
            <c:numRef>
              <c:f>Good!$H$4:$H$23</c:f>
              <c:numCache>
                <c:formatCode>General</c:formatCode>
                <c:ptCount val="20"/>
                <c:pt idx="0">
                  <c:v>-0.83920995896794182</c:v>
                </c:pt>
                <c:pt idx="1">
                  <c:v>-1.5014256902427263</c:v>
                </c:pt>
                <c:pt idx="2">
                  <c:v>4.4985743097572737</c:v>
                </c:pt>
                <c:pt idx="3">
                  <c:v>0.61116906599902165</c:v>
                </c:pt>
                <c:pt idx="4">
                  <c:v>0.61116906599902165</c:v>
                </c:pt>
                <c:pt idx="5">
                  <c:v>1.0615480909659709</c:v>
                </c:pt>
                <c:pt idx="6">
                  <c:v>-4.8258571527922527</c:v>
                </c:pt>
                <c:pt idx="7">
                  <c:v>-0.82585715279225269</c:v>
                </c:pt>
                <c:pt idx="8">
                  <c:v>-1.6006676403087852</c:v>
                </c:pt>
                <c:pt idx="9">
                  <c:v>1.3993323596912148</c:v>
                </c:pt>
                <c:pt idx="10">
                  <c:v>0.62452187217468236</c:v>
                </c:pt>
                <c:pt idx="11">
                  <c:v>-1.1502886153418217</c:v>
                </c:pt>
                <c:pt idx="12">
                  <c:v>-4.0376938591000737</c:v>
                </c:pt>
                <c:pt idx="13">
                  <c:v>1.9623061408999263</c:v>
                </c:pt>
                <c:pt idx="14">
                  <c:v>1.9623061408999263</c:v>
                </c:pt>
                <c:pt idx="15">
                  <c:v>-1.9250991028583258</c:v>
                </c:pt>
                <c:pt idx="16">
                  <c:v>0.1874956533833938</c:v>
                </c:pt>
                <c:pt idx="17">
                  <c:v>3.1874956533833938</c:v>
                </c:pt>
                <c:pt idx="18">
                  <c:v>-0.8125043466166062</c:v>
                </c:pt>
                <c:pt idx="19">
                  <c:v>1.4126851658668897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5-48BA-AC9C-40646F5FB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389768"/>
        <c:axId val="2136894584"/>
      </c:scatterChart>
      <c:valAx>
        <c:axId val="2136389768"/>
        <c:scaling>
          <c:orientation val="minMax"/>
          <c:max val="81"/>
          <c:min val="5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6894584"/>
        <c:crosses val="autoZero"/>
        <c:crossBetween val="midCat"/>
      </c:valAx>
      <c:valAx>
        <c:axId val="2136894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6389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Normality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Good!$G$36:$G$55</c:f>
              <c:numCache>
                <c:formatCode>General</c:formatCode>
                <c:ptCount val="20"/>
                <c:pt idx="0">
                  <c:v>-1.8682416548639302</c:v>
                </c:pt>
                <c:pt idx="1">
                  <c:v>-1.4034126358514019</c:v>
                </c:pt>
                <c:pt idx="2">
                  <c:v>-1.1281436452787641</c:v>
                </c:pt>
                <c:pt idx="3">
                  <c:v>-0.91913552204621074</c:v>
                </c:pt>
                <c:pt idx="4">
                  <c:v>-0.74414274222016763</c:v>
                </c:pt>
                <c:pt idx="5">
                  <c:v>-0.58945579784977842</c:v>
                </c:pt>
                <c:pt idx="6">
                  <c:v>-0.44776751848294888</c:v>
                </c:pt>
                <c:pt idx="7">
                  <c:v>-0.31457229183888502</c:v>
                </c:pt>
                <c:pt idx="8">
                  <c:v>-0.18675612106373712</c:v>
                </c:pt>
                <c:pt idx="9">
                  <c:v>-6.1931623455317261E-2</c:v>
                </c:pt>
                <c:pt idx="10">
                  <c:v>6.1931623455317261E-2</c:v>
                </c:pt>
                <c:pt idx="11">
                  <c:v>0.18675612106373712</c:v>
                </c:pt>
                <c:pt idx="12">
                  <c:v>0.31457229183888502</c:v>
                </c:pt>
                <c:pt idx="13">
                  <c:v>0.44776751848294888</c:v>
                </c:pt>
                <c:pt idx="14">
                  <c:v>0.58945579784977842</c:v>
                </c:pt>
                <c:pt idx="15">
                  <c:v>0.74414274222016763</c:v>
                </c:pt>
                <c:pt idx="16">
                  <c:v>0.91913552204621074</c:v>
                </c:pt>
                <c:pt idx="17">
                  <c:v>1.1281436452787641</c:v>
                </c:pt>
                <c:pt idx="18">
                  <c:v>1.4034126358514019</c:v>
                </c:pt>
                <c:pt idx="19">
                  <c:v>1.8682416548639302</c:v>
                </c:pt>
              </c:numCache>
            </c:numRef>
          </c:xVal>
          <c:yVal>
            <c:numRef>
              <c:f>Good!$H$36:$H$55</c:f>
              <c:numCache>
                <c:formatCode>General</c:formatCode>
                <c:ptCount val="20"/>
                <c:pt idx="0">
                  <c:v>-4.8258571530000003</c:v>
                </c:pt>
                <c:pt idx="1">
                  <c:v>-4.037693859</c:v>
                </c:pt>
                <c:pt idx="2">
                  <c:v>-1.925099103</c:v>
                </c:pt>
                <c:pt idx="3">
                  <c:v>-1.6006676399999999</c:v>
                </c:pt>
                <c:pt idx="4">
                  <c:v>-1.50142569</c:v>
                </c:pt>
                <c:pt idx="5">
                  <c:v>-1.150288615</c:v>
                </c:pt>
                <c:pt idx="6">
                  <c:v>-0.83920995899999995</c:v>
                </c:pt>
                <c:pt idx="7">
                  <c:v>-0.82585715299999995</c:v>
                </c:pt>
                <c:pt idx="8">
                  <c:v>-0.81250434699999996</c:v>
                </c:pt>
                <c:pt idx="9">
                  <c:v>0.18749565300000001</c:v>
                </c:pt>
                <c:pt idx="10">
                  <c:v>0.61116906599999998</c:v>
                </c:pt>
                <c:pt idx="11">
                  <c:v>0.61116906599999998</c:v>
                </c:pt>
                <c:pt idx="12">
                  <c:v>0.62452187199999998</c:v>
                </c:pt>
                <c:pt idx="13">
                  <c:v>1.0615480909999999</c:v>
                </c:pt>
                <c:pt idx="14">
                  <c:v>1.3993323600000001</c:v>
                </c:pt>
                <c:pt idx="15">
                  <c:v>1.4126851659999999</c:v>
                </c:pt>
                <c:pt idx="16">
                  <c:v>1.962306141</c:v>
                </c:pt>
                <c:pt idx="17">
                  <c:v>1.962306141</c:v>
                </c:pt>
                <c:pt idx="18">
                  <c:v>3.187495653</c:v>
                </c:pt>
                <c:pt idx="19">
                  <c:v>4.4985743100000004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D-4B07-AF6C-5D53CA43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212088"/>
        <c:axId val="2097367416"/>
      </c:scatterChart>
      <c:valAx>
        <c:axId val="209721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7367416"/>
        <c:crosses val="autoZero"/>
        <c:crossBetween val="midCat"/>
      </c:valAx>
      <c:valAx>
        <c:axId val="2097367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7212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2</xdr:row>
      <xdr:rowOff>12700</xdr:rowOff>
    </xdr:from>
    <xdr:to>
      <xdr:col>18</xdr:col>
      <xdr:colOff>812800</xdr:colOff>
      <xdr:row>22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23</xdr:row>
      <xdr:rowOff>31750</xdr:rowOff>
    </xdr:from>
    <xdr:to>
      <xdr:col>19</xdr:col>
      <xdr:colOff>0</xdr:colOff>
      <xdr:row>45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46</xdr:row>
      <xdr:rowOff>19050</xdr:rowOff>
    </xdr:from>
    <xdr:to>
      <xdr:col>19</xdr:col>
      <xdr:colOff>12700</xdr:colOff>
      <xdr:row>66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812800</xdr:colOff>
      <xdr:row>2</xdr:row>
      <xdr:rowOff>25400</xdr:rowOff>
    </xdr:from>
    <xdr:to>
      <xdr:col>18</xdr:col>
      <xdr:colOff>812800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23</xdr:row>
      <xdr:rowOff>19050</xdr:rowOff>
    </xdr:from>
    <xdr:to>
      <xdr:col>19</xdr:col>
      <xdr:colOff>0</xdr:colOff>
      <xdr:row>43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45</xdr:row>
      <xdr:rowOff>19050</xdr:rowOff>
    </xdr:from>
    <xdr:to>
      <xdr:col>18</xdr:col>
      <xdr:colOff>812800</xdr:colOff>
      <xdr:row>65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opLeftCell="A33" workbookViewId="0">
      <selection activeCell="M81" sqref="M81"/>
    </sheetView>
  </sheetViews>
  <sheetFormatPr defaultColWidth="11" defaultRowHeight="15.75" x14ac:dyDescent="0.25"/>
  <cols>
    <col min="1" max="1" width="26.375" customWidth="1"/>
    <col min="2" max="2" width="19" customWidth="1"/>
    <col min="3" max="3" width="18.5" customWidth="1"/>
    <col min="5" max="6" width="12.125" bestFit="1" customWidth="1"/>
    <col min="7" max="7" width="12.625" customWidth="1"/>
    <col min="8" max="9" width="11" bestFit="1" customWidth="1"/>
  </cols>
  <sheetData>
    <row r="2" spans="2:8" x14ac:dyDescent="0.25">
      <c r="B2" s="2" t="s">
        <v>1</v>
      </c>
      <c r="C2" s="2" t="s">
        <v>0</v>
      </c>
      <c r="D2" s="3" t="s">
        <v>2</v>
      </c>
      <c r="E2" s="3" t="s">
        <v>3</v>
      </c>
      <c r="F2" s="3" t="s">
        <v>4</v>
      </c>
      <c r="G2" s="3" t="s">
        <v>11</v>
      </c>
      <c r="H2" s="4" t="s">
        <v>12</v>
      </c>
    </row>
    <row r="4" spans="2:8" x14ac:dyDescent="0.25">
      <c r="B4">
        <v>2</v>
      </c>
      <c r="C4">
        <f t="shared" ref="C4:C23" si="0">(B4^3)</f>
        <v>8</v>
      </c>
      <c r="D4">
        <f t="shared" ref="D4:D23" si="1">B4^2</f>
        <v>4</v>
      </c>
      <c r="E4">
        <f t="shared" ref="E4:E23" si="2">C4^2</f>
        <v>64</v>
      </c>
      <c r="F4">
        <f t="shared" ref="F4:F23" si="3">B4*C4</f>
        <v>16</v>
      </c>
      <c r="G4">
        <f t="shared" ref="G4:G23" si="4">$B4*$B$30+$B$31</f>
        <v>-712557.69458217209</v>
      </c>
      <c r="H4">
        <f t="shared" ref="H4:H23" si="5">C4-G4</f>
        <v>712565.69458217209</v>
      </c>
    </row>
    <row r="5" spans="2:8" x14ac:dyDescent="0.25">
      <c r="B5">
        <v>6</v>
      </c>
      <c r="C5">
        <f t="shared" si="0"/>
        <v>216</v>
      </c>
      <c r="D5">
        <f t="shared" si="1"/>
        <v>36</v>
      </c>
      <c r="E5">
        <f t="shared" si="2"/>
        <v>46656</v>
      </c>
      <c r="F5">
        <f t="shared" si="3"/>
        <v>1296</v>
      </c>
      <c r="G5">
        <f t="shared" si="4"/>
        <v>-611831.54062466067</v>
      </c>
      <c r="H5">
        <f t="shared" si="5"/>
        <v>612047.54062466067</v>
      </c>
    </row>
    <row r="6" spans="2:8" x14ac:dyDescent="0.25">
      <c r="B6">
        <v>16</v>
      </c>
      <c r="C6">
        <f t="shared" si="0"/>
        <v>4096</v>
      </c>
      <c r="D6">
        <f t="shared" si="1"/>
        <v>256</v>
      </c>
      <c r="E6">
        <f t="shared" si="2"/>
        <v>16777216</v>
      </c>
      <c r="F6">
        <f t="shared" si="3"/>
        <v>65536</v>
      </c>
      <c r="G6">
        <f t="shared" si="4"/>
        <v>-360016.1557308819</v>
      </c>
      <c r="H6">
        <f t="shared" si="5"/>
        <v>364112.1557308819</v>
      </c>
    </row>
    <row r="7" spans="2:8" x14ac:dyDescent="0.25">
      <c r="B7">
        <v>23</v>
      </c>
      <c r="C7">
        <f t="shared" si="0"/>
        <v>12167</v>
      </c>
      <c r="D7">
        <f t="shared" si="1"/>
        <v>529</v>
      </c>
      <c r="E7">
        <f t="shared" si="2"/>
        <v>148035889</v>
      </c>
      <c r="F7">
        <f t="shared" si="3"/>
        <v>279841</v>
      </c>
      <c r="G7">
        <f t="shared" si="4"/>
        <v>-183745.38630523684</v>
      </c>
      <c r="H7">
        <f t="shared" si="5"/>
        <v>195912.38630523684</v>
      </c>
    </row>
    <row r="8" spans="2:8" x14ac:dyDescent="0.25">
      <c r="B8">
        <v>28</v>
      </c>
      <c r="C8">
        <f t="shared" si="0"/>
        <v>21952</v>
      </c>
      <c r="D8">
        <f t="shared" si="1"/>
        <v>784</v>
      </c>
      <c r="E8">
        <f t="shared" si="2"/>
        <v>481890304</v>
      </c>
      <c r="F8">
        <f t="shared" si="3"/>
        <v>614656</v>
      </c>
      <c r="G8">
        <f t="shared" si="4"/>
        <v>-57837.693858347484</v>
      </c>
      <c r="H8">
        <f t="shared" si="5"/>
        <v>79789.693858347484</v>
      </c>
    </row>
    <row r="9" spans="2:8" x14ac:dyDescent="0.25">
      <c r="B9">
        <v>30</v>
      </c>
      <c r="C9">
        <f t="shared" si="0"/>
        <v>27000</v>
      </c>
      <c r="D9">
        <f t="shared" si="1"/>
        <v>900</v>
      </c>
      <c r="E9">
        <f t="shared" si="2"/>
        <v>729000000</v>
      </c>
      <c r="F9">
        <f t="shared" si="3"/>
        <v>810000</v>
      </c>
      <c r="G9">
        <f t="shared" si="4"/>
        <v>-7474.6168795917183</v>
      </c>
      <c r="H9">
        <f t="shared" si="5"/>
        <v>34474.616879591718</v>
      </c>
    </row>
    <row r="10" spans="2:8" x14ac:dyDescent="0.25">
      <c r="B10">
        <v>36</v>
      </c>
      <c r="C10">
        <f t="shared" si="0"/>
        <v>46656</v>
      </c>
      <c r="D10">
        <f t="shared" si="1"/>
        <v>1296</v>
      </c>
      <c r="E10">
        <f t="shared" si="2"/>
        <v>2176782336</v>
      </c>
      <c r="F10">
        <f t="shared" si="3"/>
        <v>1679616</v>
      </c>
      <c r="G10">
        <f t="shared" si="4"/>
        <v>143614.61405667558</v>
      </c>
      <c r="H10">
        <f t="shared" si="5"/>
        <v>-96958.614056675578</v>
      </c>
    </row>
    <row r="11" spans="2:8" x14ac:dyDescent="0.25">
      <c r="B11">
        <v>47</v>
      </c>
      <c r="C11">
        <f t="shared" si="0"/>
        <v>103823</v>
      </c>
      <c r="D11">
        <f t="shared" si="1"/>
        <v>2209</v>
      </c>
      <c r="E11">
        <f t="shared" si="2"/>
        <v>10779215329</v>
      </c>
      <c r="F11">
        <f t="shared" si="3"/>
        <v>4879681</v>
      </c>
      <c r="G11">
        <f t="shared" si="4"/>
        <v>420611.53743983223</v>
      </c>
      <c r="H11">
        <f t="shared" si="5"/>
        <v>-316788.53743983223</v>
      </c>
    </row>
    <row r="12" spans="2:8" x14ac:dyDescent="0.25">
      <c r="B12">
        <v>69</v>
      </c>
      <c r="C12">
        <f t="shared" si="0"/>
        <v>328509</v>
      </c>
      <c r="D12">
        <f t="shared" si="1"/>
        <v>4761</v>
      </c>
      <c r="E12">
        <f t="shared" si="2"/>
        <v>107918163081</v>
      </c>
      <c r="F12">
        <f t="shared" si="3"/>
        <v>22667121</v>
      </c>
      <c r="G12">
        <f t="shared" si="4"/>
        <v>974605.3842061453</v>
      </c>
      <c r="H12">
        <f t="shared" si="5"/>
        <v>-646096.3842061453</v>
      </c>
    </row>
    <row r="13" spans="2:8" x14ac:dyDescent="0.25">
      <c r="B13">
        <v>71</v>
      </c>
      <c r="C13">
        <f t="shared" si="0"/>
        <v>357911</v>
      </c>
      <c r="D13">
        <f t="shared" si="1"/>
        <v>5041</v>
      </c>
      <c r="E13">
        <f t="shared" si="2"/>
        <v>128100283921</v>
      </c>
      <c r="F13">
        <f t="shared" si="3"/>
        <v>25411681</v>
      </c>
      <c r="G13">
        <f t="shared" si="4"/>
        <v>1024968.461184901</v>
      </c>
      <c r="H13">
        <f t="shared" si="5"/>
        <v>-667057.46118490095</v>
      </c>
    </row>
    <row r="14" spans="2:8" x14ac:dyDescent="0.25">
      <c r="B14">
        <v>108</v>
      </c>
      <c r="C14">
        <f t="shared" si="0"/>
        <v>1259712</v>
      </c>
      <c r="D14">
        <f t="shared" si="1"/>
        <v>11664</v>
      </c>
      <c r="E14">
        <f t="shared" si="2"/>
        <v>1586874322944</v>
      </c>
      <c r="F14">
        <f t="shared" si="3"/>
        <v>136048896</v>
      </c>
      <c r="G14">
        <f t="shared" si="4"/>
        <v>1956685.3852918823</v>
      </c>
      <c r="H14">
        <f t="shared" si="5"/>
        <v>-696973.38529188232</v>
      </c>
    </row>
    <row r="15" spans="2:8" x14ac:dyDescent="0.25">
      <c r="B15">
        <v>111</v>
      </c>
      <c r="C15">
        <f t="shared" si="0"/>
        <v>1367631</v>
      </c>
      <c r="D15">
        <f t="shared" si="1"/>
        <v>12321</v>
      </c>
      <c r="E15">
        <f t="shared" si="2"/>
        <v>1870414552161</v>
      </c>
      <c r="F15">
        <f t="shared" si="3"/>
        <v>151807041</v>
      </c>
      <c r="G15">
        <f t="shared" si="4"/>
        <v>2032230.000760016</v>
      </c>
      <c r="H15">
        <f t="shared" si="5"/>
        <v>-664599.00076001603</v>
      </c>
    </row>
    <row r="16" spans="2:8" x14ac:dyDescent="0.25">
      <c r="B16">
        <v>118</v>
      </c>
      <c r="C16">
        <f t="shared" si="0"/>
        <v>1643032</v>
      </c>
      <c r="D16">
        <f t="shared" si="1"/>
        <v>13924</v>
      </c>
      <c r="E16">
        <f t="shared" si="2"/>
        <v>2699554153024</v>
      </c>
      <c r="F16">
        <f t="shared" si="3"/>
        <v>193877776</v>
      </c>
      <c r="G16">
        <f t="shared" si="4"/>
        <v>2208500.770185661</v>
      </c>
      <c r="H16">
        <f t="shared" si="5"/>
        <v>-565468.77018566104</v>
      </c>
    </row>
    <row r="17" spans="1:8" x14ac:dyDescent="0.25">
      <c r="B17">
        <v>119</v>
      </c>
      <c r="C17">
        <f t="shared" si="0"/>
        <v>1685159</v>
      </c>
      <c r="D17">
        <f t="shared" si="1"/>
        <v>14161</v>
      </c>
      <c r="E17">
        <f t="shared" si="2"/>
        <v>2839760855281</v>
      </c>
      <c r="F17">
        <f t="shared" si="3"/>
        <v>200533921</v>
      </c>
      <c r="G17">
        <f t="shared" si="4"/>
        <v>2233682.3086750391</v>
      </c>
      <c r="H17">
        <f t="shared" si="5"/>
        <v>-548523.30867503909</v>
      </c>
    </row>
    <row r="18" spans="1:8" x14ac:dyDescent="0.25">
      <c r="B18">
        <v>137</v>
      </c>
      <c r="C18">
        <f t="shared" si="0"/>
        <v>2571353</v>
      </c>
      <c r="D18">
        <f t="shared" si="1"/>
        <v>18769</v>
      </c>
      <c r="E18">
        <f t="shared" si="2"/>
        <v>6611856250609</v>
      </c>
      <c r="F18">
        <f t="shared" si="3"/>
        <v>352275361</v>
      </c>
      <c r="G18">
        <f t="shared" si="4"/>
        <v>2686950.0014838404</v>
      </c>
      <c r="H18">
        <f t="shared" si="5"/>
        <v>-115597.0014838404</v>
      </c>
    </row>
    <row r="19" spans="1:8" x14ac:dyDescent="0.25">
      <c r="B19">
        <v>137</v>
      </c>
      <c r="C19">
        <f t="shared" si="0"/>
        <v>2571353</v>
      </c>
      <c r="D19">
        <f t="shared" si="1"/>
        <v>18769</v>
      </c>
      <c r="E19">
        <f t="shared" si="2"/>
        <v>6611856250609</v>
      </c>
      <c r="F19">
        <f t="shared" si="3"/>
        <v>352275361</v>
      </c>
      <c r="G19">
        <f t="shared" si="4"/>
        <v>2686950.0014838404</v>
      </c>
      <c r="H19">
        <f t="shared" si="5"/>
        <v>-115597.0014838404</v>
      </c>
    </row>
    <row r="20" spans="1:8" x14ac:dyDescent="0.25">
      <c r="B20">
        <v>139</v>
      </c>
      <c r="C20">
        <f t="shared" si="0"/>
        <v>2685619</v>
      </c>
      <c r="D20">
        <f t="shared" si="1"/>
        <v>19321</v>
      </c>
      <c r="E20">
        <f t="shared" si="2"/>
        <v>7212549413161</v>
      </c>
      <c r="F20">
        <f t="shared" si="3"/>
        <v>373301041</v>
      </c>
      <c r="G20">
        <f t="shared" si="4"/>
        <v>2737313.0784625965</v>
      </c>
      <c r="H20">
        <f t="shared" si="5"/>
        <v>-51694.078462596517</v>
      </c>
    </row>
    <row r="21" spans="1:8" x14ac:dyDescent="0.25">
      <c r="B21">
        <v>147</v>
      </c>
      <c r="C21">
        <f t="shared" si="0"/>
        <v>3176523</v>
      </c>
      <c r="D21">
        <f t="shared" si="1"/>
        <v>21609</v>
      </c>
      <c r="E21">
        <f t="shared" si="2"/>
        <v>10090298369529</v>
      </c>
      <c r="F21">
        <f t="shared" si="3"/>
        <v>466948881</v>
      </c>
      <c r="G21">
        <f t="shared" si="4"/>
        <v>2938765.3863776191</v>
      </c>
      <c r="H21">
        <f t="shared" si="5"/>
        <v>237757.61362238089</v>
      </c>
    </row>
    <row r="22" spans="1:8" x14ac:dyDescent="0.25">
      <c r="B22">
        <v>158</v>
      </c>
      <c r="C22">
        <f t="shared" si="0"/>
        <v>3944312</v>
      </c>
      <c r="D22">
        <f t="shared" si="1"/>
        <v>24964</v>
      </c>
      <c r="E22">
        <f t="shared" si="2"/>
        <v>15557597153344</v>
      </c>
      <c r="F22">
        <f t="shared" si="3"/>
        <v>623201296</v>
      </c>
      <c r="G22">
        <f t="shared" si="4"/>
        <v>3215762.3097607759</v>
      </c>
      <c r="H22">
        <f t="shared" si="5"/>
        <v>728549.69023922412</v>
      </c>
    </row>
    <row r="23" spans="1:8" x14ac:dyDescent="0.25">
      <c r="B23">
        <v>172</v>
      </c>
      <c r="C23">
        <f t="shared" si="0"/>
        <v>5088448</v>
      </c>
      <c r="D23">
        <f t="shared" si="1"/>
        <v>29584</v>
      </c>
      <c r="E23">
        <f t="shared" si="2"/>
        <v>25892303048704</v>
      </c>
      <c r="F23">
        <f t="shared" si="3"/>
        <v>875213056</v>
      </c>
      <c r="G23">
        <f t="shared" si="4"/>
        <v>3568303.8486120664</v>
      </c>
      <c r="H23">
        <f t="shared" si="5"/>
        <v>1520144.1513879336</v>
      </c>
    </row>
    <row r="25" spans="1:8" x14ac:dyDescent="0.25">
      <c r="A25" s="1" t="s">
        <v>5</v>
      </c>
      <c r="B25">
        <f>SUM(B4:B23)</f>
        <v>1674</v>
      </c>
      <c r="C25">
        <f>SUM(C4:C23)</f>
        <v>26895480</v>
      </c>
      <c r="D25">
        <f>SUM(D4:D23)</f>
        <v>200902</v>
      </c>
      <c r="E25">
        <f>SUM(E4:E23)</f>
        <v>81223414564162</v>
      </c>
      <c r="F25">
        <f>SUM(F4:F23)</f>
        <v>3781892074</v>
      </c>
    </row>
    <row r="26" spans="1:8" x14ac:dyDescent="0.25">
      <c r="A26" s="1" t="s">
        <v>6</v>
      </c>
      <c r="B26">
        <f>B25/COUNT(B4:B23)</f>
        <v>83.7</v>
      </c>
      <c r="C26">
        <f>C25/COUNT(C4:C23)</f>
        <v>1344774</v>
      </c>
      <c r="D26">
        <f>D25/COUNT(D4:D23)</f>
        <v>10045.1</v>
      </c>
      <c r="E26">
        <f>E25/COUNT(E4:E23)</f>
        <v>4061170728208.1001</v>
      </c>
      <c r="F26">
        <f>F25/COUNT(F4:F23)</f>
        <v>189094603.69999999</v>
      </c>
    </row>
    <row r="27" spans="1:8" x14ac:dyDescent="0.25">
      <c r="A27" s="1" t="s">
        <v>7</v>
      </c>
      <c r="B27">
        <f>F25-B25*C25/10</f>
        <v>-720411278</v>
      </c>
    </row>
    <row r="28" spans="1:8" x14ac:dyDescent="0.25">
      <c r="A28" s="1" t="s">
        <v>8</v>
      </c>
      <c r="B28">
        <f>D25-B25^2/10</f>
        <v>-79325.599999999977</v>
      </c>
    </row>
    <row r="29" spans="1:8" x14ac:dyDescent="0.25">
      <c r="A29" s="1" t="s">
        <v>15</v>
      </c>
      <c r="B29">
        <f>COUNT(B4:B23)</f>
        <v>20</v>
      </c>
    </row>
    <row r="30" spans="1:8" x14ac:dyDescent="0.25">
      <c r="A30" s="1" t="s">
        <v>9</v>
      </c>
      <c r="B30">
        <f>(B29*F25-C25*B25)/(B29*D25-(B25)^2)</f>
        <v>25181.538489377872</v>
      </c>
    </row>
    <row r="31" spans="1:8" x14ac:dyDescent="0.25">
      <c r="A31" s="1" t="s">
        <v>10</v>
      </c>
      <c r="B31">
        <f>(C25-B30*B25)/B29</f>
        <v>-762920.77156092785</v>
      </c>
    </row>
    <row r="32" spans="1:8" x14ac:dyDescent="0.25">
      <c r="A32" s="1"/>
    </row>
    <row r="34" spans="2:8" x14ac:dyDescent="0.25">
      <c r="E34" s="7" t="s">
        <v>17</v>
      </c>
      <c r="F34" s="7"/>
      <c r="G34" s="7"/>
      <c r="H34" s="7"/>
    </row>
    <row r="35" spans="2:8" x14ac:dyDescent="0.25">
      <c r="E35" s="2" t="s">
        <v>16</v>
      </c>
      <c r="F35" s="2" t="s">
        <v>18</v>
      </c>
      <c r="G35" s="2" t="s">
        <v>19</v>
      </c>
      <c r="H35" s="2" t="s">
        <v>12</v>
      </c>
    </row>
    <row r="36" spans="2:8" x14ac:dyDescent="0.25">
      <c r="E36">
        <v>1</v>
      </c>
      <c r="F36">
        <f>(E36-3/8)/($B$29+1/4)</f>
        <v>3.0864197530864196E-2</v>
      </c>
      <c r="G36">
        <f>NORMSINV(F36)</f>
        <v>-1.8682416548639302</v>
      </c>
      <c r="H36" s="6">
        <v>-696973.38529188232</v>
      </c>
    </row>
    <row r="37" spans="2:8" x14ac:dyDescent="0.25">
      <c r="E37">
        <f>E36+1</f>
        <v>2</v>
      </c>
      <c r="F37">
        <f t="shared" ref="F37:F55" si="6">(E37-3/8)/($B$29+1/4)</f>
        <v>8.0246913580246909E-2</v>
      </c>
      <c r="G37">
        <f t="shared" ref="G37:G55" si="7">NORMSINV(F37)</f>
        <v>-1.4034126358514019</v>
      </c>
      <c r="H37" s="6">
        <v>-667057.46118490095</v>
      </c>
    </row>
    <row r="38" spans="2:8" x14ac:dyDescent="0.25">
      <c r="E38">
        <f t="shared" ref="E38:E55" si="8">E37+1</f>
        <v>3</v>
      </c>
      <c r="F38">
        <f t="shared" si="6"/>
        <v>0.12962962962962962</v>
      </c>
      <c r="G38">
        <f t="shared" si="7"/>
        <v>-1.1281436452787641</v>
      </c>
      <c r="H38" s="6">
        <v>-664599.00076001603</v>
      </c>
    </row>
    <row r="39" spans="2:8" x14ac:dyDescent="0.25">
      <c r="E39">
        <f t="shared" si="8"/>
        <v>4</v>
      </c>
      <c r="F39">
        <f t="shared" si="6"/>
        <v>0.17901234567901234</v>
      </c>
      <c r="G39">
        <f t="shared" si="7"/>
        <v>-0.91913552204621074</v>
      </c>
      <c r="H39" s="6">
        <v>-646096.3842061453</v>
      </c>
    </row>
    <row r="40" spans="2:8" x14ac:dyDescent="0.25">
      <c r="E40">
        <f t="shared" si="8"/>
        <v>5</v>
      </c>
      <c r="F40">
        <f t="shared" si="6"/>
        <v>0.22839506172839505</v>
      </c>
      <c r="G40">
        <f t="shared" si="7"/>
        <v>-0.74414274222016763</v>
      </c>
      <c r="H40" s="6">
        <v>-565468.77018566104</v>
      </c>
    </row>
    <row r="41" spans="2:8" x14ac:dyDescent="0.25">
      <c r="B41" s="5"/>
      <c r="E41">
        <f t="shared" si="8"/>
        <v>6</v>
      </c>
      <c r="F41">
        <f t="shared" si="6"/>
        <v>0.27777777777777779</v>
      </c>
      <c r="G41">
        <f t="shared" si="7"/>
        <v>-0.58945579784977842</v>
      </c>
      <c r="H41" s="6">
        <v>-548523.30867503909</v>
      </c>
    </row>
    <row r="42" spans="2:8" x14ac:dyDescent="0.25">
      <c r="E42">
        <f t="shared" si="8"/>
        <v>7</v>
      </c>
      <c r="F42">
        <f t="shared" si="6"/>
        <v>0.3271604938271605</v>
      </c>
      <c r="G42">
        <f t="shared" si="7"/>
        <v>-0.44776751848294888</v>
      </c>
      <c r="H42" s="6">
        <v>-316788.53743983223</v>
      </c>
    </row>
    <row r="43" spans="2:8" x14ac:dyDescent="0.25">
      <c r="E43">
        <f t="shared" si="8"/>
        <v>8</v>
      </c>
      <c r="F43">
        <f t="shared" si="6"/>
        <v>0.37654320987654322</v>
      </c>
      <c r="G43">
        <f t="shared" si="7"/>
        <v>-0.31457229183888502</v>
      </c>
      <c r="H43" s="6">
        <v>-115597.0014838404</v>
      </c>
    </row>
    <row r="44" spans="2:8" x14ac:dyDescent="0.25">
      <c r="E44">
        <f t="shared" si="8"/>
        <v>9</v>
      </c>
      <c r="F44">
        <f t="shared" si="6"/>
        <v>0.42592592592592593</v>
      </c>
      <c r="G44">
        <f t="shared" si="7"/>
        <v>-0.18675612106373712</v>
      </c>
      <c r="H44" s="6">
        <v>-115597.0014838404</v>
      </c>
    </row>
    <row r="45" spans="2:8" x14ac:dyDescent="0.25">
      <c r="E45">
        <f t="shared" si="8"/>
        <v>10</v>
      </c>
      <c r="F45">
        <f t="shared" si="6"/>
        <v>0.47530864197530864</v>
      </c>
      <c r="G45">
        <f t="shared" si="7"/>
        <v>-6.1931623455317261E-2</v>
      </c>
      <c r="H45" s="6">
        <v>-96958.614056675578</v>
      </c>
    </row>
    <row r="46" spans="2:8" x14ac:dyDescent="0.25">
      <c r="E46">
        <f t="shared" si="8"/>
        <v>11</v>
      </c>
      <c r="F46">
        <f t="shared" si="6"/>
        <v>0.52469135802469136</v>
      </c>
      <c r="G46">
        <f t="shared" si="7"/>
        <v>6.1931623455317261E-2</v>
      </c>
      <c r="H46" s="6">
        <v>-51694.078462596517</v>
      </c>
    </row>
    <row r="47" spans="2:8" x14ac:dyDescent="0.25">
      <c r="E47">
        <f t="shared" si="8"/>
        <v>12</v>
      </c>
      <c r="F47">
        <f t="shared" si="6"/>
        <v>0.57407407407407407</v>
      </c>
      <c r="G47">
        <f t="shared" si="7"/>
        <v>0.18675612106373712</v>
      </c>
      <c r="H47" s="6">
        <v>34474.616879591718</v>
      </c>
    </row>
    <row r="48" spans="2:8" x14ac:dyDescent="0.25">
      <c r="E48">
        <f t="shared" si="8"/>
        <v>13</v>
      </c>
      <c r="F48">
        <f t="shared" si="6"/>
        <v>0.62345679012345678</v>
      </c>
      <c r="G48">
        <f t="shared" si="7"/>
        <v>0.31457229183888502</v>
      </c>
      <c r="H48" s="6">
        <v>79789.693858347484</v>
      </c>
    </row>
    <row r="49" spans="5:8" x14ac:dyDescent="0.25">
      <c r="E49">
        <f t="shared" si="8"/>
        <v>14</v>
      </c>
      <c r="F49">
        <f t="shared" si="6"/>
        <v>0.6728395061728395</v>
      </c>
      <c r="G49">
        <f t="shared" si="7"/>
        <v>0.44776751848294888</v>
      </c>
      <c r="H49" s="6">
        <v>195912.38630523684</v>
      </c>
    </row>
    <row r="50" spans="5:8" x14ac:dyDescent="0.25">
      <c r="E50">
        <f t="shared" si="8"/>
        <v>15</v>
      </c>
      <c r="F50">
        <f t="shared" si="6"/>
        <v>0.72222222222222221</v>
      </c>
      <c r="G50">
        <f t="shared" si="7"/>
        <v>0.58945579784977842</v>
      </c>
      <c r="H50" s="6">
        <v>237757.61362238089</v>
      </c>
    </row>
    <row r="51" spans="5:8" x14ac:dyDescent="0.25">
      <c r="E51">
        <f t="shared" si="8"/>
        <v>16</v>
      </c>
      <c r="F51">
        <f t="shared" si="6"/>
        <v>0.77160493827160492</v>
      </c>
      <c r="G51">
        <f t="shared" si="7"/>
        <v>0.74414274222016763</v>
      </c>
      <c r="H51" s="6">
        <v>364112.1557308819</v>
      </c>
    </row>
    <row r="52" spans="5:8" x14ac:dyDescent="0.25">
      <c r="E52">
        <f t="shared" si="8"/>
        <v>17</v>
      </c>
      <c r="F52">
        <f t="shared" si="6"/>
        <v>0.82098765432098764</v>
      </c>
      <c r="G52">
        <f t="shared" si="7"/>
        <v>0.91913552204621074</v>
      </c>
      <c r="H52" s="6">
        <v>612047.54062466067</v>
      </c>
    </row>
    <row r="53" spans="5:8" x14ac:dyDescent="0.25">
      <c r="E53">
        <f t="shared" si="8"/>
        <v>18</v>
      </c>
      <c r="F53">
        <f t="shared" si="6"/>
        <v>0.87037037037037035</v>
      </c>
      <c r="G53">
        <f t="shared" si="7"/>
        <v>1.1281436452787641</v>
      </c>
      <c r="H53" s="6">
        <v>712565.69458217209</v>
      </c>
    </row>
    <row r="54" spans="5:8" x14ac:dyDescent="0.25">
      <c r="E54">
        <f t="shared" si="8"/>
        <v>19</v>
      </c>
      <c r="F54">
        <f t="shared" si="6"/>
        <v>0.91975308641975306</v>
      </c>
      <c r="G54">
        <f t="shared" si="7"/>
        <v>1.4034126358514019</v>
      </c>
      <c r="H54" s="6">
        <v>728549.69023922412</v>
      </c>
    </row>
    <row r="55" spans="5:8" x14ac:dyDescent="0.25">
      <c r="E55">
        <f t="shared" si="8"/>
        <v>20</v>
      </c>
      <c r="F55">
        <f t="shared" si="6"/>
        <v>0.96913580246913578</v>
      </c>
      <c r="G55">
        <f t="shared" si="7"/>
        <v>1.8682416548639302</v>
      </c>
      <c r="H55" s="6">
        <v>1520144.1513879336</v>
      </c>
    </row>
  </sheetData>
  <sortState ref="H36:H55">
    <sortCondition ref="H36"/>
  </sortState>
  <mergeCells count="1">
    <mergeCell ref="E34:H34"/>
  </mergeCells>
  <pageMargins left="0.75" right="0.75" top="1" bottom="1" header="0.5" footer="0.5"/>
  <pageSetup paperSize="9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5"/>
  <sheetViews>
    <sheetView tabSelected="1" workbookViewId="0">
      <selection activeCell="H28" sqref="H28"/>
    </sheetView>
  </sheetViews>
  <sheetFormatPr defaultColWidth="11" defaultRowHeight="15.75" x14ac:dyDescent="0.25"/>
  <cols>
    <col min="1" max="1" width="22.125" customWidth="1"/>
    <col min="2" max="2" width="19" customWidth="1"/>
    <col min="3" max="3" width="18.5" customWidth="1"/>
    <col min="5" max="6" width="12.125" bestFit="1" customWidth="1"/>
    <col min="7" max="7" width="12.625" customWidth="1"/>
    <col min="8" max="11" width="11" bestFit="1" customWidth="1"/>
  </cols>
  <sheetData>
    <row r="2" spans="2:9" x14ac:dyDescent="0.25">
      <c r="B2" s="2" t="s">
        <v>13</v>
      </c>
      <c r="C2" s="2" t="s">
        <v>14</v>
      </c>
      <c r="D2" s="3" t="s">
        <v>2</v>
      </c>
      <c r="E2" s="3" t="s">
        <v>3</v>
      </c>
      <c r="F2" s="3" t="s">
        <v>4</v>
      </c>
      <c r="G2" s="3" t="s">
        <v>11</v>
      </c>
      <c r="H2" s="4" t="s">
        <v>12</v>
      </c>
    </row>
    <row r="4" spans="2:9" x14ac:dyDescent="0.25">
      <c r="B4">
        <v>60</v>
      </c>
      <c r="C4" s="8">
        <v>120</v>
      </c>
      <c r="D4">
        <f>B4*B4</f>
        <v>3600</v>
      </c>
      <c r="E4">
        <f t="shared" ref="E4:E23" si="0">C4^2</f>
        <v>14400</v>
      </c>
      <c r="F4">
        <f t="shared" ref="F4:F23" si="1">B4*C4</f>
        <v>7200</v>
      </c>
      <c r="G4" s="9">
        <f t="shared" ref="G4:G23" si="2">$B4*$B$30+$B$31</f>
        <v>120.83920995896794</v>
      </c>
      <c r="H4">
        <f>C4-G4</f>
        <v>-0.83920995896794182</v>
      </c>
      <c r="I4">
        <f>B4*B30</f>
        <v>68.244314625495505</v>
      </c>
    </row>
    <row r="5" spans="2:9" x14ac:dyDescent="0.25">
      <c r="B5">
        <v>63</v>
      </c>
      <c r="C5" s="8">
        <v>122.75</v>
      </c>
      <c r="D5">
        <f t="shared" ref="D5:D23" si="3">B5*B5</f>
        <v>3969</v>
      </c>
      <c r="E5">
        <f t="shared" si="0"/>
        <v>15067.5625</v>
      </c>
      <c r="F5">
        <f t="shared" si="1"/>
        <v>7733.25</v>
      </c>
      <c r="G5" s="9">
        <f t="shared" si="2"/>
        <v>124.25142569024273</v>
      </c>
      <c r="H5">
        <f t="shared" ref="H5:H23" si="4">C5-G5</f>
        <v>-1.5014256902427263</v>
      </c>
    </row>
    <row r="6" spans="2:9" x14ac:dyDescent="0.25">
      <c r="B6">
        <v>63</v>
      </c>
      <c r="C6" s="8">
        <v>128.75</v>
      </c>
      <c r="D6">
        <f t="shared" si="3"/>
        <v>3969</v>
      </c>
      <c r="E6">
        <f t="shared" si="0"/>
        <v>16576.5625</v>
      </c>
      <c r="F6">
        <f t="shared" si="1"/>
        <v>8111.25</v>
      </c>
      <c r="G6" s="9">
        <f t="shared" si="2"/>
        <v>124.25142569024273</v>
      </c>
      <c r="H6">
        <f t="shared" si="4"/>
        <v>4.4985743097572737</v>
      </c>
    </row>
    <row r="7" spans="2:9" x14ac:dyDescent="0.25">
      <c r="B7">
        <v>64</v>
      </c>
      <c r="C7" s="8">
        <v>126</v>
      </c>
      <c r="D7">
        <f t="shared" si="3"/>
        <v>4096</v>
      </c>
      <c r="E7">
        <f t="shared" si="0"/>
        <v>15876</v>
      </c>
      <c r="F7">
        <f t="shared" si="1"/>
        <v>8064</v>
      </c>
      <c r="G7" s="9">
        <f t="shared" si="2"/>
        <v>125.38883093400098</v>
      </c>
      <c r="H7">
        <f t="shared" si="4"/>
        <v>0.61116906599902165</v>
      </c>
    </row>
    <row r="8" spans="2:9" x14ac:dyDescent="0.25">
      <c r="B8">
        <v>64</v>
      </c>
      <c r="C8" s="8">
        <v>126</v>
      </c>
      <c r="D8">
        <f t="shared" si="3"/>
        <v>4096</v>
      </c>
      <c r="E8">
        <f t="shared" si="0"/>
        <v>15876</v>
      </c>
      <c r="F8">
        <f t="shared" si="1"/>
        <v>8064</v>
      </c>
      <c r="G8" s="9">
        <f t="shared" si="2"/>
        <v>125.38883093400098</v>
      </c>
      <c r="H8">
        <f t="shared" si="4"/>
        <v>0.61116906599902165</v>
      </c>
    </row>
    <row r="9" spans="2:9" x14ac:dyDescent="0.25">
      <c r="B9">
        <v>68</v>
      </c>
      <c r="C9" s="8">
        <v>131</v>
      </c>
      <c r="D9">
        <f t="shared" si="3"/>
        <v>4624</v>
      </c>
      <c r="E9">
        <f t="shared" si="0"/>
        <v>17161</v>
      </c>
      <c r="F9">
        <f t="shared" si="1"/>
        <v>8908</v>
      </c>
      <c r="G9" s="9">
        <f t="shared" si="2"/>
        <v>129.93845190903403</v>
      </c>
      <c r="H9">
        <f t="shared" si="4"/>
        <v>1.0615480909659709</v>
      </c>
    </row>
    <row r="10" spans="2:9" x14ac:dyDescent="0.25">
      <c r="B10">
        <v>69</v>
      </c>
      <c r="C10" s="8">
        <v>126.25</v>
      </c>
      <c r="D10">
        <f t="shared" si="3"/>
        <v>4761</v>
      </c>
      <c r="E10">
        <f t="shared" si="0"/>
        <v>15939.0625</v>
      </c>
      <c r="F10">
        <f t="shared" si="1"/>
        <v>8711.25</v>
      </c>
      <c r="G10" s="9">
        <f t="shared" si="2"/>
        <v>131.07585715279225</v>
      </c>
      <c r="H10">
        <f t="shared" si="4"/>
        <v>-4.8258571527922527</v>
      </c>
    </row>
    <row r="11" spans="2:9" x14ac:dyDescent="0.25">
      <c r="B11">
        <v>69</v>
      </c>
      <c r="C11" s="8">
        <v>130.25</v>
      </c>
      <c r="D11">
        <f t="shared" si="3"/>
        <v>4761</v>
      </c>
      <c r="E11">
        <f t="shared" si="0"/>
        <v>16965.0625</v>
      </c>
      <c r="F11">
        <f t="shared" si="1"/>
        <v>8987.25</v>
      </c>
      <c r="G11" s="9">
        <f t="shared" si="2"/>
        <v>131.07585715279225</v>
      </c>
      <c r="H11">
        <f t="shared" si="4"/>
        <v>-0.82585715279225269</v>
      </c>
    </row>
    <row r="12" spans="2:9" x14ac:dyDescent="0.25">
      <c r="B12">
        <v>71</v>
      </c>
      <c r="C12" s="8">
        <v>131.75</v>
      </c>
      <c r="D12">
        <f t="shared" si="3"/>
        <v>5041</v>
      </c>
      <c r="E12">
        <f t="shared" si="0"/>
        <v>17358.0625</v>
      </c>
      <c r="F12">
        <f t="shared" si="1"/>
        <v>9354.25</v>
      </c>
      <c r="G12" s="9">
        <f t="shared" si="2"/>
        <v>133.35066764030879</v>
      </c>
      <c r="H12">
        <f t="shared" si="4"/>
        <v>-1.6006676403087852</v>
      </c>
    </row>
    <row r="13" spans="2:9" x14ac:dyDescent="0.25">
      <c r="B13">
        <v>71</v>
      </c>
      <c r="C13" s="8">
        <v>134.75</v>
      </c>
      <c r="D13">
        <f t="shared" si="3"/>
        <v>5041</v>
      </c>
      <c r="E13">
        <f t="shared" si="0"/>
        <v>18157.5625</v>
      </c>
      <c r="F13">
        <f t="shared" si="1"/>
        <v>9567.25</v>
      </c>
      <c r="G13" s="9">
        <f t="shared" si="2"/>
        <v>133.35066764030879</v>
      </c>
      <c r="H13">
        <f t="shared" si="4"/>
        <v>1.3993323596912148</v>
      </c>
    </row>
    <row r="14" spans="2:9" x14ac:dyDescent="0.25">
      <c r="B14">
        <v>73</v>
      </c>
      <c r="C14" s="8">
        <v>136.25</v>
      </c>
      <c r="D14">
        <f t="shared" si="3"/>
        <v>5329</v>
      </c>
      <c r="E14">
        <f t="shared" si="0"/>
        <v>18564.0625</v>
      </c>
      <c r="F14">
        <f t="shared" si="1"/>
        <v>9946.25</v>
      </c>
      <c r="G14" s="9">
        <f t="shared" si="2"/>
        <v>135.62547812782532</v>
      </c>
      <c r="H14">
        <f t="shared" si="4"/>
        <v>0.62452187217468236</v>
      </c>
    </row>
    <row r="15" spans="2:9" x14ac:dyDescent="0.25">
      <c r="B15">
        <v>75</v>
      </c>
      <c r="C15" s="8">
        <v>136.75</v>
      </c>
      <c r="D15">
        <f t="shared" si="3"/>
        <v>5625</v>
      </c>
      <c r="E15">
        <f t="shared" si="0"/>
        <v>18700.5625</v>
      </c>
      <c r="F15">
        <f t="shared" si="1"/>
        <v>10256.25</v>
      </c>
      <c r="G15" s="9">
        <f t="shared" si="2"/>
        <v>137.90028861534182</v>
      </c>
      <c r="H15">
        <f t="shared" si="4"/>
        <v>-1.1502886153418217</v>
      </c>
    </row>
    <row r="16" spans="2:9" x14ac:dyDescent="0.25">
      <c r="B16">
        <v>76</v>
      </c>
      <c r="C16" s="8">
        <v>135</v>
      </c>
      <c r="D16">
        <f t="shared" si="3"/>
        <v>5776</v>
      </c>
      <c r="E16">
        <f t="shared" si="0"/>
        <v>18225</v>
      </c>
      <c r="F16">
        <f t="shared" si="1"/>
        <v>10260</v>
      </c>
      <c r="G16" s="9">
        <f t="shared" si="2"/>
        <v>139.03769385910007</v>
      </c>
      <c r="H16">
        <f t="shared" si="4"/>
        <v>-4.0376938591000737</v>
      </c>
    </row>
    <row r="17" spans="1:8" x14ac:dyDescent="0.25">
      <c r="B17">
        <v>76</v>
      </c>
      <c r="C17" s="8">
        <v>141</v>
      </c>
      <c r="D17">
        <f t="shared" si="3"/>
        <v>5776</v>
      </c>
      <c r="E17">
        <f t="shared" si="0"/>
        <v>19881</v>
      </c>
      <c r="F17">
        <f t="shared" si="1"/>
        <v>10716</v>
      </c>
      <c r="G17" s="9">
        <f t="shared" si="2"/>
        <v>139.03769385910007</v>
      </c>
      <c r="H17">
        <f t="shared" si="4"/>
        <v>1.9623061408999263</v>
      </c>
    </row>
    <row r="18" spans="1:8" x14ac:dyDescent="0.25">
      <c r="B18">
        <v>76</v>
      </c>
      <c r="C18" s="8">
        <v>141</v>
      </c>
      <c r="D18">
        <f t="shared" si="3"/>
        <v>5776</v>
      </c>
      <c r="E18">
        <f t="shared" si="0"/>
        <v>19881</v>
      </c>
      <c r="F18">
        <f t="shared" si="1"/>
        <v>10716</v>
      </c>
      <c r="G18" s="9">
        <f t="shared" si="2"/>
        <v>139.03769385910007</v>
      </c>
      <c r="H18">
        <f t="shared" si="4"/>
        <v>1.9623061408999263</v>
      </c>
    </row>
    <row r="19" spans="1:8" x14ac:dyDescent="0.25">
      <c r="B19">
        <v>77</v>
      </c>
      <c r="C19" s="8">
        <v>138.25</v>
      </c>
      <c r="D19">
        <f t="shared" si="3"/>
        <v>5929</v>
      </c>
      <c r="E19">
        <f t="shared" si="0"/>
        <v>19113.0625</v>
      </c>
      <c r="F19">
        <f t="shared" si="1"/>
        <v>10645.25</v>
      </c>
      <c r="G19" s="9">
        <f t="shared" si="2"/>
        <v>140.17509910285833</v>
      </c>
      <c r="H19">
        <f t="shared" si="4"/>
        <v>-1.9250991028583258</v>
      </c>
    </row>
    <row r="20" spans="1:8" x14ac:dyDescent="0.25">
      <c r="B20">
        <v>78</v>
      </c>
      <c r="C20" s="8">
        <v>141.5</v>
      </c>
      <c r="D20">
        <f t="shared" si="3"/>
        <v>6084</v>
      </c>
      <c r="E20">
        <f t="shared" si="0"/>
        <v>20022.25</v>
      </c>
      <c r="F20">
        <f t="shared" si="1"/>
        <v>11037</v>
      </c>
      <c r="G20" s="9">
        <f t="shared" si="2"/>
        <v>141.31250434661661</v>
      </c>
      <c r="H20">
        <f t="shared" si="4"/>
        <v>0.1874956533833938</v>
      </c>
    </row>
    <row r="21" spans="1:8" x14ac:dyDescent="0.25">
      <c r="B21">
        <v>78</v>
      </c>
      <c r="C21" s="8">
        <v>144.5</v>
      </c>
      <c r="D21">
        <f t="shared" si="3"/>
        <v>6084</v>
      </c>
      <c r="E21">
        <f t="shared" si="0"/>
        <v>20880.25</v>
      </c>
      <c r="F21">
        <f t="shared" si="1"/>
        <v>11271</v>
      </c>
      <c r="G21" s="9">
        <f t="shared" si="2"/>
        <v>141.31250434661661</v>
      </c>
      <c r="H21">
        <f t="shared" si="4"/>
        <v>3.1874956533833938</v>
      </c>
    </row>
    <row r="22" spans="1:8" x14ac:dyDescent="0.25">
      <c r="B22">
        <v>78</v>
      </c>
      <c r="C22" s="8">
        <v>140.5</v>
      </c>
      <c r="D22">
        <f t="shared" si="3"/>
        <v>6084</v>
      </c>
      <c r="E22">
        <f t="shared" si="0"/>
        <v>19740.25</v>
      </c>
      <c r="F22">
        <f t="shared" si="1"/>
        <v>10959</v>
      </c>
      <c r="G22" s="9">
        <f t="shared" si="2"/>
        <v>141.31250434661661</v>
      </c>
      <c r="H22">
        <f t="shared" si="4"/>
        <v>-0.8125043466166062</v>
      </c>
    </row>
    <row r="23" spans="1:8" x14ac:dyDescent="0.25">
      <c r="B23">
        <v>80</v>
      </c>
      <c r="C23" s="8">
        <v>145</v>
      </c>
      <c r="D23">
        <f t="shared" si="3"/>
        <v>6400</v>
      </c>
      <c r="E23">
        <f t="shared" si="0"/>
        <v>21025</v>
      </c>
      <c r="F23">
        <f t="shared" si="1"/>
        <v>11600</v>
      </c>
      <c r="G23" s="9">
        <f t="shared" si="2"/>
        <v>143.58731483413311</v>
      </c>
      <c r="H23">
        <f t="shared" si="4"/>
        <v>1.4126851658668897</v>
      </c>
    </row>
    <row r="25" spans="1:8" x14ac:dyDescent="0.25">
      <c r="A25" s="1" t="s">
        <v>5</v>
      </c>
      <c r="B25">
        <f>SUM(B4:B23)</f>
        <v>1429</v>
      </c>
      <c r="C25">
        <f>SUM(C4:C23)</f>
        <v>2677.25</v>
      </c>
      <c r="D25">
        <f>SUM(D4:D23)</f>
        <v>102821</v>
      </c>
      <c r="E25">
        <f>SUM(E4:E23)</f>
        <v>359409.3125</v>
      </c>
      <c r="F25">
        <f>SUM(F4:F23)</f>
        <v>192107.25</v>
      </c>
    </row>
    <row r="26" spans="1:8" x14ac:dyDescent="0.25">
      <c r="A26" s="1" t="s">
        <v>6</v>
      </c>
      <c r="B26">
        <f>B25/COUNT(B4:B23)</f>
        <v>71.45</v>
      </c>
      <c r="C26">
        <f>C25/COUNT(C4:C23)</f>
        <v>133.86250000000001</v>
      </c>
      <c r="D26">
        <f>D25/COUNT(D4:D23)</f>
        <v>5141.05</v>
      </c>
      <c r="E26">
        <f>E25/COUNT(E4:E23)</f>
        <v>17970.465625000001</v>
      </c>
      <c r="F26">
        <f>F25/COUNT(F4:F23)</f>
        <v>9605.3624999999993</v>
      </c>
    </row>
    <row r="27" spans="1:8" x14ac:dyDescent="0.25">
      <c r="A27" s="1" t="s">
        <v>7</v>
      </c>
      <c r="B27">
        <f>F25-B25*C25/10</f>
        <v>-190471.77500000002</v>
      </c>
    </row>
    <row r="28" spans="1:8" x14ac:dyDescent="0.25">
      <c r="A28" s="1" t="s">
        <v>8</v>
      </c>
      <c r="B28">
        <f>D25-B25^2/10</f>
        <v>-101383.1</v>
      </c>
    </row>
    <row r="29" spans="1:8" x14ac:dyDescent="0.25">
      <c r="A29" s="1" t="s">
        <v>15</v>
      </c>
      <c r="B29">
        <f>COUNT(B4:B23)</f>
        <v>20</v>
      </c>
    </row>
    <row r="30" spans="1:8" x14ac:dyDescent="0.25">
      <c r="A30" s="1" t="s">
        <v>9</v>
      </c>
      <c r="B30">
        <f>(B29*F25-C25*B25)/(B29*D25-(B25)^2)</f>
        <v>1.1374052437582585</v>
      </c>
    </row>
    <row r="31" spans="1:8" x14ac:dyDescent="0.25">
      <c r="A31" s="1" t="s">
        <v>10</v>
      </c>
      <c r="B31">
        <f>(C25-B30*B25)/B29</f>
        <v>52.594895333472437</v>
      </c>
    </row>
    <row r="32" spans="1:8" x14ac:dyDescent="0.25">
      <c r="A32" s="1"/>
    </row>
    <row r="34" spans="5:8" x14ac:dyDescent="0.25">
      <c r="E34" s="7" t="s">
        <v>17</v>
      </c>
      <c r="F34" s="7"/>
      <c r="G34" s="7"/>
      <c r="H34" s="7"/>
    </row>
    <row r="35" spans="5:8" x14ac:dyDescent="0.25">
      <c r="E35" s="2" t="s">
        <v>16</v>
      </c>
      <c r="F35" s="2" t="s">
        <v>18</v>
      </c>
      <c r="G35" s="2" t="s">
        <v>19</v>
      </c>
      <c r="H35" s="2" t="s">
        <v>12</v>
      </c>
    </row>
    <row r="36" spans="5:8" x14ac:dyDescent="0.25">
      <c r="E36">
        <v>1</v>
      </c>
      <c r="F36">
        <f>(E36-3/8)/($B$29+1/4)</f>
        <v>3.0864197530864196E-2</v>
      </c>
      <c r="G36">
        <f>NORMSINV(F36)</f>
        <v>-1.8682416548639302</v>
      </c>
      <c r="H36" s="6">
        <v>-4.8258571530000003</v>
      </c>
    </row>
    <row r="37" spans="5:8" x14ac:dyDescent="0.25">
      <c r="E37">
        <f>E36+1</f>
        <v>2</v>
      </c>
      <c r="F37">
        <f t="shared" ref="F37:F55" si="5">(E37-3/8)/($B$29+1/4)</f>
        <v>8.0246913580246909E-2</v>
      </c>
      <c r="G37">
        <f t="shared" ref="G37:G55" si="6">NORMSINV(F37)</f>
        <v>-1.4034126358514019</v>
      </c>
      <c r="H37" s="6">
        <v>-4.037693859</v>
      </c>
    </row>
    <row r="38" spans="5:8" x14ac:dyDescent="0.25">
      <c r="E38">
        <f t="shared" ref="E38:E55" si="7">E37+1</f>
        <v>3</v>
      </c>
      <c r="F38">
        <f t="shared" si="5"/>
        <v>0.12962962962962962</v>
      </c>
      <c r="G38">
        <f t="shared" si="6"/>
        <v>-1.1281436452787641</v>
      </c>
      <c r="H38" s="6">
        <v>-1.925099103</v>
      </c>
    </row>
    <row r="39" spans="5:8" x14ac:dyDescent="0.25">
      <c r="E39">
        <f t="shared" si="7"/>
        <v>4</v>
      </c>
      <c r="F39">
        <f t="shared" si="5"/>
        <v>0.17901234567901234</v>
      </c>
      <c r="G39">
        <f t="shared" si="6"/>
        <v>-0.91913552204621074</v>
      </c>
      <c r="H39" s="6">
        <v>-1.6006676399999999</v>
      </c>
    </row>
    <row r="40" spans="5:8" x14ac:dyDescent="0.25">
      <c r="E40">
        <f t="shared" si="7"/>
        <v>5</v>
      </c>
      <c r="F40">
        <f t="shared" si="5"/>
        <v>0.22839506172839505</v>
      </c>
      <c r="G40">
        <f t="shared" si="6"/>
        <v>-0.74414274222016763</v>
      </c>
      <c r="H40" s="6">
        <v>-1.50142569</v>
      </c>
    </row>
    <row r="41" spans="5:8" x14ac:dyDescent="0.25">
      <c r="E41">
        <f t="shared" si="7"/>
        <v>6</v>
      </c>
      <c r="F41">
        <f t="shared" si="5"/>
        <v>0.27777777777777779</v>
      </c>
      <c r="G41">
        <f t="shared" si="6"/>
        <v>-0.58945579784977842</v>
      </c>
      <c r="H41" s="6">
        <v>-1.150288615</v>
      </c>
    </row>
    <row r="42" spans="5:8" x14ac:dyDescent="0.25">
      <c r="E42">
        <f t="shared" si="7"/>
        <v>7</v>
      </c>
      <c r="F42">
        <f t="shared" si="5"/>
        <v>0.3271604938271605</v>
      </c>
      <c r="G42">
        <f t="shared" si="6"/>
        <v>-0.44776751848294888</v>
      </c>
      <c r="H42" s="6">
        <v>-0.83920995899999995</v>
      </c>
    </row>
    <row r="43" spans="5:8" x14ac:dyDescent="0.25">
      <c r="E43">
        <f t="shared" si="7"/>
        <v>8</v>
      </c>
      <c r="F43">
        <f t="shared" si="5"/>
        <v>0.37654320987654322</v>
      </c>
      <c r="G43">
        <f t="shared" si="6"/>
        <v>-0.31457229183888502</v>
      </c>
      <c r="H43" s="6">
        <v>-0.82585715299999995</v>
      </c>
    </row>
    <row r="44" spans="5:8" x14ac:dyDescent="0.25">
      <c r="E44">
        <f t="shared" si="7"/>
        <v>9</v>
      </c>
      <c r="F44">
        <f t="shared" si="5"/>
        <v>0.42592592592592593</v>
      </c>
      <c r="G44">
        <f t="shared" si="6"/>
        <v>-0.18675612106373712</v>
      </c>
      <c r="H44" s="6">
        <v>-0.81250434699999996</v>
      </c>
    </row>
    <row r="45" spans="5:8" x14ac:dyDescent="0.25">
      <c r="E45">
        <f t="shared" si="7"/>
        <v>10</v>
      </c>
      <c r="F45">
        <f t="shared" si="5"/>
        <v>0.47530864197530864</v>
      </c>
      <c r="G45">
        <f t="shared" si="6"/>
        <v>-6.1931623455317261E-2</v>
      </c>
      <c r="H45" s="6">
        <v>0.18749565300000001</v>
      </c>
    </row>
    <row r="46" spans="5:8" x14ac:dyDescent="0.25">
      <c r="E46">
        <f t="shared" si="7"/>
        <v>11</v>
      </c>
      <c r="F46">
        <f t="shared" si="5"/>
        <v>0.52469135802469136</v>
      </c>
      <c r="G46">
        <f t="shared" si="6"/>
        <v>6.1931623455317261E-2</v>
      </c>
      <c r="H46" s="6">
        <v>0.61116906599999998</v>
      </c>
    </row>
    <row r="47" spans="5:8" x14ac:dyDescent="0.25">
      <c r="E47">
        <f t="shared" si="7"/>
        <v>12</v>
      </c>
      <c r="F47">
        <f t="shared" si="5"/>
        <v>0.57407407407407407</v>
      </c>
      <c r="G47">
        <f t="shared" si="6"/>
        <v>0.18675612106373712</v>
      </c>
      <c r="H47" s="6">
        <v>0.61116906599999998</v>
      </c>
    </row>
    <row r="48" spans="5:8" x14ac:dyDescent="0.25">
      <c r="E48">
        <f t="shared" si="7"/>
        <v>13</v>
      </c>
      <c r="F48">
        <f t="shared" si="5"/>
        <v>0.62345679012345678</v>
      </c>
      <c r="G48">
        <f t="shared" si="6"/>
        <v>0.31457229183888502</v>
      </c>
      <c r="H48" s="6">
        <v>0.62452187199999998</v>
      </c>
    </row>
    <row r="49" spans="5:8" x14ac:dyDescent="0.25">
      <c r="E49">
        <f t="shared" si="7"/>
        <v>14</v>
      </c>
      <c r="F49">
        <f t="shared" si="5"/>
        <v>0.6728395061728395</v>
      </c>
      <c r="G49">
        <f t="shared" si="6"/>
        <v>0.44776751848294888</v>
      </c>
      <c r="H49" s="6">
        <v>1.0615480909999999</v>
      </c>
    </row>
    <row r="50" spans="5:8" x14ac:dyDescent="0.25">
      <c r="E50">
        <f t="shared" si="7"/>
        <v>15</v>
      </c>
      <c r="F50">
        <f t="shared" si="5"/>
        <v>0.72222222222222221</v>
      </c>
      <c r="G50">
        <f t="shared" si="6"/>
        <v>0.58945579784977842</v>
      </c>
      <c r="H50" s="6">
        <v>1.3993323600000001</v>
      </c>
    </row>
    <row r="51" spans="5:8" x14ac:dyDescent="0.25">
      <c r="E51">
        <f t="shared" si="7"/>
        <v>16</v>
      </c>
      <c r="F51">
        <f t="shared" si="5"/>
        <v>0.77160493827160492</v>
      </c>
      <c r="G51">
        <f t="shared" si="6"/>
        <v>0.74414274222016763</v>
      </c>
      <c r="H51" s="6">
        <v>1.4126851659999999</v>
      </c>
    </row>
    <row r="52" spans="5:8" x14ac:dyDescent="0.25">
      <c r="E52">
        <f t="shared" si="7"/>
        <v>17</v>
      </c>
      <c r="F52">
        <f t="shared" si="5"/>
        <v>0.82098765432098764</v>
      </c>
      <c r="G52">
        <f t="shared" si="6"/>
        <v>0.91913552204621074</v>
      </c>
      <c r="H52" s="6">
        <v>1.962306141</v>
      </c>
    </row>
    <row r="53" spans="5:8" x14ac:dyDescent="0.25">
      <c r="E53">
        <f t="shared" si="7"/>
        <v>18</v>
      </c>
      <c r="F53">
        <f t="shared" si="5"/>
        <v>0.87037037037037035</v>
      </c>
      <c r="G53">
        <f t="shared" si="6"/>
        <v>1.1281436452787641</v>
      </c>
      <c r="H53" s="6">
        <v>1.962306141</v>
      </c>
    </row>
    <row r="54" spans="5:8" x14ac:dyDescent="0.25">
      <c r="E54">
        <f t="shared" si="7"/>
        <v>19</v>
      </c>
      <c r="F54">
        <f t="shared" si="5"/>
        <v>0.91975308641975306</v>
      </c>
      <c r="G54">
        <f t="shared" si="6"/>
        <v>1.4034126358514019</v>
      </c>
      <c r="H54" s="6">
        <v>3.187495653</v>
      </c>
    </row>
    <row r="55" spans="5:8" x14ac:dyDescent="0.25">
      <c r="E55">
        <f t="shared" si="7"/>
        <v>20</v>
      </c>
      <c r="F55">
        <f t="shared" si="5"/>
        <v>0.96913580246913578</v>
      </c>
      <c r="G55">
        <f t="shared" si="6"/>
        <v>1.8682416548639302</v>
      </c>
      <c r="H55" s="6">
        <v>4.4985743100000004</v>
      </c>
    </row>
  </sheetData>
  <sortState ref="H36:H55">
    <sortCondition ref="H36"/>
  </sortState>
  <mergeCells count="1">
    <mergeCell ref="E34:H34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</vt:lpstr>
      <vt:lpstr>Good</vt:lpstr>
    </vt:vector>
  </TitlesOfParts>
  <Company>Grey Area 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Seufert</dc:creator>
  <cp:lastModifiedBy>user</cp:lastModifiedBy>
  <dcterms:created xsi:type="dcterms:W3CDTF">2012-10-04T14:14:08Z</dcterms:created>
  <dcterms:modified xsi:type="dcterms:W3CDTF">2018-08-26T03:55:12Z</dcterms:modified>
</cp:coreProperties>
</file>