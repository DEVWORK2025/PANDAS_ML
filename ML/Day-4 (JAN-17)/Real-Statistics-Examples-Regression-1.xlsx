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drawings/drawing1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8.xml" ContentType="application/vnd.openxmlformats-officedocument.drawing+xml"/>
  <Override PartName="/xl/charts/chart26.xml" ContentType="application/vnd.openxmlformats-officedocument.drawingml.chart+xml"/>
  <Override PartName="/xl/drawings/drawing19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20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21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2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drawings/drawing23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4.xml" ContentType="application/vnd.openxmlformats-officedocument.drawing+xml"/>
  <Override PartName="/xl/charts/chart5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5.xml" ContentType="application/vnd.openxmlformats-officedocument.drawing+xml"/>
  <Override PartName="/xl/charts/chart58.xml" ContentType="application/vnd.openxmlformats-officedocument.drawingml.chart+xml"/>
  <Override PartName="/xl/drawings/drawing26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drawings/drawing27.xml" ContentType="application/vnd.openxmlformats-officedocument.drawing+xml"/>
  <Override PartName="/xl/charts/chart6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8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29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drawings/drawing30.xml" ContentType="application/vnd.openxmlformats-officedocument.drawing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drawings/drawing31.xml" ContentType="application/vnd.openxmlformats-officedocument.drawing+xml"/>
  <Override PartName="/xl/charts/chart8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2.xml" ContentType="application/vnd.openxmlformats-officedocument.drawing+xml"/>
  <Override PartName="/xl/charts/chart8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3.xml" ContentType="application/vnd.openxmlformats-officedocument.drawing+xml"/>
  <Override PartName="/xl/charts/chart8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4.xml" ContentType="application/vnd.openxmlformats-officedocument.drawing+xml"/>
  <Override PartName="/xl/charts/chart8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5.xml" ContentType="application/vnd.openxmlformats-officedocument.drawing+xml"/>
  <Override PartName="/xl/charts/chart8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9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6.xml" ContentType="application/vnd.openxmlformats-officedocument.drawing+xml"/>
  <Override PartName="/xl/charts/chart9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7.xml" ContentType="application/vnd.openxmlformats-officedocument.drawing+xml"/>
  <Override PartName="/xl/charts/chart9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YLEARN\2-ANALYTICS-DataScience\ML\Linear Regression\"/>
    </mc:Choice>
  </mc:AlternateContent>
  <xr:revisionPtr revIDLastSave="0" documentId="13_ncr:1_{0ADA9D1B-7411-4A5F-9A06-BB031BBB456B}" xr6:coauthVersionLast="37" xr6:coauthVersionMax="37" xr10:uidLastSave="{00000000-0000-0000-0000-000000000000}"/>
  <bookViews>
    <workbookView xWindow="0" yWindow="0" windowWidth="20640" windowHeight="9150" tabRatio="805" activeTab="3" xr2:uid="{00000000-000D-0000-FFFF-FFFF00000000}"/>
  </bookViews>
  <sheets>
    <sheet name="TOC0" sheetId="405" r:id="rId1"/>
    <sheet name="TOC" sheetId="1" r:id="rId2"/>
    <sheet name="Reg 1" sheetId="81" r:id="rId3"/>
    <sheet name="Reg 2" sheetId="83" r:id="rId4"/>
    <sheet name="Reg 3" sheetId="84" r:id="rId5"/>
    <sheet name="Reg 4" sheetId="85" r:id="rId6"/>
    <sheet name="Reg 5" sheetId="86" r:id="rId7"/>
    <sheet name="Reg 6" sheetId="88" r:id="rId8"/>
    <sheet name="Reg 7" sheetId="815" r:id="rId9"/>
    <sheet name="Exp Reg" sheetId="89" r:id="rId10"/>
    <sheet name="Exp Reg1" sheetId="654" r:id="rId11"/>
    <sheet name="Exp Reg2" sheetId="655" r:id="rId12"/>
    <sheet name="Exp Reg3" sheetId="658" r:id="rId13"/>
    <sheet name="Exp Reg4" sheetId="659" r:id="rId14"/>
    <sheet name="Exp Reg5" sheetId="667" r:id="rId15"/>
    <sheet name="Pow Reg" sheetId="426" r:id="rId16"/>
    <sheet name="Reg T 1" sheetId="91" r:id="rId17"/>
    <sheet name="Reg T 1A" sheetId="92" r:id="rId18"/>
    <sheet name="Reg T 2" sheetId="94" r:id="rId19"/>
    <sheet name="Reg T 2A" sheetId="95" r:id="rId20"/>
    <sheet name="TReg" sheetId="780" r:id="rId21"/>
    <sheet name="Dem 1" sheetId="784" r:id="rId22"/>
    <sheet name="Dem 2" sheetId="783" r:id="rId23"/>
    <sheet name="Dem 3" sheetId="782" r:id="rId24"/>
    <sheet name="Dem 4" sheetId="781" r:id="rId25"/>
    <sheet name="Dem 5" sheetId="785" r:id="rId26"/>
    <sheet name="Dem 6" sheetId="786" r:id="rId27"/>
    <sheet name="Mult Reg 1" sheetId="98" r:id="rId28"/>
    <sheet name="Mult Reg 2" sheetId="99" r:id="rId29"/>
    <sheet name="Mult Reg 2A" sheetId="341" r:id="rId30"/>
    <sheet name="Mult Reg 2B" sheetId="395" r:id="rId31"/>
    <sheet name="Mult Reg 3" sheetId="100" r:id="rId32"/>
    <sheet name="Mult Reg 4" sheetId="101" r:id="rId33"/>
    <sheet name="Mult Reg 4A" sheetId="102" r:id="rId34"/>
    <sheet name="Mult Reg 5" sheetId="105" r:id="rId35"/>
    <sheet name="Mult Reg 5A" sheetId="103" r:id="rId36"/>
    <sheet name="Mult Reg 5B" sheetId="104" r:id="rId37"/>
    <sheet name="Mult Reg 5C" sheetId="106" r:id="rId38"/>
    <sheet name="Mult Reg 6" sheetId="107" r:id="rId39"/>
    <sheet name="Mult Reg 6A" sheetId="342" r:id="rId40"/>
    <sheet name="Mult Reg 6B" sheetId="427" r:id="rId41"/>
    <sheet name="Mult Reg 6C" sheetId="650" r:id="rId42"/>
    <sheet name="Mult Reg 7" sheetId="108" r:id="rId43"/>
    <sheet name="Mult Reg 8" sheetId="606" r:id="rId44"/>
    <sheet name="Mult Reg 8a" sheetId="607" r:id="rId45"/>
    <sheet name="Stepwise 1" sheetId="770" r:id="rId46"/>
    <sheet name="Stepwise 2" sheetId="769" r:id="rId47"/>
    <sheet name="Season" sheetId="732" r:id="rId48"/>
    <sheet name="Shapely" sheetId="730" r:id="rId49"/>
    <sheet name="MCorr" sheetId="727" r:id="rId50"/>
    <sheet name="Mult Reg Pow" sheetId="617" r:id="rId51"/>
    <sheet name="Mult Reg Pow 1" sheetId="616" r:id="rId52"/>
    <sheet name="Mult Reg Pow 2" sheetId="618" r:id="rId53"/>
    <sheet name="Poly Reg" sheetId="109" r:id="rId54"/>
    <sheet name="Poly Reg 1" sheetId="118" r:id="rId55"/>
    <sheet name="Poly Reg 2" sheetId="120" r:id="rId56"/>
    <sheet name="Poly Reg 3" sheetId="760" r:id="rId57"/>
    <sheet name="Poly Reg 4" sheetId="768" r:id="rId58"/>
    <sheet name="Log Reg" sheetId="431" r:id="rId59"/>
    <sheet name="Interaction Reg" sheetId="156" r:id="rId60"/>
    <sheet name="LAD 1" sheetId="761" r:id="rId61"/>
    <sheet name="LAD 2" sheetId="763" r:id="rId62"/>
    <sheet name="LAD 3" sheetId="762" r:id="rId63"/>
    <sheet name="LAD 4" sheetId="788" r:id="rId64"/>
    <sheet name="LAD 5" sheetId="789" r:id="rId65"/>
    <sheet name="TLS Reg" sheetId="787" r:id="rId66"/>
    <sheet name="Reg Anova 1" sheetId="208" r:id="rId67"/>
    <sheet name="Reg Anova 2" sheetId="209" r:id="rId68"/>
    <sheet name="Reg Anova 3" sheetId="219" r:id="rId69"/>
    <sheet name="Reg Anova 4" sheetId="221" r:id="rId70"/>
    <sheet name="Reg Anova 5" sheetId="448" r:id="rId71"/>
    <sheet name="Reg An3.1" sheetId="458" r:id="rId72"/>
    <sheet name="Reg An3.2" sheetId="459" r:id="rId73"/>
    <sheet name="ANOVA Match 2.5" sheetId="821" r:id="rId74"/>
    <sheet name="ANOVA Match 2.5A" sheetId="822" r:id="rId75"/>
    <sheet name="ANOVA Match 2.5B" sheetId="823" r:id="rId76"/>
    <sheet name="Res 1" sheetId="223" r:id="rId77"/>
    <sheet name="Res 2" sheetId="224" r:id="rId78"/>
    <sheet name="Res 3" sheetId="225" r:id="rId79"/>
    <sheet name="Cooks 1" sheetId="252" r:id="rId80"/>
    <sheet name="Cooks 2" sheetId="251" r:id="rId81"/>
    <sheet name="Cooks 3" sheetId="713" r:id="rId82"/>
    <sheet name="Reg No Const" sheetId="717" r:id="rId83"/>
    <sheet name="Reg No Const 1" sheetId="722" r:id="rId84"/>
    <sheet name="WReg A" sheetId="828" r:id="rId85"/>
    <sheet name="WReg B" sheetId="829" r:id="rId86"/>
    <sheet name="WReg C" sheetId="830" r:id="rId87"/>
    <sheet name="WReg D" sheetId="831" r:id="rId88"/>
    <sheet name="WReg E" sheetId="832" r:id="rId89"/>
    <sheet name=" WReg B0" sheetId="719" r:id="rId90"/>
    <sheet name="WReg0" sheetId="777" r:id="rId91"/>
    <sheet name="Robust" sheetId="721" r:id="rId92"/>
    <sheet name="Autocorr" sheetId="724" r:id="rId93"/>
    <sheet name="Runs" sheetId="820" r:id="rId94"/>
    <sheet name="Durbin" sheetId="473" r:id="rId95"/>
    <sheet name="BG" sheetId="817" r:id="rId96"/>
    <sheet name="OC" sheetId="819" r:id="rId97"/>
    <sheet name="Newey" sheetId="818" r:id="rId98"/>
    <sheet name="Collinearity" sheetId="179" r:id="rId99"/>
    <sheet name="VIF" sheetId="392" r:id="rId100"/>
    <sheet name="Ridge 1" sheetId="810" r:id="rId101"/>
    <sheet name="Ridge 2" sheetId="809" r:id="rId102"/>
    <sheet name="Ridge 3" sheetId="813" r:id="rId103"/>
    <sheet name="LASSO" sheetId="812" r:id="rId104"/>
    <sheet name="Med" sheetId="827" r:id="rId105"/>
    <sheet name="DW Table 1" sheetId="825" r:id="rId106"/>
    <sheet name="DW Table 2" sheetId="826" r:id="rId107"/>
  </sheets>
  <definedNames>
    <definedName name="solver_adj" localSheetId="10" hidden="1">'Exp Reg1'!$B$16:$B$17</definedName>
    <definedName name="solver_adj" localSheetId="11" hidden="1">'Exp Reg2'!$B$16:$B$17</definedName>
    <definedName name="solver_adj" localSheetId="30" hidden="1">'Mult Reg 2B'!$F$4:$F$6</definedName>
    <definedName name="solver_cvg" localSheetId="10" hidden="1">0.0001</definedName>
    <definedName name="solver_cvg" localSheetId="11" hidden="1">0.0001</definedName>
    <definedName name="solver_cvg" localSheetId="30" hidden="1">0.0001</definedName>
    <definedName name="solver_drv" localSheetId="10" hidden="1">1</definedName>
    <definedName name="solver_drv" localSheetId="11" hidden="1">1</definedName>
    <definedName name="solver_drv" localSheetId="30" hidden="1">1</definedName>
    <definedName name="solver_eng" localSheetId="10" hidden="1">1</definedName>
    <definedName name="solver_eng" localSheetId="11" hidden="1">1</definedName>
    <definedName name="solver_eng" localSheetId="30" hidden="1">1</definedName>
    <definedName name="solver_est" localSheetId="10" hidden="1">1</definedName>
    <definedName name="solver_est" localSheetId="11" hidden="1">1</definedName>
    <definedName name="solver_est" localSheetId="30" hidden="1">1</definedName>
    <definedName name="solver_itr" localSheetId="10" hidden="1">2147483647</definedName>
    <definedName name="solver_itr" localSheetId="11" hidden="1">2147483647</definedName>
    <definedName name="solver_itr" localSheetId="30" hidden="1">2147483647</definedName>
    <definedName name="solver_mip" localSheetId="10" hidden="1">2147483647</definedName>
    <definedName name="solver_mip" localSheetId="11" hidden="1">2147483647</definedName>
    <definedName name="solver_mip" localSheetId="30" hidden="1">2147483647</definedName>
    <definedName name="solver_mni" localSheetId="10" hidden="1">30</definedName>
    <definedName name="solver_mni" localSheetId="11" hidden="1">30</definedName>
    <definedName name="solver_mni" localSheetId="30" hidden="1">30</definedName>
    <definedName name="solver_mrt" localSheetId="10" hidden="1">0.075</definedName>
    <definedName name="solver_mrt" localSheetId="11" hidden="1">0.075</definedName>
    <definedName name="solver_mrt" localSheetId="30" hidden="1">0.075</definedName>
    <definedName name="solver_msl" localSheetId="10" hidden="1">2</definedName>
    <definedName name="solver_msl" localSheetId="11" hidden="1">2</definedName>
    <definedName name="solver_msl" localSheetId="30" hidden="1">2</definedName>
    <definedName name="solver_neg" localSheetId="10" hidden="1">2</definedName>
    <definedName name="solver_neg" localSheetId="11" hidden="1">2</definedName>
    <definedName name="solver_neg" localSheetId="30" hidden="1">1</definedName>
    <definedName name="solver_nod" localSheetId="10" hidden="1">2147483647</definedName>
    <definedName name="solver_nod" localSheetId="11" hidden="1">2147483647</definedName>
    <definedName name="solver_nod" localSheetId="30" hidden="1">2147483647</definedName>
    <definedName name="solver_num" localSheetId="10" hidden="1">0</definedName>
    <definedName name="solver_num" localSheetId="11" hidden="1">0</definedName>
    <definedName name="solver_num" localSheetId="30" hidden="1">0</definedName>
    <definedName name="solver_nwt" localSheetId="10" hidden="1">1</definedName>
    <definedName name="solver_nwt" localSheetId="11" hidden="1">1</definedName>
    <definedName name="solver_nwt" localSheetId="30" hidden="1">1</definedName>
    <definedName name="solver_opt" localSheetId="10" hidden="1">'Exp Reg1'!$E$15</definedName>
    <definedName name="solver_opt" localSheetId="11" hidden="1">'Exp Reg2'!$E$15</definedName>
    <definedName name="solver_opt" localSheetId="30" hidden="1">'Mult Reg 2B'!$F$8</definedName>
    <definedName name="solver_pre" localSheetId="10" hidden="1">0.000001</definedName>
    <definedName name="solver_pre" localSheetId="11" hidden="1">0.000001</definedName>
    <definedName name="solver_pre" localSheetId="30" hidden="1">0.000001</definedName>
    <definedName name="solver_rbv" localSheetId="10" hidden="1">1</definedName>
    <definedName name="solver_rbv" localSheetId="11" hidden="1">1</definedName>
    <definedName name="solver_rbv" localSheetId="30" hidden="1">1</definedName>
    <definedName name="solver_rlx" localSheetId="10" hidden="1">2</definedName>
    <definedName name="solver_rlx" localSheetId="11" hidden="1">2</definedName>
    <definedName name="solver_rlx" localSheetId="30" hidden="1">2</definedName>
    <definedName name="solver_rsd" localSheetId="10" hidden="1">0</definedName>
    <definedName name="solver_rsd" localSheetId="11" hidden="1">0</definedName>
    <definedName name="solver_rsd" localSheetId="30" hidden="1">0</definedName>
    <definedName name="solver_scl" localSheetId="10" hidden="1">1</definedName>
    <definedName name="solver_scl" localSheetId="11" hidden="1">1</definedName>
    <definedName name="solver_scl" localSheetId="30" hidden="1">1</definedName>
    <definedName name="solver_sho" localSheetId="10" hidden="1">2</definedName>
    <definedName name="solver_sho" localSheetId="11" hidden="1">2</definedName>
    <definedName name="solver_sho" localSheetId="30" hidden="1">2</definedName>
    <definedName name="solver_ssz" localSheetId="10" hidden="1">100</definedName>
    <definedName name="solver_ssz" localSheetId="11" hidden="1">100</definedName>
    <definedName name="solver_ssz" localSheetId="30" hidden="1">100</definedName>
    <definedName name="solver_tim" localSheetId="10" hidden="1">2147483647</definedName>
    <definedName name="solver_tim" localSheetId="11" hidden="1">2147483647</definedName>
    <definedName name="solver_tim" localSheetId="30" hidden="1">2147483647</definedName>
    <definedName name="solver_tol" localSheetId="10" hidden="1">0.01</definedName>
    <definedName name="solver_tol" localSheetId="11" hidden="1">0.01</definedName>
    <definedName name="solver_tol" localSheetId="30" hidden="1">0.01</definedName>
    <definedName name="solver_typ" localSheetId="10" hidden="1">2</definedName>
    <definedName name="solver_typ" localSheetId="11" hidden="1">2</definedName>
    <definedName name="solver_typ" localSheetId="30" hidden="1">2</definedName>
    <definedName name="solver_val" localSheetId="10" hidden="1">0</definedName>
    <definedName name="solver_val" localSheetId="11" hidden="1">0</definedName>
    <definedName name="solver_val" localSheetId="30" hidden="1">0</definedName>
    <definedName name="solver_ver" localSheetId="10" hidden="1">3</definedName>
    <definedName name="solver_ver" localSheetId="11" hidden="1">3</definedName>
    <definedName name="solver_ver" localSheetId="30" hidden="1">3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B24" i="832" l="1"/>
  <c r="P24" i="832"/>
  <c r="O24" i="832"/>
  <c r="AC24" i="832" s="1"/>
  <c r="N24" i="832"/>
  <c r="AD23" i="832"/>
  <c r="AC23" i="832"/>
  <c r="AB23" i="832"/>
  <c r="P23" i="832"/>
  <c r="O23" i="832"/>
  <c r="N23" i="832"/>
  <c r="AD22" i="832"/>
  <c r="P22" i="832"/>
  <c r="O22" i="832"/>
  <c r="AC22" i="832" s="1"/>
  <c r="N22" i="832"/>
  <c r="AB22" i="832" s="1"/>
  <c r="P21" i="832"/>
  <c r="O21" i="832"/>
  <c r="AC21" i="832" s="1"/>
  <c r="N21" i="832"/>
  <c r="AB21" i="832" s="1"/>
  <c r="P20" i="832"/>
  <c r="AD20" i="832" s="1"/>
  <c r="O20" i="832"/>
  <c r="AC20" i="832" s="1"/>
  <c r="N20" i="832"/>
  <c r="AB20" i="832" s="1"/>
  <c r="E20" i="832" a="1"/>
  <c r="E20" i="832" s="1"/>
  <c r="AD19" i="832"/>
  <c r="AC19" i="832"/>
  <c r="P19" i="832"/>
  <c r="O19" i="832"/>
  <c r="N19" i="832"/>
  <c r="AB19" i="832" s="1"/>
  <c r="AC18" i="832"/>
  <c r="P18" i="832"/>
  <c r="O18" i="832"/>
  <c r="N18" i="832"/>
  <c r="AB18" i="832" s="1"/>
  <c r="P17" i="832"/>
  <c r="AD17" i="832" s="1"/>
  <c r="O17" i="832"/>
  <c r="AC17" i="832" s="1"/>
  <c r="N17" i="832"/>
  <c r="AB17" i="832" s="1"/>
  <c r="AB16" i="832"/>
  <c r="P16" i="832"/>
  <c r="AD16" i="832" s="1"/>
  <c r="O16" i="832"/>
  <c r="AC16" i="832" s="1"/>
  <c r="N16" i="832"/>
  <c r="G16" i="832"/>
  <c r="P15" i="832"/>
  <c r="AD15" i="832" s="1"/>
  <c r="O15" i="832"/>
  <c r="AC15" i="832" s="1"/>
  <c r="N15" i="832"/>
  <c r="AB15" i="832" s="1"/>
  <c r="AC14" i="832"/>
  <c r="P14" i="832"/>
  <c r="AD14" i="832" s="1"/>
  <c r="O14" i="832"/>
  <c r="N14" i="832"/>
  <c r="AB14" i="832" s="1"/>
  <c r="F14" i="832"/>
  <c r="P13" i="832"/>
  <c r="AD13" i="832" s="1"/>
  <c r="O13" i="832"/>
  <c r="AC13" i="832" s="1"/>
  <c r="N13" i="832"/>
  <c r="AB13" i="832" s="1"/>
  <c r="P12" i="832"/>
  <c r="AD12" i="832" s="1"/>
  <c r="O12" i="832"/>
  <c r="AC12" i="832" s="1"/>
  <c r="N12" i="832"/>
  <c r="AB12" i="832" s="1"/>
  <c r="P11" i="832"/>
  <c r="AD11" i="832" s="1"/>
  <c r="O11" i="832"/>
  <c r="AC11" i="832" s="1"/>
  <c r="N11" i="832"/>
  <c r="AB11" i="832" s="1"/>
  <c r="P10" i="832"/>
  <c r="AD10" i="832" s="1"/>
  <c r="O10" i="832"/>
  <c r="AC10" i="832" s="1"/>
  <c r="N10" i="832"/>
  <c r="AB10" i="832" s="1"/>
  <c r="F10" i="832"/>
  <c r="P9" i="832"/>
  <c r="O9" i="832"/>
  <c r="AC9" i="832" s="1"/>
  <c r="N9" i="832"/>
  <c r="AB9" i="832" s="1"/>
  <c r="P8" i="832"/>
  <c r="O8" i="832"/>
  <c r="AC8" i="832" s="1"/>
  <c r="N8" i="832"/>
  <c r="AB8" i="832" s="1"/>
  <c r="AB7" i="832"/>
  <c r="P7" i="832"/>
  <c r="AD7" i="832" s="1"/>
  <c r="O7" i="832"/>
  <c r="AC7" i="832" s="1"/>
  <c r="N7" i="832"/>
  <c r="P6" i="832"/>
  <c r="AD6" i="832" s="1"/>
  <c r="O6" i="832"/>
  <c r="AC6" i="832" s="1"/>
  <c r="N6" i="832"/>
  <c r="AB6" i="832" s="1"/>
  <c r="AB5" i="832"/>
  <c r="P5" i="832"/>
  <c r="AD5" i="832" s="1"/>
  <c r="O5" i="832"/>
  <c r="AC5" i="832" s="1"/>
  <c r="N5" i="832"/>
  <c r="P4" i="832"/>
  <c r="AD4" i="832" s="1"/>
  <c r="O4" i="832"/>
  <c r="AC4" i="832" s="1"/>
  <c r="N4" i="832"/>
  <c r="P3" i="832"/>
  <c r="AD3" i="832" s="1"/>
  <c r="O3" i="832"/>
  <c r="AC3" i="832" s="1"/>
  <c r="N3" i="832"/>
  <c r="AB3" i="832" s="1"/>
  <c r="W20" i="831" a="1"/>
  <c r="W21" i="831" s="1"/>
  <c r="E20" i="831" a="1"/>
  <c r="E21" i="831" s="1"/>
  <c r="P18" i="831"/>
  <c r="O18" i="831"/>
  <c r="N18" i="831"/>
  <c r="P17" i="831"/>
  <c r="O17" i="831"/>
  <c r="N17" i="831"/>
  <c r="X16" i="831"/>
  <c r="P16" i="831"/>
  <c r="O16" i="831"/>
  <c r="N16" i="831"/>
  <c r="G16" i="831"/>
  <c r="P15" i="831"/>
  <c r="O15" i="831"/>
  <c r="N15" i="831"/>
  <c r="X14" i="831"/>
  <c r="P14" i="831"/>
  <c r="O14" i="831"/>
  <c r="N14" i="831"/>
  <c r="F14" i="831"/>
  <c r="P13" i="831"/>
  <c r="O13" i="831"/>
  <c r="N13" i="831"/>
  <c r="P12" i="831"/>
  <c r="O12" i="831"/>
  <c r="N12" i="831"/>
  <c r="P11" i="831"/>
  <c r="O11" i="831"/>
  <c r="N11" i="831"/>
  <c r="X10" i="831"/>
  <c r="P10" i="831"/>
  <c r="O10" i="831"/>
  <c r="N10" i="831"/>
  <c r="F10" i="831"/>
  <c r="P9" i="831"/>
  <c r="O9" i="831"/>
  <c r="N9" i="831"/>
  <c r="P8" i="831"/>
  <c r="O8" i="831"/>
  <c r="N8" i="831"/>
  <c r="P7" i="831"/>
  <c r="O7" i="831"/>
  <c r="N7" i="831"/>
  <c r="P6" i="831"/>
  <c r="O6" i="831"/>
  <c r="N6" i="831"/>
  <c r="P5" i="831"/>
  <c r="O5" i="831"/>
  <c r="N5" i="831"/>
  <c r="P4" i="831"/>
  <c r="O4" i="831"/>
  <c r="N4" i="831"/>
  <c r="P3" i="831"/>
  <c r="O3" i="831"/>
  <c r="N3" i="831"/>
  <c r="AD22" i="830"/>
  <c r="AD20" i="830" s="1"/>
  <c r="AS20" i="830" a="1"/>
  <c r="AS20" i="830" s="1"/>
  <c r="K20" i="830" a="1"/>
  <c r="K20" i="830" s="1"/>
  <c r="AN17" i="830"/>
  <c r="U17" i="830"/>
  <c r="T17" i="830"/>
  <c r="AT16" i="830"/>
  <c r="U16" i="830"/>
  <c r="T16" i="830"/>
  <c r="AN16" i="830" s="1"/>
  <c r="M16" i="830"/>
  <c r="AN15" i="830"/>
  <c r="U15" i="830"/>
  <c r="T15" i="830"/>
  <c r="AT14" i="830"/>
  <c r="U14" i="830"/>
  <c r="T14" i="830"/>
  <c r="AN14" i="830" s="1"/>
  <c r="L14" i="830"/>
  <c r="U13" i="830"/>
  <c r="T13" i="830"/>
  <c r="AN13" i="830" s="1"/>
  <c r="AN12" i="830"/>
  <c r="U12" i="830"/>
  <c r="T12" i="830"/>
  <c r="U11" i="830"/>
  <c r="T11" i="830"/>
  <c r="AN11" i="830" s="1"/>
  <c r="AT10" i="830"/>
  <c r="U10" i="830"/>
  <c r="T10" i="830"/>
  <c r="AN10" i="830" s="1"/>
  <c r="L10" i="830"/>
  <c r="L16" i="830" s="1"/>
  <c r="L15" i="830" s="1"/>
  <c r="U9" i="830"/>
  <c r="T9" i="830"/>
  <c r="AN9" i="830" s="1"/>
  <c r="AN8" i="830"/>
  <c r="U8" i="830"/>
  <c r="T8" i="830"/>
  <c r="U7" i="830"/>
  <c r="T7" i="830"/>
  <c r="AN7" i="830" s="1"/>
  <c r="S7" i="830"/>
  <c r="S8" i="830" s="1"/>
  <c r="S9" i="830" s="1"/>
  <c r="S10" i="830" s="1"/>
  <c r="S11" i="830" s="1"/>
  <c r="S12" i="830" s="1"/>
  <c r="S13" i="830" s="1"/>
  <c r="S14" i="830" s="1"/>
  <c r="S15" i="830" s="1"/>
  <c r="S16" i="830" s="1"/>
  <c r="S17" i="830" s="1"/>
  <c r="V6" i="830" a="1"/>
  <c r="V14" i="830" s="1"/>
  <c r="U6" i="830"/>
  <c r="T6" i="830"/>
  <c r="AN6" i="830" s="1"/>
  <c r="U5" i="830"/>
  <c r="T5" i="830"/>
  <c r="AN5" i="830" s="1"/>
  <c r="J20" i="829" a="1"/>
  <c r="J20" i="829" s="1"/>
  <c r="H12" i="829"/>
  <c r="D12" i="829"/>
  <c r="H11" i="829"/>
  <c r="D11" i="829"/>
  <c r="K10" i="829"/>
  <c r="H10" i="829"/>
  <c r="D10" i="829"/>
  <c r="H9" i="829"/>
  <c r="D9" i="829"/>
  <c r="H8" i="829"/>
  <c r="D8" i="829"/>
  <c r="H7" i="829"/>
  <c r="D7" i="829"/>
  <c r="H6" i="829"/>
  <c r="D6" i="829"/>
  <c r="A6" i="829"/>
  <c r="A7" i="829" s="1"/>
  <c r="A8" i="829" s="1"/>
  <c r="A9" i="829" s="1"/>
  <c r="A10" i="829" s="1"/>
  <c r="A11" i="829" s="1"/>
  <c r="A12" i="829" s="1"/>
  <c r="H5" i="829"/>
  <c r="D5" i="829"/>
  <c r="K14" i="829" s="1"/>
  <c r="M20" i="828" a="1"/>
  <c r="M20" i="828" s="1"/>
  <c r="E20" i="828" a="1"/>
  <c r="E20" i="828" s="1"/>
  <c r="O16" i="828"/>
  <c r="G16" i="828"/>
  <c r="N14" i="828"/>
  <c r="F14" i="828"/>
  <c r="N10" i="828"/>
  <c r="F10" i="828"/>
  <c r="F16" i="828" s="1"/>
  <c r="G15" i="827"/>
  <c r="G11" i="827" a="1"/>
  <c r="L9" i="827"/>
  <c r="L8" i="827"/>
  <c r="M4" i="812" a="1"/>
  <c r="I4" i="812" a="1"/>
  <c r="G24" i="813" a="1"/>
  <c r="G22" i="813"/>
  <c r="U17" i="809" a="1"/>
  <c r="W16" i="809" a="1"/>
  <c r="L6" i="809" a="1"/>
  <c r="G6" i="809" a="1"/>
  <c r="AD4" i="809" a="1"/>
  <c r="N23" i="810"/>
  <c r="I20" i="392"/>
  <c r="E20" i="392"/>
  <c r="I19" i="392"/>
  <c r="E19" i="392"/>
  <c r="Z22" i="818" a="1"/>
  <c r="W22" i="818" a="1"/>
  <c r="AF18" i="818"/>
  <c r="G14" i="827"/>
  <c r="L4" i="812" a="1"/>
  <c r="H4" i="812" a="1"/>
  <c r="E22" i="813"/>
  <c r="O17" i="809" a="1"/>
  <c r="AA13" i="809"/>
  <c r="X11" i="809" a="1"/>
  <c r="AG4" i="809" a="1"/>
  <c r="AC4" i="809" a="1"/>
  <c r="N22" i="810"/>
  <c r="P5" i="810" a="1"/>
  <c r="H20" i="392"/>
  <c r="D20" i="392"/>
  <c r="H19" i="392"/>
  <c r="D19" i="392"/>
  <c r="G7" i="827" a="1"/>
  <c r="K4" i="812" a="1"/>
  <c r="M2" i="813" a="1"/>
  <c r="AF4" i="809" a="1"/>
  <c r="AB4" i="809" a="1"/>
  <c r="N21" i="810"/>
  <c r="H19" i="810" a="1"/>
  <c r="C22" i="392"/>
  <c r="G20" i="392"/>
  <c r="C20" i="392"/>
  <c r="G19" i="392"/>
  <c r="C19" i="392"/>
  <c r="T22" i="818" a="1"/>
  <c r="O2" i="813" a="1"/>
  <c r="X13" i="809" a="1"/>
  <c r="AE4" i="809" a="1"/>
  <c r="J20" i="392"/>
  <c r="T17" i="818" a="1"/>
  <c r="BN27" i="819" a="1"/>
  <c r="CW19" i="819" a="1"/>
  <c r="BU19" i="819" a="1"/>
  <c r="AS19" i="819" a="1"/>
  <c r="Q19" i="819" a="1"/>
  <c r="CW17" i="819"/>
  <c r="BU17" i="819"/>
  <c r="AS17" i="819"/>
  <c r="Q17" i="819"/>
  <c r="CW3" i="819"/>
  <c r="BU3" i="819"/>
  <c r="AS3" i="819"/>
  <c r="Q3" i="819"/>
  <c r="AD26" i="817"/>
  <c r="X24" i="817"/>
  <c r="X21" i="817"/>
  <c r="G10" i="827" a="1"/>
  <c r="N4" i="812" a="1"/>
  <c r="O22" i="809"/>
  <c r="AA4" i="809" a="1"/>
  <c r="F20" i="392"/>
  <c r="AF19" i="818"/>
  <c r="BN24" i="819"/>
  <c r="CB19" i="819" a="1"/>
  <c r="AZ19" i="819" a="1"/>
  <c r="X19" i="819" a="1"/>
  <c r="CP17" i="819"/>
  <c r="BN17" i="819"/>
  <c r="AL17" i="819"/>
  <c r="J17" i="819"/>
  <c r="CP3" i="819"/>
  <c r="BN3" i="819"/>
  <c r="AL3" i="819"/>
  <c r="J3" i="819"/>
  <c r="AD25" i="817"/>
  <c r="X23" i="817"/>
  <c r="AM20" i="817"/>
  <c r="AG19" i="817" a="1"/>
  <c r="G9" i="827" a="1"/>
  <c r="J4" i="812" a="1"/>
  <c r="E24" i="813" a="1"/>
  <c r="K6" i="809" a="1"/>
  <c r="N20" i="810"/>
  <c r="J19" i="392"/>
  <c r="AC22" i="818" a="1"/>
  <c r="Z17" i="818" a="1"/>
  <c r="CI19" i="819" a="1"/>
  <c r="BG19" i="819" a="1"/>
  <c r="AE19" i="819" a="1"/>
  <c r="CI17" i="819"/>
  <c r="BG17" i="819"/>
  <c r="AE17" i="819"/>
  <c r="CI3" i="819"/>
  <c r="BG3" i="819"/>
  <c r="AE3" i="819"/>
  <c r="AD28" i="817"/>
  <c r="X25" i="817"/>
  <c r="X22" i="817"/>
  <c r="X20" i="817"/>
  <c r="AD19" i="817"/>
  <c r="G8" i="827" a="1"/>
  <c r="CP19" i="819" a="1"/>
  <c r="X17" i="819"/>
  <c r="X3" i="819"/>
  <c r="AD17" i="817"/>
  <c r="N15" i="473" a="1"/>
  <c r="Q7" i="473"/>
  <c r="L6" i="473"/>
  <c r="L4" i="473"/>
  <c r="L13" i="820"/>
  <c r="L7" i="820"/>
  <c r="Q5" i="820" a="1"/>
  <c r="L5" i="820"/>
  <c r="N20" i="721"/>
  <c r="M20" i="777" a="1"/>
  <c r="Q37" i="719"/>
  <c r="K17" i="719" a="1"/>
  <c r="L21" i="832"/>
  <c r="J19" i="819" a="1"/>
  <c r="AD27" i="817"/>
  <c r="AD16" i="817"/>
  <c r="AC7" i="817" a="1"/>
  <c r="Q10" i="473"/>
  <c r="O7" i="473"/>
  <c r="L5" i="473"/>
  <c r="L10" i="820"/>
  <c r="L6" i="820"/>
  <c r="N19" i="721"/>
  <c r="G19" i="777" a="1"/>
  <c r="K37" i="719" a="1"/>
  <c r="T17" i="719" a="1"/>
  <c r="AN20" i="832"/>
  <c r="AH19" i="832" a="1"/>
  <c r="AD21" i="831" a="1"/>
  <c r="L20" i="831"/>
  <c r="N19" i="828" a="1"/>
  <c r="AL19" i="819" a="1"/>
  <c r="CB17" i="819"/>
  <c r="CB3" i="819"/>
  <c r="AD24" i="817"/>
  <c r="R19" i="817" a="1"/>
  <c r="AD15" i="817"/>
  <c r="N26" i="473" a="1"/>
  <c r="N10" i="473" a="1"/>
  <c r="Q6" i="473"/>
  <c r="O3" i="473"/>
  <c r="L9" i="820"/>
  <c r="N18" i="721"/>
  <c r="M21" i="777" a="1"/>
  <c r="M19" i="777" a="1"/>
  <c r="Z18" i="719"/>
  <c r="AN23" i="832" a="1"/>
  <c r="F19" i="392"/>
  <c r="AZ3" i="819"/>
  <c r="Q8" i="473"/>
  <c r="L8" i="820"/>
  <c r="F19" i="831" a="1"/>
  <c r="X6" i="830" a="1"/>
  <c r="K19" i="829" a="1"/>
  <c r="F19" i="828" a="1"/>
  <c r="L17" i="722"/>
  <c r="H13" i="722"/>
  <c r="I12" i="722"/>
  <c r="F7" i="722"/>
  <c r="F5" i="722"/>
  <c r="L38" i="717"/>
  <c r="T24" i="717" a="1"/>
  <c r="K27" i="823"/>
  <c r="V25" i="823"/>
  <c r="V19" i="823"/>
  <c r="Q10" i="823"/>
  <c r="V26" i="822"/>
  <c r="U25" i="822"/>
  <c r="J21" i="822" a="1"/>
  <c r="U19" i="822"/>
  <c r="J14" i="822" a="1"/>
  <c r="K13" i="822" a="1"/>
  <c r="Q8" i="822"/>
  <c r="J7" i="822" a="1"/>
  <c r="K6" i="822" a="1"/>
  <c r="AF241" i="821"/>
  <c r="AF218" i="821"/>
  <c r="AF214" i="821"/>
  <c r="AF178" i="821"/>
  <c r="AF174" i="821"/>
  <c r="AF170" i="821"/>
  <c r="Z166" i="821" a="1"/>
  <c r="AF144" i="821"/>
  <c r="AF140" i="821"/>
  <c r="AF136" i="821"/>
  <c r="AF132" i="821"/>
  <c r="AF111" i="821"/>
  <c r="AF88" i="821"/>
  <c r="AF64" i="821"/>
  <c r="AF60" i="821"/>
  <c r="AF56" i="821"/>
  <c r="AF34" i="821"/>
  <c r="AF30" i="821"/>
  <c r="AF26" i="821"/>
  <c r="AF22" i="821"/>
  <c r="AF18" i="821"/>
  <c r="W6" i="459" a="1"/>
  <c r="BN19" i="819" a="1"/>
  <c r="AZ17" i="819"/>
  <c r="AM21" i="817"/>
  <c r="AD18" i="817"/>
  <c r="O6" i="473"/>
  <c r="AN21" i="832"/>
  <c r="X23" i="831"/>
  <c r="AD20" i="831" a="1"/>
  <c r="AT19" i="830" a="1"/>
  <c r="L19" i="830" a="1"/>
  <c r="F17" i="722" a="1"/>
  <c r="G13" i="722"/>
  <c r="H12" i="722"/>
  <c r="I6" i="722"/>
  <c r="I4" i="722"/>
  <c r="L18" i="717"/>
  <c r="V26" i="823"/>
  <c r="U25" i="823"/>
  <c r="J21" i="823" a="1"/>
  <c r="U19" i="823"/>
  <c r="J14" i="823" a="1"/>
  <c r="K13" i="823" a="1"/>
  <c r="Q8" i="823"/>
  <c r="J7" i="823" a="1"/>
  <c r="K6" i="823" a="1"/>
  <c r="U26" i="822"/>
  <c r="V20" i="822"/>
  <c r="Q12" i="822"/>
  <c r="AF221" i="821"/>
  <c r="AF217" i="821"/>
  <c r="AF181" i="821"/>
  <c r="AF177" i="821"/>
  <c r="AF173" i="821"/>
  <c r="AF169" i="821"/>
  <c r="AF143" i="821"/>
  <c r="AF139" i="821"/>
  <c r="AF135" i="821"/>
  <c r="Z131" i="821" a="1"/>
  <c r="AF91" i="821"/>
  <c r="AF67" i="821"/>
  <c r="AF63" i="821"/>
  <c r="AF59" i="821"/>
  <c r="AF55" i="821"/>
  <c r="AF33" i="821"/>
  <c r="AF29" i="821"/>
  <c r="AF25" i="821"/>
  <c r="AF21" i="821"/>
  <c r="Z17" i="821" a="1"/>
  <c r="X8" i="459" a="1"/>
  <c r="O4" i="473"/>
  <c r="N5" i="820" a="1"/>
  <c r="H17" i="721" a="1"/>
  <c r="Q38" i="719"/>
  <c r="L20" i="832"/>
  <c r="G14" i="722"/>
  <c r="F13" i="722"/>
  <c r="G12" i="722"/>
  <c r="F6" i="722"/>
  <c r="F4" i="722"/>
  <c r="L17" i="717"/>
  <c r="U26" i="823"/>
  <c r="V20" i="823"/>
  <c r="Q12" i="823"/>
  <c r="E5" i="823" a="1"/>
  <c r="K26" i="822"/>
  <c r="U20" i="822"/>
  <c r="K20" i="822" a="1"/>
  <c r="Q11" i="822"/>
  <c r="F5" i="822" a="1"/>
  <c r="AF220" i="821"/>
  <c r="AF216" i="821"/>
  <c r="AF180" i="821"/>
  <c r="AF176" i="821"/>
  <c r="AF172" i="821"/>
  <c r="AF168" i="821"/>
  <c r="AF146" i="821"/>
  <c r="AF142" i="821"/>
  <c r="AF138" i="821"/>
  <c r="AF134" i="821"/>
  <c r="AF90" i="821"/>
  <c r="AF66" i="821"/>
  <c r="AF62" i="821"/>
  <c r="AF58" i="821"/>
  <c r="L21" i="831"/>
  <c r="L18" i="722"/>
  <c r="F12" i="722"/>
  <c r="F37" i="717" a="1"/>
  <c r="T4" i="717" a="1"/>
  <c r="K27" i="822"/>
  <c r="V19" i="822"/>
  <c r="Z213" i="821" a="1"/>
  <c r="AF167" i="821"/>
  <c r="AF133" i="821"/>
  <c r="AF89" i="821"/>
  <c r="AF65" i="821"/>
  <c r="Z54" i="821" a="1"/>
  <c r="AF28" i="821"/>
  <c r="AF20" i="821"/>
  <c r="L3" i="473"/>
  <c r="AB4" i="724" a="1"/>
  <c r="I5" i="722"/>
  <c r="F17" i="717" a="1"/>
  <c r="U20" i="823"/>
  <c r="Q11" i="823"/>
  <c r="V25" i="822"/>
  <c r="Z240" i="821" a="1"/>
  <c r="AF179" i="821"/>
  <c r="AF145" i="821"/>
  <c r="AF112" i="821"/>
  <c r="AF61" i="821"/>
  <c r="AF27" i="821"/>
  <c r="AF19" i="821"/>
  <c r="W6" i="458" a="1"/>
  <c r="X19" i="831" a="1"/>
  <c r="F14" i="722"/>
  <c r="L39" i="717"/>
  <c r="AK6" i="251" a="1"/>
  <c r="K20" i="823" a="1"/>
  <c r="AF219" i="821"/>
  <c r="AF175" i="821"/>
  <c r="AF141" i="821"/>
  <c r="AF57" i="821"/>
  <c r="AF32" i="821"/>
  <c r="AF24" i="821"/>
  <c r="V4" i="459" a="1"/>
  <c r="X8" i="458" a="1"/>
  <c r="AC5" i="458" a="1"/>
  <c r="F19" i="832" a="1"/>
  <c r="J12" i="722"/>
  <c r="K4" i="713" a="1"/>
  <c r="AF171" i="821"/>
  <c r="AF31" i="821"/>
  <c r="Q3" i="458" a="1"/>
  <c r="F3" i="448" a="1"/>
  <c r="I9" i="787"/>
  <c r="Q15" i="473"/>
  <c r="K26" i="823"/>
  <c r="Q10" i="822"/>
  <c r="AF242" i="821"/>
  <c r="AF23" i="821"/>
  <c r="AC5" i="459" a="1"/>
  <c r="AF215" i="821"/>
  <c r="Z110" i="821" a="1"/>
  <c r="Q3" i="459" a="1"/>
  <c r="V4" i="458" a="1"/>
  <c r="J11" i="448" a="1"/>
  <c r="K10" i="448" a="1"/>
  <c r="J5" i="448" a="1"/>
  <c r="K4" i="448" a="1"/>
  <c r="R18" i="787"/>
  <c r="AF137" i="821"/>
  <c r="K16" i="448" a="1"/>
  <c r="I11" i="787"/>
  <c r="I8" i="787"/>
  <c r="F13" i="788" a="1"/>
  <c r="G6" i="788" a="1"/>
  <c r="F6" i="788" a="1"/>
  <c r="J29" i="763"/>
  <c r="J25" i="763"/>
  <c r="J21" i="763"/>
  <c r="AF16" i="763" a="1"/>
  <c r="AD16" i="763" a="1"/>
  <c r="AC16" i="763" a="1"/>
  <c r="AB16" i="763" a="1"/>
  <c r="AA16" i="763" a="1"/>
  <c r="Z16" i="763" a="1"/>
  <c r="Y16" i="763" a="1"/>
  <c r="X16" i="763" a="1"/>
  <c r="W16" i="763" a="1"/>
  <c r="V16" i="763" a="1"/>
  <c r="U16" i="763" a="1"/>
  <c r="T16" i="763" a="1"/>
  <c r="S16" i="763" a="1"/>
  <c r="R16" i="763" a="1"/>
  <c r="Q16" i="763" a="1"/>
  <c r="P16" i="763" a="1"/>
  <c r="O16" i="763" a="1"/>
  <c r="N16" i="763" a="1"/>
  <c r="M16" i="763" a="1"/>
  <c r="L16" i="763" a="1"/>
  <c r="K16" i="763" a="1"/>
  <c r="J16" i="763" a="1"/>
  <c r="I16" i="763" a="1"/>
  <c r="H16" i="763" a="1"/>
  <c r="G16" i="763" a="1"/>
  <c r="F16" i="763" a="1"/>
  <c r="E16" i="763" a="1"/>
  <c r="AF4" i="763" a="1"/>
  <c r="K51" i="431" a="1"/>
  <c r="J51" i="431" a="1"/>
  <c r="AL10" i="760"/>
  <c r="AG9" i="760"/>
  <c r="AG8" i="760"/>
  <c r="T7" i="760"/>
  <c r="AF5" i="760"/>
  <c r="T4" i="760"/>
  <c r="D15" i="618"/>
  <c r="B14" i="618"/>
  <c r="J11" i="618"/>
  <c r="D9" i="618"/>
  <c r="D5" i="618"/>
  <c r="U20" i="616"/>
  <c r="H19" i="616" a="1"/>
  <c r="R17" i="616"/>
  <c r="W14" i="616"/>
  <c r="W13" i="616"/>
  <c r="U12" i="616"/>
  <c r="R9" i="616"/>
  <c r="W6" i="616"/>
  <c r="W4" i="616"/>
  <c r="P19" i="617"/>
  <c r="P18" i="617"/>
  <c r="N14" i="617"/>
  <c r="P9" i="617"/>
  <c r="P4" i="617"/>
  <c r="S24" i="727"/>
  <c r="R17" i="727" a="1"/>
  <c r="I16" i="730"/>
  <c r="I10" i="730"/>
  <c r="I8" i="730"/>
  <c r="I6" i="730"/>
  <c r="Q23" i="732"/>
  <c r="M13" i="769" a="1"/>
  <c r="M9" i="769" a="1"/>
  <c r="U20" i="770" a="1"/>
  <c r="L11" i="770" a="1"/>
  <c r="L7" i="770" a="1"/>
  <c r="H19" i="606" a="1"/>
  <c r="S6" i="606" a="1"/>
  <c r="S43" i="650"/>
  <c r="M41" i="650" a="1"/>
  <c r="S19" i="650"/>
  <c r="M17" i="650" a="1"/>
  <c r="G16" i="342"/>
  <c r="F15" i="342"/>
  <c r="G14" i="342"/>
  <c r="F7" i="342"/>
  <c r="AF21" i="101"/>
  <c r="AK19" i="101"/>
  <c r="AK14" i="101"/>
  <c r="I17" i="341" a="1"/>
  <c r="Q4" i="341" a="1"/>
  <c r="O4" i="341" a="1"/>
  <c r="M4" i="341" a="1"/>
  <c r="K4" i="341" a="1"/>
  <c r="G26" i="98" a="1"/>
  <c r="D12" i="786" a="1"/>
  <c r="D8" i="786" a="1"/>
  <c r="K6" i="786" a="1"/>
  <c r="S4" i="783" a="1"/>
  <c r="Z87" i="821" a="1"/>
  <c r="I7" i="787"/>
  <c r="G13" i="788" a="1"/>
  <c r="I9" i="762"/>
  <c r="I6" i="762" a="1"/>
  <c r="F5" i="762" a="1"/>
  <c r="J28" i="763"/>
  <c r="J24" i="763"/>
  <c r="J21" i="431" a="1"/>
  <c r="AJ10" i="760"/>
  <c r="AF9" i="760"/>
  <c r="AF8" i="760"/>
  <c r="AG6" i="760"/>
  <c r="U5" i="760"/>
  <c r="AL3" i="760"/>
  <c r="AN2" i="760" a="1"/>
  <c r="J14" i="618"/>
  <c r="J13" i="618"/>
  <c r="J10" i="618"/>
  <c r="J8" i="618"/>
  <c r="D4" i="618"/>
  <c r="W19" i="616"/>
  <c r="W18" i="616"/>
  <c r="W16" i="616"/>
  <c r="R14" i="616"/>
  <c r="U13" i="616"/>
  <c r="W11" i="616"/>
  <c r="W8" i="616"/>
  <c r="R6" i="616"/>
  <c r="R4" i="616"/>
  <c r="P17" i="617"/>
  <c r="P8" i="617"/>
  <c r="P3" i="617"/>
  <c r="I13" i="730"/>
  <c r="G13" i="730" a="1"/>
  <c r="G10" i="730"/>
  <c r="G8" i="730"/>
  <c r="G6" i="730"/>
  <c r="Q22" i="732"/>
  <c r="AB21" i="769" a="1"/>
  <c r="V19" i="769" a="1"/>
  <c r="M12" i="769" a="1"/>
  <c r="M8" i="769" a="1"/>
  <c r="T21" i="770" a="1"/>
  <c r="L20" i="770"/>
  <c r="L10" i="770" a="1"/>
  <c r="L6" i="770" a="1"/>
  <c r="J6" i="606" a="1"/>
  <c r="S42" i="650"/>
  <c r="S18" i="650"/>
  <c r="F16" i="342"/>
  <c r="J14" i="342"/>
  <c r="F14" i="342"/>
  <c r="F6" i="342"/>
  <c r="K26" i="107" a="1"/>
  <c r="AL20" i="101"/>
  <c r="AL15" i="101"/>
  <c r="AL13" i="101"/>
  <c r="O18" i="341" a="1"/>
  <c r="D15" i="786" a="1"/>
  <c r="D11" i="786" a="1"/>
  <c r="D7" i="786" a="1"/>
  <c r="I6" i="786" a="1"/>
  <c r="N22" i="782" a="1"/>
  <c r="T4" i="783" a="1"/>
  <c r="V3" i="783" a="1"/>
  <c r="Q5" i="448" a="1"/>
  <c r="I3" i="787"/>
  <c r="AB16" i="789" a="1"/>
  <c r="W16" i="789" a="1"/>
  <c r="R16" i="789" a="1"/>
  <c r="M16" i="789" a="1"/>
  <c r="H16" i="789" a="1"/>
  <c r="C16" i="789" a="1"/>
  <c r="Z4" i="789" a="1"/>
  <c r="U4" i="789" a="1"/>
  <c r="P4" i="789" a="1"/>
  <c r="K4" i="789" a="1"/>
  <c r="F4" i="789" a="1"/>
  <c r="J31" i="763"/>
  <c r="J27" i="763"/>
  <c r="J23" i="763"/>
  <c r="AA44" i="431"/>
  <c r="L17" i="760" a="1"/>
  <c r="AG11" i="760"/>
  <c r="AG10" i="760"/>
  <c r="AL8" i="760"/>
  <c r="AG7" i="760"/>
  <c r="AF6" i="760"/>
  <c r="T5" i="760"/>
  <c r="AI3" i="760" a="1"/>
  <c r="D18" i="618"/>
  <c r="H14" i="618"/>
  <c r="D13" i="618"/>
  <c r="D10" i="618"/>
  <c r="H8" i="618"/>
  <c r="D3" i="618"/>
  <c r="U19" i="616"/>
  <c r="U18" i="616"/>
  <c r="W15" i="616"/>
  <c r="P14" i="616"/>
  <c r="R13" i="616"/>
  <c r="R10" i="616"/>
  <c r="R8" i="616"/>
  <c r="W5" i="616"/>
  <c r="W3" i="616"/>
  <c r="P15" i="617"/>
  <c r="P13" i="617"/>
  <c r="P6" i="617"/>
  <c r="H35" i="727" a="1"/>
  <c r="B23" i="727" a="1"/>
  <c r="M11" i="727" a="1"/>
  <c r="I11" i="730"/>
  <c r="I9" i="730"/>
  <c r="I7" i="730"/>
  <c r="I5" i="730"/>
  <c r="Q21" i="732"/>
  <c r="K19" i="732" a="1"/>
  <c r="U20" i="769" a="1"/>
  <c r="M11" i="769" a="1"/>
  <c r="AA21" i="770" a="1"/>
  <c r="L9" i="770" a="1"/>
  <c r="E19" i="607" a="1"/>
  <c r="P6" i="607" a="1"/>
  <c r="S45" i="650"/>
  <c r="S21" i="650"/>
  <c r="L21" i="427"/>
  <c r="F19" i="427" a="1"/>
  <c r="H15" i="342"/>
  <c r="I14" i="342"/>
  <c r="F9" i="342"/>
  <c r="AL21" i="101"/>
  <c r="AK20" i="101"/>
  <c r="AK15" i="101"/>
  <c r="AK13" i="101"/>
  <c r="O17" i="341"/>
  <c r="E17" i="341" a="1"/>
  <c r="K9" i="341" a="1"/>
  <c r="AC4" i="341" a="1"/>
  <c r="E4" i="341" a="1"/>
  <c r="D14" i="786" a="1"/>
  <c r="D10" i="786" a="1"/>
  <c r="M6" i="786" a="1"/>
  <c r="D6" i="786" a="1"/>
  <c r="L17" i="787" a="1"/>
  <c r="J26" i="763"/>
  <c r="AJ8" i="760"/>
  <c r="J9" i="618"/>
  <c r="R5" i="616"/>
  <c r="P14" i="617"/>
  <c r="H4" i="727" a="1"/>
  <c r="G7" i="730"/>
  <c r="L12" i="770" a="1"/>
  <c r="G19" i="342" a="1"/>
  <c r="F8" i="342"/>
  <c r="AK21" i="101"/>
  <c r="V13" i="781" a="1"/>
  <c r="E28" i="782" a="1"/>
  <c r="W6" i="783"/>
  <c r="E16" i="784" a="1"/>
  <c r="H9" i="784"/>
  <c r="V6" i="784"/>
  <c r="G16" i="780"/>
  <c r="E13" i="780" a="1"/>
  <c r="G7" i="780"/>
  <c r="E12" i="667" a="1"/>
  <c r="O15" i="659" a="1"/>
  <c r="M30" i="86" a="1"/>
  <c r="F19" i="617" a="1"/>
  <c r="M10" i="769" a="1"/>
  <c r="R10" i="781" a="1"/>
  <c r="H7" i="784"/>
  <c r="G8" i="780"/>
  <c r="F7" i="667"/>
  <c r="F11" i="787" a="1"/>
  <c r="J22" i="763"/>
  <c r="AF13" i="760"/>
  <c r="AF7" i="760"/>
  <c r="B18" i="618"/>
  <c r="D6" i="618"/>
  <c r="W12" i="616"/>
  <c r="R3" i="616"/>
  <c r="P10" i="617"/>
  <c r="S17" i="727" a="1"/>
  <c r="G5" i="730"/>
  <c r="L8" i="770" a="1"/>
  <c r="S44" i="650"/>
  <c r="S20" i="650"/>
  <c r="L20" i="427"/>
  <c r="F19" i="342" a="1"/>
  <c r="AL19" i="101"/>
  <c r="D13" i="786" a="1"/>
  <c r="R6" i="781" a="1"/>
  <c r="H13" i="784"/>
  <c r="H8" i="784"/>
  <c r="H6" i="784"/>
  <c r="G13" i="780"/>
  <c r="G11" i="780"/>
  <c r="G6" i="780"/>
  <c r="Q15" i="659" a="1"/>
  <c r="I14" i="659" a="1"/>
  <c r="T21" i="86" a="1"/>
  <c r="AF10" i="760"/>
  <c r="AF4" i="760"/>
  <c r="J12" i="618"/>
  <c r="W7" i="616"/>
  <c r="S25" i="727"/>
  <c r="H14" i="342"/>
  <c r="O19" i="341"/>
  <c r="L6" i="786" a="1"/>
  <c r="H11" i="784"/>
  <c r="J19" i="780" a="1"/>
  <c r="G4" i="780"/>
  <c r="J17" i="448" a="1"/>
  <c r="E22" i="763" a="1"/>
  <c r="AF11" i="760"/>
  <c r="AG5" i="760"/>
  <c r="D14" i="618"/>
  <c r="W20" i="616"/>
  <c r="R18" i="616"/>
  <c r="W9" i="616"/>
  <c r="P5" i="617"/>
  <c r="G11" i="730"/>
  <c r="Q20" i="732"/>
  <c r="AB20" i="769" a="1"/>
  <c r="M14" i="769" a="1"/>
  <c r="G6" i="607" a="1"/>
  <c r="G15" i="342"/>
  <c r="AL14" i="101"/>
  <c r="D9" i="786" a="1"/>
  <c r="U6" i="781" a="1"/>
  <c r="M20" i="784" a="1"/>
  <c r="H12" i="784"/>
  <c r="AF10" i="784" a="1"/>
  <c r="V7" i="784"/>
  <c r="H5" i="784"/>
  <c r="G10" i="780"/>
  <c r="G5" i="780"/>
  <c r="F8" i="667" a="1"/>
  <c r="B16" i="659" a="1"/>
  <c r="I10" i="659" a="1"/>
  <c r="C4" i="659" a="1"/>
  <c r="N21" i="86" a="1"/>
  <c r="R19" i="787"/>
  <c r="J30" i="763"/>
  <c r="X17" i="760" a="1"/>
  <c r="R19" i="616"/>
  <c r="R15" i="616"/>
  <c r="G9" i="730"/>
  <c r="L22" i="770" a="1"/>
  <c r="N3" i="785" a="1"/>
  <c r="H16" i="784"/>
  <c r="H10" i="784"/>
  <c r="E16" i="780" a="1"/>
  <c r="O30" i="86" a="1"/>
  <c r="V9" i="830" l="1"/>
  <c r="W9" i="830" s="1"/>
  <c r="L16" i="829"/>
  <c r="X15" i="831"/>
  <c r="E20" i="831"/>
  <c r="F15" i="828"/>
  <c r="AG20" i="832" a="1"/>
  <c r="O32" i="86"/>
  <c r="O31" i="86"/>
  <c r="O33" i="86"/>
  <c r="O30" i="86"/>
  <c r="E17" i="780"/>
  <c r="E16" i="780"/>
  <c r="N6" i="785"/>
  <c r="N4" i="785"/>
  <c r="O5" i="785"/>
  <c r="O3" i="785"/>
  <c r="N5" i="785"/>
  <c r="O6" i="785"/>
  <c r="O4" i="785"/>
  <c r="N3" i="785"/>
  <c r="N22" i="770"/>
  <c r="M22" i="770"/>
  <c r="P22" i="770"/>
  <c r="L22" i="770"/>
  <c r="O22" i="770"/>
  <c r="X20" i="760"/>
  <c r="X18" i="760"/>
  <c r="Y19" i="760"/>
  <c r="Y17" i="760"/>
  <c r="X19" i="760"/>
  <c r="X17" i="760"/>
  <c r="Y20" i="760"/>
  <c r="Y18" i="760"/>
  <c r="N22" i="86"/>
  <c r="N21" i="86"/>
  <c r="N23" i="86"/>
  <c r="N24" i="86"/>
  <c r="C13" i="659"/>
  <c r="C9" i="659"/>
  <c r="C5" i="659"/>
  <c r="C12" i="659"/>
  <c r="C8" i="659"/>
  <c r="C4" i="659"/>
  <c r="C10" i="659"/>
  <c r="C11" i="659"/>
  <c r="C7" i="659"/>
  <c r="C14" i="659"/>
  <c r="C6" i="659"/>
  <c r="J10" i="659"/>
  <c r="I10" i="659"/>
  <c r="I11" i="659"/>
  <c r="J11" i="659"/>
  <c r="B17" i="659"/>
  <c r="B16" i="659"/>
  <c r="F8" i="667"/>
  <c r="AF19" i="784"/>
  <c r="AF15" i="784"/>
  <c r="AF11" i="784"/>
  <c r="AF16" i="784"/>
  <c r="AF12" i="784"/>
  <c r="AF18" i="784"/>
  <c r="AF14" i="784"/>
  <c r="AF10" i="784"/>
  <c r="AF17" i="784"/>
  <c r="AF13" i="784"/>
  <c r="Q30" i="784"/>
  <c r="M30" i="784"/>
  <c r="P29" i="784"/>
  <c r="S28" i="784"/>
  <c r="O28" i="784"/>
  <c r="P30" i="784"/>
  <c r="S29" i="784"/>
  <c r="O29" i="784"/>
  <c r="R28" i="784"/>
  <c r="O30" i="784"/>
  <c r="N29" i="784"/>
  <c r="N28" i="784"/>
  <c r="Q27" i="784"/>
  <c r="M27" i="784"/>
  <c r="P26" i="784"/>
  <c r="S25" i="784"/>
  <c r="O25" i="784"/>
  <c r="R24" i="784"/>
  <c r="N24" i="784"/>
  <c r="Q23" i="784"/>
  <c r="M23" i="784"/>
  <c r="P22" i="784"/>
  <c r="S21" i="784"/>
  <c r="O21" i="784"/>
  <c r="R20" i="784"/>
  <c r="N20" i="784"/>
  <c r="Q29" i="784"/>
  <c r="N27" i="784"/>
  <c r="S24" i="784"/>
  <c r="N23" i="784"/>
  <c r="S20" i="784"/>
  <c r="N30" i="784"/>
  <c r="M29" i="784"/>
  <c r="M28" i="784"/>
  <c r="P27" i="784"/>
  <c r="S26" i="784"/>
  <c r="O26" i="784"/>
  <c r="R25" i="784"/>
  <c r="N25" i="784"/>
  <c r="Q24" i="784"/>
  <c r="M24" i="784"/>
  <c r="P23" i="784"/>
  <c r="S22" i="784"/>
  <c r="O22" i="784"/>
  <c r="R21" i="784"/>
  <c r="N21" i="784"/>
  <c r="Q20" i="784"/>
  <c r="M20" i="784"/>
  <c r="P28" i="784"/>
  <c r="M26" i="784"/>
  <c r="O24" i="784"/>
  <c r="Q22" i="784"/>
  <c r="O20" i="784"/>
  <c r="S30" i="784"/>
  <c r="R29" i="784"/>
  <c r="Q28" i="784"/>
  <c r="S27" i="784"/>
  <c r="O27" i="784"/>
  <c r="R26" i="784"/>
  <c r="N26" i="784"/>
  <c r="Q25" i="784"/>
  <c r="M25" i="784"/>
  <c r="P24" i="784"/>
  <c r="S23" i="784"/>
  <c r="O23" i="784"/>
  <c r="R22" i="784"/>
  <c r="N22" i="784"/>
  <c r="Q21" i="784"/>
  <c r="M21" i="784"/>
  <c r="P20" i="784"/>
  <c r="R30" i="784"/>
  <c r="R27" i="784"/>
  <c r="Q26" i="784"/>
  <c r="P25" i="784"/>
  <c r="R23" i="784"/>
  <c r="M22" i="784"/>
  <c r="P21" i="784"/>
  <c r="W7" i="781"/>
  <c r="V6" i="781"/>
  <c r="V7" i="781"/>
  <c r="U6" i="781"/>
  <c r="U7" i="781"/>
  <c r="W6" i="781"/>
  <c r="F9" i="786"/>
  <c r="E9" i="786"/>
  <c r="D9" i="786"/>
  <c r="G9" i="786"/>
  <c r="G7" i="607"/>
  <c r="H6" i="607"/>
  <c r="G6" i="607"/>
  <c r="H7" i="607"/>
  <c r="O14" i="769"/>
  <c r="N14" i="769"/>
  <c r="M14" i="769"/>
  <c r="P14" i="769"/>
  <c r="AB20" i="769"/>
  <c r="E24" i="763"/>
  <c r="E23" i="763"/>
  <c r="E22" i="763"/>
  <c r="J18" i="448"/>
  <c r="J17" i="448"/>
  <c r="J20" i="780"/>
  <c r="K19" i="780"/>
  <c r="K20" i="780"/>
  <c r="J19" i="780"/>
  <c r="L8" i="786"/>
  <c r="L7" i="786"/>
  <c r="L6" i="786"/>
  <c r="L9" i="786"/>
  <c r="T21" i="86"/>
  <c r="T24" i="86"/>
  <c r="T22" i="86"/>
  <c r="T23" i="86"/>
  <c r="I16" i="659"/>
  <c r="I15" i="659"/>
  <c r="I14" i="659"/>
  <c r="L16" i="659"/>
  <c r="L15" i="659"/>
  <c r="L14" i="659"/>
  <c r="J15" i="659"/>
  <c r="K16" i="659"/>
  <c r="K15" i="659"/>
  <c r="K14" i="659"/>
  <c r="J16" i="659"/>
  <c r="J14" i="659"/>
  <c r="Q15" i="659"/>
  <c r="Q16" i="659"/>
  <c r="R7" i="781"/>
  <c r="S6" i="781"/>
  <c r="R6" i="781"/>
  <c r="S7" i="781"/>
  <c r="F13" i="786"/>
  <c r="E13" i="786"/>
  <c r="D13" i="786"/>
  <c r="G13" i="786"/>
  <c r="F21" i="342"/>
  <c r="F20" i="342"/>
  <c r="F19" i="342"/>
  <c r="N8" i="770"/>
  <c r="M8" i="770"/>
  <c r="L8" i="770"/>
  <c r="O8" i="770"/>
  <c r="S19" i="727"/>
  <c r="S18" i="727"/>
  <c r="S17" i="727"/>
  <c r="S20" i="727"/>
  <c r="F13" i="787"/>
  <c r="F12" i="787"/>
  <c r="F11" i="787"/>
  <c r="R11" i="781"/>
  <c r="S10" i="781"/>
  <c r="S11" i="781"/>
  <c r="R10" i="781"/>
  <c r="O10" i="769"/>
  <c r="N10" i="769"/>
  <c r="M10" i="769"/>
  <c r="P10" i="769"/>
  <c r="F20" i="617"/>
  <c r="G21" i="617"/>
  <c r="G19" i="617"/>
  <c r="F21" i="617"/>
  <c r="F19" i="617"/>
  <c r="G20" i="617"/>
  <c r="N33" i="86"/>
  <c r="N31" i="86"/>
  <c r="M32" i="86"/>
  <c r="M33" i="86"/>
  <c r="M31" i="86"/>
  <c r="M30" i="86"/>
  <c r="N32" i="86"/>
  <c r="N30" i="86"/>
  <c r="O15" i="659"/>
  <c r="O16" i="659"/>
  <c r="F13" i="667"/>
  <c r="E13" i="667"/>
  <c r="F12" i="667"/>
  <c r="E12" i="667"/>
  <c r="E13" i="780"/>
  <c r="E14" i="780"/>
  <c r="F17" i="784"/>
  <c r="E16" i="784"/>
  <c r="E17" i="784"/>
  <c r="F16" i="784"/>
  <c r="G29" i="782"/>
  <c r="F28" i="782"/>
  <c r="F29" i="782"/>
  <c r="E28" i="782"/>
  <c r="E29" i="782"/>
  <c r="G28" i="782"/>
  <c r="W13" i="781"/>
  <c r="V13" i="781"/>
  <c r="G21" i="342"/>
  <c r="G20" i="342"/>
  <c r="G19" i="342"/>
  <c r="N12" i="770"/>
  <c r="M12" i="770"/>
  <c r="L12" i="770"/>
  <c r="O12" i="770"/>
  <c r="J7" i="727"/>
  <c r="J6" i="727"/>
  <c r="J5" i="727"/>
  <c r="J4" i="727"/>
  <c r="I7" i="727"/>
  <c r="I6" i="727"/>
  <c r="I5" i="727"/>
  <c r="I4" i="727"/>
  <c r="H7" i="727"/>
  <c r="H6" i="727"/>
  <c r="H5" i="727"/>
  <c r="H4" i="727"/>
  <c r="K7" i="727"/>
  <c r="K6" i="727"/>
  <c r="K5" i="727"/>
  <c r="K4" i="727"/>
  <c r="L19" i="787"/>
  <c r="L17" i="787"/>
  <c r="L18" i="787"/>
  <c r="M19" i="787"/>
  <c r="M18" i="787"/>
  <c r="M17" i="787"/>
  <c r="E6" i="786"/>
  <c r="D6" i="786"/>
  <c r="G6" i="786"/>
  <c r="F6" i="786"/>
  <c r="M7" i="786"/>
  <c r="M6" i="786"/>
  <c r="M9" i="786"/>
  <c r="M8" i="786"/>
  <c r="E10" i="786"/>
  <c r="D10" i="786"/>
  <c r="G10" i="786"/>
  <c r="F10" i="786"/>
  <c r="E14" i="786"/>
  <c r="D14" i="786"/>
  <c r="G14" i="786"/>
  <c r="F14" i="786"/>
  <c r="G13" i="341"/>
  <c r="F12" i="341"/>
  <c r="E11" i="341"/>
  <c r="G9" i="341"/>
  <c r="F8" i="341"/>
  <c r="E7" i="341"/>
  <c r="G5" i="341"/>
  <c r="F4" i="341"/>
  <c r="G14" i="341"/>
  <c r="F13" i="341"/>
  <c r="E12" i="341"/>
  <c r="G10" i="341"/>
  <c r="F9" i="341"/>
  <c r="E8" i="341"/>
  <c r="G6" i="341"/>
  <c r="F5" i="341"/>
  <c r="E4" i="341"/>
  <c r="F14" i="341"/>
  <c r="E13" i="341"/>
  <c r="G11" i="341"/>
  <c r="F10" i="341"/>
  <c r="E9" i="341"/>
  <c r="G7" i="341"/>
  <c r="F6" i="341"/>
  <c r="E5" i="341"/>
  <c r="G12" i="341"/>
  <c r="F7" i="341"/>
  <c r="E14" i="341"/>
  <c r="F11" i="341"/>
  <c r="E6" i="341"/>
  <c r="G8" i="341"/>
  <c r="E10" i="341"/>
  <c r="G4" i="341"/>
  <c r="AC13" i="341"/>
  <c r="AC9" i="341"/>
  <c r="AC5" i="341"/>
  <c r="AC12" i="341"/>
  <c r="AC8" i="341"/>
  <c r="AC4" i="341"/>
  <c r="AC11" i="341"/>
  <c r="AC7" i="341"/>
  <c r="AC6" i="341"/>
  <c r="AC10" i="341"/>
  <c r="AC14" i="341"/>
  <c r="K10" i="341"/>
  <c r="K9" i="341"/>
  <c r="K11" i="341"/>
  <c r="G18" i="341"/>
  <c r="F17" i="341"/>
  <c r="G19" i="341"/>
  <c r="F18" i="341"/>
  <c r="E17" i="341"/>
  <c r="F19" i="341"/>
  <c r="E18" i="341"/>
  <c r="G17" i="341"/>
  <c r="E19" i="341"/>
  <c r="G21" i="427"/>
  <c r="G19" i="427"/>
  <c r="F21" i="427"/>
  <c r="F19" i="427"/>
  <c r="G20" i="427"/>
  <c r="F20" i="427"/>
  <c r="Q12" i="607"/>
  <c r="Q10" i="607"/>
  <c r="Q8" i="607"/>
  <c r="Q6" i="607"/>
  <c r="P12" i="607"/>
  <c r="P10" i="607"/>
  <c r="P8" i="607"/>
  <c r="P6" i="607"/>
  <c r="Q11" i="607"/>
  <c r="Q9" i="607"/>
  <c r="Q7" i="607"/>
  <c r="P7" i="607"/>
  <c r="P9" i="607"/>
  <c r="P11" i="607"/>
  <c r="F19" i="607"/>
  <c r="E19" i="607"/>
  <c r="F20" i="607"/>
  <c r="E20" i="607"/>
  <c r="M9" i="770"/>
  <c r="L9" i="770"/>
  <c r="O9" i="770"/>
  <c r="N9" i="770"/>
  <c r="AA22" i="770"/>
  <c r="AA21" i="770"/>
  <c r="N11" i="769"/>
  <c r="M11" i="769"/>
  <c r="P11" i="769"/>
  <c r="O11" i="769"/>
  <c r="U21" i="769"/>
  <c r="U20" i="769"/>
  <c r="L23" i="732"/>
  <c r="L21" i="732"/>
  <c r="L19" i="732"/>
  <c r="K23" i="732"/>
  <c r="K21" i="732"/>
  <c r="K19" i="732"/>
  <c r="L22" i="732"/>
  <c r="L20" i="732"/>
  <c r="K20" i="732"/>
  <c r="K22" i="732"/>
  <c r="M12" i="727"/>
  <c r="M11" i="727"/>
  <c r="M14" i="727"/>
  <c r="M13" i="727"/>
  <c r="B23" i="727"/>
  <c r="I38" i="727"/>
  <c r="I37" i="727"/>
  <c r="I36" i="727"/>
  <c r="I35" i="727"/>
  <c r="H38" i="727"/>
  <c r="H37" i="727"/>
  <c r="H36" i="727"/>
  <c r="H35" i="727"/>
  <c r="K38" i="727"/>
  <c r="K37" i="727"/>
  <c r="K36" i="727"/>
  <c r="K35" i="727"/>
  <c r="J37" i="727"/>
  <c r="J36" i="727"/>
  <c r="J35" i="727"/>
  <c r="J38" i="727"/>
  <c r="AJ5" i="760"/>
  <c r="AJ3" i="760"/>
  <c r="AI5" i="760"/>
  <c r="AI3" i="760"/>
  <c r="AJ6" i="760"/>
  <c r="AJ4" i="760"/>
  <c r="AI6" i="760"/>
  <c r="AI4" i="760"/>
  <c r="M19" i="760"/>
  <c r="M17" i="760"/>
  <c r="L19" i="760"/>
  <c r="L17" i="760"/>
  <c r="M18" i="760"/>
  <c r="L18" i="760"/>
  <c r="F13" i="789"/>
  <c r="F9" i="789"/>
  <c r="F5" i="789"/>
  <c r="F12" i="789"/>
  <c r="F8" i="789"/>
  <c r="F4" i="789"/>
  <c r="F11" i="789"/>
  <c r="F7" i="789"/>
  <c r="F6" i="789"/>
  <c r="F14" i="789"/>
  <c r="F10" i="789"/>
  <c r="K13" i="789"/>
  <c r="K9" i="789"/>
  <c r="K5" i="789"/>
  <c r="K12" i="789"/>
  <c r="K8" i="789"/>
  <c r="K4" i="789"/>
  <c r="K11" i="789"/>
  <c r="K7" i="789"/>
  <c r="K10" i="789"/>
  <c r="K6" i="789"/>
  <c r="K14" i="789"/>
  <c r="P13" i="789"/>
  <c r="P9" i="789"/>
  <c r="P5" i="789"/>
  <c r="P12" i="789"/>
  <c r="P8" i="789"/>
  <c r="P4" i="789"/>
  <c r="P11" i="789"/>
  <c r="P7" i="789"/>
  <c r="P14" i="789"/>
  <c r="P10" i="789"/>
  <c r="P6" i="789"/>
  <c r="U13" i="789"/>
  <c r="U9" i="789"/>
  <c r="U5" i="789"/>
  <c r="U12" i="789"/>
  <c r="U8" i="789"/>
  <c r="U4" i="789"/>
  <c r="U11" i="789"/>
  <c r="U7" i="789"/>
  <c r="U6" i="789"/>
  <c r="U14" i="789"/>
  <c r="U10" i="789"/>
  <c r="Z13" i="789"/>
  <c r="Z9" i="789"/>
  <c r="Z5" i="789"/>
  <c r="Z12" i="789"/>
  <c r="Z8" i="789"/>
  <c r="Z4" i="789"/>
  <c r="Z11" i="789"/>
  <c r="Z7" i="789"/>
  <c r="Z6" i="789"/>
  <c r="Z14" i="789"/>
  <c r="Z10" i="789"/>
  <c r="C17" i="789"/>
  <c r="C16" i="789"/>
  <c r="C18" i="789"/>
  <c r="H17" i="789"/>
  <c r="H16" i="789"/>
  <c r="H18" i="789"/>
  <c r="M17" i="789"/>
  <c r="M16" i="789"/>
  <c r="M18" i="789"/>
  <c r="R17" i="789"/>
  <c r="R16" i="789"/>
  <c r="R18" i="789"/>
  <c r="W17" i="789"/>
  <c r="W16" i="789"/>
  <c r="W18" i="789"/>
  <c r="AB17" i="789"/>
  <c r="AB16" i="789"/>
  <c r="AB18" i="789"/>
  <c r="Q7" i="448"/>
  <c r="Q5" i="448"/>
  <c r="Q8" i="448"/>
  <c r="Q6" i="448"/>
  <c r="V3" i="783"/>
  <c r="W4" i="783"/>
  <c r="V4" i="783"/>
  <c r="W3" i="783"/>
  <c r="T12" i="783"/>
  <c r="T8" i="783"/>
  <c r="T4" i="783"/>
  <c r="T11" i="783"/>
  <c r="T7" i="783"/>
  <c r="T6" i="783"/>
  <c r="T9" i="783"/>
  <c r="T13" i="783"/>
  <c r="T5" i="783"/>
  <c r="T10" i="783"/>
  <c r="O23" i="782"/>
  <c r="N22" i="782"/>
  <c r="N23" i="782"/>
  <c r="P23" i="782"/>
  <c r="O22" i="782"/>
  <c r="P22" i="782"/>
  <c r="I8" i="786"/>
  <c r="I6" i="786"/>
  <c r="J9" i="786"/>
  <c r="J7" i="786"/>
  <c r="I9" i="786"/>
  <c r="I7" i="786"/>
  <c r="J8" i="786"/>
  <c r="J6" i="786"/>
  <c r="D7" i="786"/>
  <c r="G7" i="786"/>
  <c r="F7" i="786"/>
  <c r="E7" i="786"/>
  <c r="D11" i="786"/>
  <c r="G11" i="786"/>
  <c r="F11" i="786"/>
  <c r="E11" i="786"/>
  <c r="D15" i="786"/>
  <c r="G15" i="786"/>
  <c r="F15" i="786"/>
  <c r="E15" i="786"/>
  <c r="O18" i="341"/>
  <c r="K34" i="107"/>
  <c r="K30" i="107"/>
  <c r="K26" i="107"/>
  <c r="K33" i="107"/>
  <c r="K29" i="107"/>
  <c r="K36" i="107"/>
  <c r="K32" i="107"/>
  <c r="K28" i="107"/>
  <c r="K27" i="107"/>
  <c r="K35" i="107"/>
  <c r="K31" i="107"/>
  <c r="J9" i="606"/>
  <c r="J8" i="606"/>
  <c r="J7" i="606"/>
  <c r="J6" i="606"/>
  <c r="M9" i="606"/>
  <c r="M8" i="606"/>
  <c r="M7" i="606"/>
  <c r="M6" i="606"/>
  <c r="L9" i="606"/>
  <c r="L8" i="606"/>
  <c r="L7" i="606"/>
  <c r="L6" i="606"/>
  <c r="K6" i="606"/>
  <c r="K9" i="606"/>
  <c r="K8" i="606"/>
  <c r="K7" i="606"/>
  <c r="L6" i="770"/>
  <c r="O6" i="770"/>
  <c r="N6" i="770"/>
  <c r="M6" i="770"/>
  <c r="L10" i="770"/>
  <c r="O10" i="770"/>
  <c r="N10" i="770"/>
  <c r="M10" i="770"/>
  <c r="T21" i="770"/>
  <c r="T22" i="770"/>
  <c r="M8" i="769"/>
  <c r="P8" i="769"/>
  <c r="O8" i="769"/>
  <c r="N8" i="769"/>
  <c r="M12" i="769"/>
  <c r="P12" i="769"/>
  <c r="O12" i="769"/>
  <c r="N12" i="769"/>
  <c r="V21" i="769"/>
  <c r="V19" i="769"/>
  <c r="W20" i="769"/>
  <c r="V20" i="769"/>
  <c r="W19" i="769"/>
  <c r="W21" i="769"/>
  <c r="AB21" i="769"/>
  <c r="G13" i="730"/>
  <c r="G15" i="730"/>
  <c r="G14" i="730"/>
  <c r="AO31" i="760"/>
  <c r="AN30" i="760"/>
  <c r="AP28" i="760"/>
  <c r="AO27" i="760"/>
  <c r="AN26" i="760"/>
  <c r="AP24" i="760"/>
  <c r="AO23" i="760"/>
  <c r="AN22" i="760"/>
  <c r="AP20" i="760"/>
  <c r="AO19" i="760"/>
  <c r="AN18" i="760"/>
  <c r="AP16" i="760"/>
  <c r="AO15" i="760"/>
  <c r="AN14" i="760"/>
  <c r="AP12" i="760"/>
  <c r="AO11" i="760"/>
  <c r="AN10" i="760"/>
  <c r="AP8" i="760"/>
  <c r="AO7" i="760"/>
  <c r="AN6" i="760"/>
  <c r="AP4" i="760"/>
  <c r="AO3" i="760"/>
  <c r="AN2" i="760"/>
  <c r="AN31" i="760"/>
  <c r="AP29" i="760"/>
  <c r="AO28" i="760"/>
  <c r="AN27" i="760"/>
  <c r="AP25" i="760"/>
  <c r="AO24" i="760"/>
  <c r="AN23" i="760"/>
  <c r="AP21" i="760"/>
  <c r="AO20" i="760"/>
  <c r="AN19" i="760"/>
  <c r="AP17" i="760"/>
  <c r="AO16" i="760"/>
  <c r="AN15" i="760"/>
  <c r="AP13" i="760"/>
  <c r="AO12" i="760"/>
  <c r="AN11" i="760"/>
  <c r="AP9" i="760"/>
  <c r="AO8" i="760"/>
  <c r="AN7" i="760"/>
  <c r="AP5" i="760"/>
  <c r="AO4" i="760"/>
  <c r="AN3" i="760"/>
  <c r="AP30" i="760"/>
  <c r="AO29" i="760"/>
  <c r="AN28" i="760"/>
  <c r="AP26" i="760"/>
  <c r="AO25" i="760"/>
  <c r="AN24" i="760"/>
  <c r="AP22" i="760"/>
  <c r="AO21" i="760"/>
  <c r="AN20" i="760"/>
  <c r="AP18" i="760"/>
  <c r="AO17" i="760"/>
  <c r="AN16" i="760"/>
  <c r="AP14" i="760"/>
  <c r="AO13" i="760"/>
  <c r="AN12" i="760"/>
  <c r="AP10" i="760"/>
  <c r="AO9" i="760"/>
  <c r="AN8" i="760"/>
  <c r="AP6" i="760"/>
  <c r="AO5" i="760"/>
  <c r="AN4" i="760"/>
  <c r="AP2" i="760"/>
  <c r="AN29" i="760"/>
  <c r="AP23" i="760"/>
  <c r="AO18" i="760"/>
  <c r="AN13" i="760"/>
  <c r="AP7" i="760"/>
  <c r="AO2" i="760"/>
  <c r="AP27" i="760"/>
  <c r="AO22" i="760"/>
  <c r="AN17" i="760"/>
  <c r="AP11" i="760"/>
  <c r="AO6" i="760"/>
  <c r="AO14" i="760"/>
  <c r="AP31" i="760"/>
  <c r="AO26" i="760"/>
  <c r="AN21" i="760"/>
  <c r="AP15" i="760"/>
  <c r="AO10" i="760"/>
  <c r="AN5" i="760"/>
  <c r="AO30" i="760"/>
  <c r="AN25" i="760"/>
  <c r="AP19" i="760"/>
  <c r="AN9" i="760"/>
  <c r="AP3" i="760"/>
  <c r="J23" i="431"/>
  <c r="J21" i="431"/>
  <c r="K22" i="431"/>
  <c r="J22" i="431"/>
  <c r="K21" i="431"/>
  <c r="K23" i="431"/>
  <c r="F5" i="762"/>
  <c r="F7" i="762"/>
  <c r="F6" i="762"/>
  <c r="I6" i="762"/>
  <c r="I7" i="762"/>
  <c r="G13" i="788"/>
  <c r="G14" i="788"/>
  <c r="Z90" i="821"/>
  <c r="Z88" i="821"/>
  <c r="AA91" i="821"/>
  <c r="AA89" i="821"/>
  <c r="AA87" i="821"/>
  <c r="Z91" i="821"/>
  <c r="Z89" i="821"/>
  <c r="Z87" i="821"/>
  <c r="AA90" i="821"/>
  <c r="AA88" i="821"/>
  <c r="S11" i="783"/>
  <c r="S7" i="783"/>
  <c r="S10" i="783"/>
  <c r="S6" i="783"/>
  <c r="S9" i="783"/>
  <c r="S8" i="783"/>
  <c r="S4" i="783"/>
  <c r="S13" i="783"/>
  <c r="S5" i="783"/>
  <c r="S12" i="783"/>
  <c r="K9" i="786"/>
  <c r="K8" i="786"/>
  <c r="K7" i="786"/>
  <c r="K6" i="786"/>
  <c r="G8" i="786"/>
  <c r="F8" i="786"/>
  <c r="E8" i="786"/>
  <c r="D8" i="786"/>
  <c r="G12" i="786"/>
  <c r="F12" i="786"/>
  <c r="E12" i="786"/>
  <c r="D12" i="786"/>
  <c r="H28" i="98"/>
  <c r="G27" i="98"/>
  <c r="G28" i="98"/>
  <c r="I26" i="98"/>
  <c r="I27" i="98"/>
  <c r="H26" i="98"/>
  <c r="H27" i="98"/>
  <c r="I28" i="98"/>
  <c r="G26" i="98"/>
  <c r="K6" i="341"/>
  <c r="K5" i="341"/>
  <c r="K4" i="341"/>
  <c r="M11" i="341"/>
  <c r="M7" i="341"/>
  <c r="M14" i="341"/>
  <c r="M10" i="341"/>
  <c r="M6" i="341"/>
  <c r="M13" i="341"/>
  <c r="M9" i="341"/>
  <c r="M5" i="341"/>
  <c r="M8" i="341"/>
  <c r="M4" i="341"/>
  <c r="M12" i="341"/>
  <c r="O11" i="341"/>
  <c r="O7" i="341"/>
  <c r="O14" i="341"/>
  <c r="O10" i="341"/>
  <c r="O6" i="341"/>
  <c r="O13" i="341"/>
  <c r="O9" i="341"/>
  <c r="O5" i="341"/>
  <c r="O12" i="341"/>
  <c r="O8" i="341"/>
  <c r="O4" i="341"/>
  <c r="Z14" i="341"/>
  <c r="V14" i="341"/>
  <c r="R14" i="341"/>
  <c r="Y13" i="341"/>
  <c r="U13" i="341"/>
  <c r="Q13" i="341"/>
  <c r="X12" i="341"/>
  <c r="T12" i="341"/>
  <c r="AA11" i="341"/>
  <c r="W11" i="341"/>
  <c r="S11" i="341"/>
  <c r="Z10" i="341"/>
  <c r="V10" i="341"/>
  <c r="R10" i="341"/>
  <c r="Y9" i="341"/>
  <c r="U9" i="341"/>
  <c r="Q9" i="341"/>
  <c r="X8" i="341"/>
  <c r="T8" i="341"/>
  <c r="AA7" i="341"/>
  <c r="W7" i="341"/>
  <c r="S7" i="341"/>
  <c r="Z6" i="341"/>
  <c r="V6" i="341"/>
  <c r="R6" i="341"/>
  <c r="Y5" i="341"/>
  <c r="U5" i="341"/>
  <c r="Q5" i="341"/>
  <c r="X4" i="341"/>
  <c r="T4" i="341"/>
  <c r="Y14" i="341"/>
  <c r="U14" i="341"/>
  <c r="Q14" i="341"/>
  <c r="X13" i="341"/>
  <c r="T13" i="341"/>
  <c r="AA12" i="341"/>
  <c r="W12" i="341"/>
  <c r="S12" i="341"/>
  <c r="Z11" i="341"/>
  <c r="V11" i="341"/>
  <c r="R11" i="341"/>
  <c r="Y10" i="341"/>
  <c r="U10" i="341"/>
  <c r="Q10" i="341"/>
  <c r="X9" i="341"/>
  <c r="T9" i="341"/>
  <c r="AA8" i="341"/>
  <c r="W8" i="341"/>
  <c r="S8" i="341"/>
  <c r="Z7" i="341"/>
  <c r="V7" i="341"/>
  <c r="R7" i="341"/>
  <c r="Y6" i="341"/>
  <c r="U6" i="341"/>
  <c r="Q6" i="341"/>
  <c r="X5" i="341"/>
  <c r="T5" i="341"/>
  <c r="AA4" i="341"/>
  <c r="W4" i="341"/>
  <c r="S4" i="341"/>
  <c r="X14" i="341"/>
  <c r="T14" i="341"/>
  <c r="AA13" i="341"/>
  <c r="W13" i="341"/>
  <c r="S13" i="341"/>
  <c r="Z12" i="341"/>
  <c r="V12" i="341"/>
  <c r="R12" i="341"/>
  <c r="Y11" i="341"/>
  <c r="U11" i="341"/>
  <c r="Q11" i="341"/>
  <c r="X10" i="341"/>
  <c r="T10" i="341"/>
  <c r="AA9" i="341"/>
  <c r="W9" i="341"/>
  <c r="S9" i="341"/>
  <c r="Z8" i="341"/>
  <c r="V8" i="341"/>
  <c r="R8" i="341"/>
  <c r="Y7" i="341"/>
  <c r="U7" i="341"/>
  <c r="Q7" i="341"/>
  <c r="X6" i="341"/>
  <c r="T6" i="341"/>
  <c r="AA5" i="341"/>
  <c r="W5" i="341"/>
  <c r="S5" i="341"/>
  <c r="Z4" i="341"/>
  <c r="V4" i="341"/>
  <c r="R4" i="341"/>
  <c r="Z13" i="341"/>
  <c r="U12" i="341"/>
  <c r="AA10" i="341"/>
  <c r="V9" i="341"/>
  <c r="Q8" i="341"/>
  <c r="W6" i="341"/>
  <c r="R5" i="341"/>
  <c r="S14" i="341"/>
  <c r="Y12" i="341"/>
  <c r="Z9" i="341"/>
  <c r="U8" i="341"/>
  <c r="AA6" i="341"/>
  <c r="Q4" i="341"/>
  <c r="AA14" i="341"/>
  <c r="V13" i="341"/>
  <c r="Q12" i="341"/>
  <c r="W10" i="341"/>
  <c r="R9" i="341"/>
  <c r="X7" i="341"/>
  <c r="S6" i="341"/>
  <c r="Y4" i="341"/>
  <c r="T11" i="341"/>
  <c r="V5" i="341"/>
  <c r="W14" i="341"/>
  <c r="R13" i="341"/>
  <c r="X11" i="341"/>
  <c r="S10" i="341"/>
  <c r="Y8" i="341"/>
  <c r="T7" i="341"/>
  <c r="Z5" i="341"/>
  <c r="U4" i="341"/>
  <c r="J19" i="341"/>
  <c r="I18" i="341"/>
  <c r="I19" i="341"/>
  <c r="K17" i="341"/>
  <c r="K18" i="341"/>
  <c r="J17" i="341"/>
  <c r="K19" i="341"/>
  <c r="J18" i="341"/>
  <c r="I17" i="341"/>
  <c r="N20" i="650"/>
  <c r="N18" i="650"/>
  <c r="M20" i="650"/>
  <c r="M18" i="650"/>
  <c r="N21" i="650"/>
  <c r="N19" i="650"/>
  <c r="N17" i="650"/>
  <c r="M17" i="650"/>
  <c r="M19" i="650"/>
  <c r="M21" i="650"/>
  <c r="N44" i="650"/>
  <c r="N42" i="650"/>
  <c r="M44" i="650"/>
  <c r="M42" i="650"/>
  <c r="N45" i="650"/>
  <c r="N43" i="650"/>
  <c r="N41" i="650"/>
  <c r="M41" i="650"/>
  <c r="M43" i="650"/>
  <c r="M45" i="650"/>
  <c r="T11" i="606"/>
  <c r="T9" i="606"/>
  <c r="T7" i="606"/>
  <c r="S11" i="606"/>
  <c r="S9" i="606"/>
  <c r="S7" i="606"/>
  <c r="T12" i="606"/>
  <c r="T10" i="606"/>
  <c r="T8" i="606"/>
  <c r="T6" i="606"/>
  <c r="S6" i="606"/>
  <c r="S12" i="606"/>
  <c r="S8" i="606"/>
  <c r="S10" i="606"/>
  <c r="I22" i="606"/>
  <c r="I20" i="606"/>
  <c r="H22" i="606"/>
  <c r="H20" i="606"/>
  <c r="I21" i="606"/>
  <c r="I19" i="606"/>
  <c r="H19" i="606"/>
  <c r="H21" i="606"/>
  <c r="O7" i="770"/>
  <c r="N7" i="770"/>
  <c r="M7" i="770"/>
  <c r="L7" i="770"/>
  <c r="O11" i="770"/>
  <c r="N11" i="770"/>
  <c r="M11" i="770"/>
  <c r="L11" i="770"/>
  <c r="V21" i="770"/>
  <c r="U21" i="770"/>
  <c r="V22" i="770"/>
  <c r="V20" i="770"/>
  <c r="U22" i="770"/>
  <c r="U20" i="770"/>
  <c r="P9" i="769"/>
  <c r="O9" i="769"/>
  <c r="N9" i="769"/>
  <c r="M9" i="769"/>
  <c r="P13" i="769"/>
  <c r="O13" i="769"/>
  <c r="N13" i="769"/>
  <c r="M13" i="769"/>
  <c r="R20" i="727"/>
  <c r="R19" i="727"/>
  <c r="R18" i="727"/>
  <c r="R17" i="727"/>
  <c r="I22" i="616"/>
  <c r="I20" i="616"/>
  <c r="H22" i="616"/>
  <c r="H20" i="616"/>
  <c r="I21" i="616"/>
  <c r="I19" i="616"/>
  <c r="H21" i="616"/>
  <c r="H19" i="616"/>
  <c r="J53" i="431"/>
  <c r="J52" i="431"/>
  <c r="J51" i="431"/>
  <c r="K53" i="431"/>
  <c r="K52" i="431"/>
  <c r="K51" i="431"/>
  <c r="AF11" i="763"/>
  <c r="AF7" i="763"/>
  <c r="AF14" i="763"/>
  <c r="AF10" i="763"/>
  <c r="AF6" i="763"/>
  <c r="AF13" i="763"/>
  <c r="AF9" i="763"/>
  <c r="AF5" i="763"/>
  <c r="AF4" i="763"/>
  <c r="AF12" i="763"/>
  <c r="AF8" i="763"/>
  <c r="E18" i="763"/>
  <c r="E17" i="763"/>
  <c r="E16" i="763"/>
  <c r="F18" i="763"/>
  <c r="F17" i="763"/>
  <c r="F16" i="763"/>
  <c r="G18" i="763"/>
  <c r="G17" i="763"/>
  <c r="G16" i="763"/>
  <c r="H18" i="763"/>
  <c r="H17" i="763"/>
  <c r="H16" i="763"/>
  <c r="I18" i="763"/>
  <c r="I17" i="763"/>
  <c r="I16" i="763"/>
  <c r="J18" i="763"/>
  <c r="J17" i="763"/>
  <c r="J16" i="763"/>
  <c r="K18" i="763"/>
  <c r="K17" i="763"/>
  <c r="K16" i="763"/>
  <c r="L18" i="763"/>
  <c r="L17" i="763"/>
  <c r="L16" i="763"/>
  <c r="M18" i="763"/>
  <c r="M17" i="763"/>
  <c r="M16" i="763"/>
  <c r="N18" i="763"/>
  <c r="N17" i="763"/>
  <c r="N16" i="763"/>
  <c r="O18" i="763"/>
  <c r="O17" i="763"/>
  <c r="O16" i="763"/>
  <c r="P18" i="763"/>
  <c r="P17" i="763"/>
  <c r="P16" i="763"/>
  <c r="Q18" i="763"/>
  <c r="Q17" i="763"/>
  <c r="Q16" i="763"/>
  <c r="R18" i="763"/>
  <c r="R17" i="763"/>
  <c r="R16" i="763"/>
  <c r="S18" i="763"/>
  <c r="S17" i="763"/>
  <c r="S16" i="763"/>
  <c r="T18" i="763"/>
  <c r="T17" i="763"/>
  <c r="T16" i="763"/>
  <c r="U18" i="763"/>
  <c r="U17" i="763"/>
  <c r="U16" i="763"/>
  <c r="V18" i="763"/>
  <c r="V17" i="763"/>
  <c r="V16" i="763"/>
  <c r="W18" i="763"/>
  <c r="W17" i="763"/>
  <c r="W16" i="763"/>
  <c r="X18" i="763"/>
  <c r="X17" i="763"/>
  <c r="X16" i="763"/>
  <c r="Y18" i="763"/>
  <c r="Y17" i="763"/>
  <c r="Y16" i="763"/>
  <c r="Z18" i="763"/>
  <c r="Z17" i="763"/>
  <c r="Z16" i="763"/>
  <c r="AA18" i="763"/>
  <c r="AA17" i="763"/>
  <c r="AA16" i="763"/>
  <c r="AB18" i="763"/>
  <c r="AB17" i="763"/>
  <c r="AB16" i="763"/>
  <c r="AC18" i="763"/>
  <c r="AC17" i="763"/>
  <c r="AC16" i="763"/>
  <c r="AD18" i="763"/>
  <c r="AD17" i="763"/>
  <c r="AD16" i="763"/>
  <c r="AF18" i="763"/>
  <c r="AF17" i="763"/>
  <c r="AF16" i="763"/>
  <c r="F8" i="788"/>
  <c r="F7" i="788"/>
  <c r="F6" i="788"/>
  <c r="G8" i="788"/>
  <c r="G7" i="788"/>
  <c r="G6" i="788"/>
  <c r="F14" i="788"/>
  <c r="F13" i="788"/>
  <c r="M16" i="448"/>
  <c r="L16" i="448"/>
  <c r="K16" i="448"/>
  <c r="L4" i="448"/>
  <c r="M4" i="448"/>
  <c r="K4" i="448"/>
  <c r="J6" i="448"/>
  <c r="J5" i="448"/>
  <c r="L10" i="448"/>
  <c r="M10" i="448"/>
  <c r="K10" i="448"/>
  <c r="J12" i="448"/>
  <c r="J11" i="448"/>
  <c r="V5" i="458"/>
  <c r="V4" i="458"/>
  <c r="S91" i="459"/>
  <c r="S90" i="459"/>
  <c r="S89" i="459"/>
  <c r="S88" i="459"/>
  <c r="S87" i="459"/>
  <c r="S86" i="459"/>
  <c r="S85" i="459"/>
  <c r="S84" i="459"/>
  <c r="S83" i="459"/>
  <c r="S82" i="459"/>
  <c r="S81" i="459"/>
  <c r="S80" i="459"/>
  <c r="S79" i="459"/>
  <c r="S78" i="459"/>
  <c r="S77" i="459"/>
  <c r="S76" i="459"/>
  <c r="S75" i="459"/>
  <c r="S74" i="459"/>
  <c r="S73" i="459"/>
  <c r="S72" i="459"/>
  <c r="S71" i="459"/>
  <c r="S70" i="459"/>
  <c r="S69" i="459"/>
  <c r="S68" i="459"/>
  <c r="S67" i="459"/>
  <c r="S66" i="459"/>
  <c r="S65" i="459"/>
  <c r="S64" i="459"/>
  <c r="S63" i="459"/>
  <c r="S62" i="459"/>
  <c r="S61" i="459"/>
  <c r="S60" i="459"/>
  <c r="S59" i="459"/>
  <c r="S58" i="459"/>
  <c r="S57" i="459"/>
  <c r="S56" i="459"/>
  <c r="S55" i="459"/>
  <c r="S54" i="459"/>
  <c r="S53" i="459"/>
  <c r="S52" i="459"/>
  <c r="S51" i="459"/>
  <c r="S50" i="459"/>
  <c r="S49" i="459"/>
  <c r="S48" i="459"/>
  <c r="S47" i="459"/>
  <c r="S46" i="459"/>
  <c r="R91" i="459"/>
  <c r="R90" i="459"/>
  <c r="R89" i="459"/>
  <c r="R88" i="459"/>
  <c r="R87" i="459"/>
  <c r="R86" i="459"/>
  <c r="R85" i="459"/>
  <c r="R84" i="459"/>
  <c r="R83" i="459"/>
  <c r="R82" i="459"/>
  <c r="R81" i="459"/>
  <c r="R80" i="459"/>
  <c r="R79" i="459"/>
  <c r="R78" i="459"/>
  <c r="R77" i="459"/>
  <c r="R76" i="459"/>
  <c r="R75" i="459"/>
  <c r="R74" i="459"/>
  <c r="R73" i="459"/>
  <c r="R72" i="459"/>
  <c r="R71" i="459"/>
  <c r="R70" i="459"/>
  <c r="R69" i="459"/>
  <c r="R68" i="459"/>
  <c r="R67" i="459"/>
  <c r="R66" i="459"/>
  <c r="R65" i="459"/>
  <c r="R64" i="459"/>
  <c r="R63" i="459"/>
  <c r="R62" i="459"/>
  <c r="R61" i="459"/>
  <c r="R60" i="459"/>
  <c r="R59" i="459"/>
  <c r="R58" i="459"/>
  <c r="R57" i="459"/>
  <c r="R56" i="459"/>
  <c r="R55" i="459"/>
  <c r="R54" i="459"/>
  <c r="R53" i="459"/>
  <c r="R52" i="459"/>
  <c r="R51" i="459"/>
  <c r="R50" i="459"/>
  <c r="R49" i="459"/>
  <c r="R48" i="459"/>
  <c r="R47" i="459"/>
  <c r="R46" i="459"/>
  <c r="R45" i="459"/>
  <c r="R44" i="459"/>
  <c r="R43" i="459"/>
  <c r="R42" i="459"/>
  <c r="R41" i="459"/>
  <c r="R40" i="459"/>
  <c r="R39" i="459"/>
  <c r="R38" i="459"/>
  <c r="R37" i="459"/>
  <c r="R36" i="459"/>
  <c r="R35" i="459"/>
  <c r="R34" i="459"/>
  <c r="R33" i="459"/>
  <c r="R32" i="459"/>
  <c r="R31" i="459"/>
  <c r="R30" i="459"/>
  <c r="R29" i="459"/>
  <c r="R28" i="459"/>
  <c r="R27" i="459"/>
  <c r="R26" i="459"/>
  <c r="R25" i="459"/>
  <c r="R24" i="459"/>
  <c r="R23" i="459"/>
  <c r="R22" i="459"/>
  <c r="R21" i="459"/>
  <c r="R20" i="459"/>
  <c r="R19" i="459"/>
  <c r="R18" i="459"/>
  <c r="R17" i="459"/>
  <c r="R16" i="459"/>
  <c r="R15" i="459"/>
  <c r="R14" i="459"/>
  <c r="R13" i="459"/>
  <c r="R12" i="459"/>
  <c r="R11" i="459"/>
  <c r="R10" i="459"/>
  <c r="R9" i="459"/>
  <c r="R8" i="459"/>
  <c r="R7" i="459"/>
  <c r="R6" i="459"/>
  <c r="R5" i="459"/>
  <c r="R4" i="459"/>
  <c r="R3" i="459"/>
  <c r="Q91" i="459"/>
  <c r="Q90" i="459"/>
  <c r="Q89" i="459"/>
  <c r="Q88" i="459"/>
  <c r="Q87" i="459"/>
  <c r="Q86" i="459"/>
  <c r="Q85" i="459"/>
  <c r="Q84" i="459"/>
  <c r="Q83" i="459"/>
  <c r="Q82" i="459"/>
  <c r="Q81" i="459"/>
  <c r="Q80" i="459"/>
  <c r="Q79" i="459"/>
  <c r="Q78" i="459"/>
  <c r="Q77" i="459"/>
  <c r="Q76" i="459"/>
  <c r="Q75" i="459"/>
  <c r="Q74" i="459"/>
  <c r="Q73" i="459"/>
  <c r="Q72" i="459"/>
  <c r="Q71" i="459"/>
  <c r="Q70" i="459"/>
  <c r="Q69" i="459"/>
  <c r="Q68" i="459"/>
  <c r="Q67" i="459"/>
  <c r="Q66" i="459"/>
  <c r="Q65" i="459"/>
  <c r="Q64" i="459"/>
  <c r="Q63" i="459"/>
  <c r="Q62" i="459"/>
  <c r="Q61" i="459"/>
  <c r="Q60" i="459"/>
  <c r="Q59" i="459"/>
  <c r="Q58" i="459"/>
  <c r="Q57" i="459"/>
  <c r="Q56" i="459"/>
  <c r="Q55" i="459"/>
  <c r="Q54" i="459"/>
  <c r="Q53" i="459"/>
  <c r="Q52" i="459"/>
  <c r="Q51" i="459"/>
  <c r="Q50" i="459"/>
  <c r="Q49" i="459"/>
  <c r="Q48" i="459"/>
  <c r="Q47" i="459"/>
  <c r="Q46" i="459"/>
  <c r="Q45" i="459"/>
  <c r="Q44" i="459"/>
  <c r="Q43" i="459"/>
  <c r="Q42" i="459"/>
  <c r="Q41" i="459"/>
  <c r="Q40" i="459"/>
  <c r="Q39" i="459"/>
  <c r="Q38" i="459"/>
  <c r="Q37" i="459"/>
  <c r="Q36" i="459"/>
  <c r="Q35" i="459"/>
  <c r="Q34" i="459"/>
  <c r="Q33" i="459"/>
  <c r="Q32" i="459"/>
  <c r="Q31" i="459"/>
  <c r="Q30" i="459"/>
  <c r="Q29" i="459"/>
  <c r="Q28" i="459"/>
  <c r="Q27" i="459"/>
  <c r="Q26" i="459"/>
  <c r="Q25" i="459"/>
  <c r="Q24" i="459"/>
  <c r="Q23" i="459"/>
  <c r="Q22" i="459"/>
  <c r="Q21" i="459"/>
  <c r="Q20" i="459"/>
  <c r="Q19" i="459"/>
  <c r="Q18" i="459"/>
  <c r="Q17" i="459"/>
  <c r="Q16" i="459"/>
  <c r="Q15" i="459"/>
  <c r="Q14" i="459"/>
  <c r="Q13" i="459"/>
  <c r="Q12" i="459"/>
  <c r="Q11" i="459"/>
  <c r="Q10" i="459"/>
  <c r="Q9" i="459"/>
  <c r="Q8" i="459"/>
  <c r="Q7" i="459"/>
  <c r="Q6" i="459"/>
  <c r="Q5" i="459"/>
  <c r="Q4" i="459"/>
  <c r="Q3" i="459"/>
  <c r="T89" i="459"/>
  <c r="T85" i="459"/>
  <c r="T81" i="459"/>
  <c r="T77" i="459"/>
  <c r="T73" i="459"/>
  <c r="T69" i="459"/>
  <c r="T65" i="459"/>
  <c r="T61" i="459"/>
  <c r="T57" i="459"/>
  <c r="T53" i="459"/>
  <c r="T49" i="459"/>
  <c r="T45" i="459"/>
  <c r="T43" i="459"/>
  <c r="T41" i="459"/>
  <c r="T39" i="459"/>
  <c r="T37" i="459"/>
  <c r="T35" i="459"/>
  <c r="T33" i="459"/>
  <c r="T31" i="459"/>
  <c r="T29" i="459"/>
  <c r="T27" i="459"/>
  <c r="T25" i="459"/>
  <c r="T23" i="459"/>
  <c r="T21" i="459"/>
  <c r="T19" i="459"/>
  <c r="T17" i="459"/>
  <c r="T15" i="459"/>
  <c r="T13" i="459"/>
  <c r="T11" i="459"/>
  <c r="T9" i="459"/>
  <c r="T7" i="459"/>
  <c r="T5" i="459"/>
  <c r="T3" i="459"/>
  <c r="T88" i="459"/>
  <c r="T84" i="459"/>
  <c r="T80" i="459"/>
  <c r="T76" i="459"/>
  <c r="T72" i="459"/>
  <c r="T68" i="459"/>
  <c r="T64" i="459"/>
  <c r="T60" i="459"/>
  <c r="T56" i="459"/>
  <c r="T52" i="459"/>
  <c r="T48" i="459"/>
  <c r="S45" i="459"/>
  <c r="S43" i="459"/>
  <c r="S41" i="459"/>
  <c r="S39" i="459"/>
  <c r="S37" i="459"/>
  <c r="S35" i="459"/>
  <c r="S33" i="459"/>
  <c r="S31" i="459"/>
  <c r="S29" i="459"/>
  <c r="S27" i="459"/>
  <c r="S25" i="459"/>
  <c r="S23" i="459"/>
  <c r="S21" i="459"/>
  <c r="S19" i="459"/>
  <c r="S17" i="459"/>
  <c r="S15" i="459"/>
  <c r="S13" i="459"/>
  <c r="S11" i="459"/>
  <c r="S9" i="459"/>
  <c r="S7" i="459"/>
  <c r="S5" i="459"/>
  <c r="S3" i="459"/>
  <c r="T91" i="459"/>
  <c r="T87" i="459"/>
  <c r="T83" i="459"/>
  <c r="T79" i="459"/>
  <c r="T75" i="459"/>
  <c r="T71" i="459"/>
  <c r="T67" i="459"/>
  <c r="T63" i="459"/>
  <c r="T59" i="459"/>
  <c r="T55" i="459"/>
  <c r="T51" i="459"/>
  <c r="T47" i="459"/>
  <c r="T44" i="459"/>
  <c r="T42" i="459"/>
  <c r="T40" i="459"/>
  <c r="T38" i="459"/>
  <c r="T36" i="459"/>
  <c r="T34" i="459"/>
  <c r="T32" i="459"/>
  <c r="T30" i="459"/>
  <c r="T28" i="459"/>
  <c r="T26" i="459"/>
  <c r="T24" i="459"/>
  <c r="T22" i="459"/>
  <c r="T20" i="459"/>
  <c r="T18" i="459"/>
  <c r="T16" i="459"/>
  <c r="T14" i="459"/>
  <c r="T12" i="459"/>
  <c r="T10" i="459"/>
  <c r="T8" i="459"/>
  <c r="T6" i="459"/>
  <c r="T4" i="459"/>
  <c r="T78" i="459"/>
  <c r="T62" i="459"/>
  <c r="T46" i="459"/>
  <c r="S38" i="459"/>
  <c r="S30" i="459"/>
  <c r="S22" i="459"/>
  <c r="S14" i="459"/>
  <c r="S6" i="459"/>
  <c r="T90" i="459"/>
  <c r="T74" i="459"/>
  <c r="T58" i="459"/>
  <c r="S44" i="459"/>
  <c r="S36" i="459"/>
  <c r="S28" i="459"/>
  <c r="S20" i="459"/>
  <c r="S12" i="459"/>
  <c r="S4" i="459"/>
  <c r="T86" i="459"/>
  <c r="T70" i="459"/>
  <c r="T54" i="459"/>
  <c r="S42" i="459"/>
  <c r="S34" i="459"/>
  <c r="S26" i="459"/>
  <c r="S18" i="459"/>
  <c r="S10" i="459"/>
  <c r="T66" i="459"/>
  <c r="S24" i="459"/>
  <c r="T50" i="459"/>
  <c r="S16" i="459"/>
  <c r="S32" i="459"/>
  <c r="S40" i="459"/>
  <c r="S8" i="459"/>
  <c r="T82" i="459"/>
  <c r="Z111" i="821"/>
  <c r="AA112" i="821"/>
  <c r="AA110" i="821"/>
  <c r="Z112" i="821"/>
  <c r="Z110" i="821"/>
  <c r="AA111" i="821"/>
  <c r="AC12" i="459"/>
  <c r="AC11" i="459"/>
  <c r="AC7" i="459"/>
  <c r="AC10" i="459"/>
  <c r="AC6" i="459"/>
  <c r="AC9" i="459"/>
  <c r="AC5" i="459"/>
  <c r="AC8" i="459"/>
  <c r="G29" i="448"/>
  <c r="F28" i="448"/>
  <c r="H26" i="448"/>
  <c r="G25" i="448"/>
  <c r="F24" i="448"/>
  <c r="H22" i="448"/>
  <c r="G21" i="448"/>
  <c r="F20" i="448"/>
  <c r="H18" i="448"/>
  <c r="G17" i="448"/>
  <c r="F16" i="448"/>
  <c r="H14" i="448"/>
  <c r="G13" i="448"/>
  <c r="F12" i="448"/>
  <c r="H10" i="448"/>
  <c r="G9" i="448"/>
  <c r="F8" i="448"/>
  <c r="H6" i="448"/>
  <c r="G5" i="448"/>
  <c r="F4" i="448"/>
  <c r="H28" i="448"/>
  <c r="G27" i="448"/>
  <c r="F26" i="448"/>
  <c r="H24" i="448"/>
  <c r="G23" i="448"/>
  <c r="F22" i="448"/>
  <c r="H20" i="448"/>
  <c r="G19" i="448"/>
  <c r="F18" i="448"/>
  <c r="H16" i="448"/>
  <c r="G15" i="448"/>
  <c r="F14" i="448"/>
  <c r="H12" i="448"/>
  <c r="G11" i="448"/>
  <c r="F10" i="448"/>
  <c r="H8" i="448"/>
  <c r="G7" i="448"/>
  <c r="F6" i="448"/>
  <c r="H4" i="448"/>
  <c r="G3" i="448"/>
  <c r="G28" i="448"/>
  <c r="H25" i="448"/>
  <c r="F23" i="448"/>
  <c r="G20" i="448"/>
  <c r="H17" i="448"/>
  <c r="F15" i="448"/>
  <c r="G12" i="448"/>
  <c r="H9" i="448"/>
  <c r="F7" i="448"/>
  <c r="G4" i="448"/>
  <c r="H27" i="448"/>
  <c r="F25" i="448"/>
  <c r="G22" i="448"/>
  <c r="H19" i="448"/>
  <c r="F17" i="448"/>
  <c r="G14" i="448"/>
  <c r="H11" i="448"/>
  <c r="F9" i="448"/>
  <c r="G6" i="448"/>
  <c r="H3" i="448"/>
  <c r="H29" i="448"/>
  <c r="F27" i="448"/>
  <c r="G24" i="448"/>
  <c r="H21" i="448"/>
  <c r="F19" i="448"/>
  <c r="G16" i="448"/>
  <c r="H13" i="448"/>
  <c r="F11" i="448"/>
  <c r="G8" i="448"/>
  <c r="H5" i="448"/>
  <c r="F3" i="448"/>
  <c r="F21" i="448"/>
  <c r="G10" i="448"/>
  <c r="F29" i="448"/>
  <c r="G18" i="448"/>
  <c r="H7" i="448"/>
  <c r="F13" i="448"/>
  <c r="G26" i="448"/>
  <c r="H15" i="448"/>
  <c r="F5" i="448"/>
  <c r="H23" i="448"/>
  <c r="T98" i="458"/>
  <c r="T97" i="458"/>
  <c r="T96" i="458"/>
  <c r="T95" i="458"/>
  <c r="T94" i="458"/>
  <c r="T93" i="458"/>
  <c r="T92" i="458"/>
  <c r="T91" i="458"/>
  <c r="T90" i="458"/>
  <c r="T89" i="458"/>
  <c r="T88" i="458"/>
  <c r="T87" i="458"/>
  <c r="T86" i="458"/>
  <c r="T85" i="458"/>
  <c r="T84" i="458"/>
  <c r="T83" i="458"/>
  <c r="T82" i="458"/>
  <c r="T81" i="458"/>
  <c r="T80" i="458"/>
  <c r="T79" i="458"/>
  <c r="T78" i="458"/>
  <c r="T77" i="458"/>
  <c r="T76" i="458"/>
  <c r="T75" i="458"/>
  <c r="T74" i="458"/>
  <c r="T73" i="458"/>
  <c r="T72" i="458"/>
  <c r="R98" i="458"/>
  <c r="Q97" i="458"/>
  <c r="S95" i="458"/>
  <c r="R94" i="458"/>
  <c r="Q93" i="458"/>
  <c r="S91" i="458"/>
  <c r="R90" i="458"/>
  <c r="Q89" i="458"/>
  <c r="S87" i="458"/>
  <c r="R86" i="458"/>
  <c r="Q85" i="458"/>
  <c r="S83" i="458"/>
  <c r="R82" i="458"/>
  <c r="Q81" i="458"/>
  <c r="S79" i="458"/>
  <c r="R78" i="458"/>
  <c r="Q77" i="458"/>
  <c r="S75" i="458"/>
  <c r="R74" i="458"/>
  <c r="Q73" i="458"/>
  <c r="T71" i="458"/>
  <c r="T70" i="458"/>
  <c r="T69" i="458"/>
  <c r="T68" i="458"/>
  <c r="T67" i="458"/>
  <c r="T66" i="458"/>
  <c r="T65" i="458"/>
  <c r="T64" i="458"/>
  <c r="T63" i="458"/>
  <c r="T62" i="458"/>
  <c r="T61" i="458"/>
  <c r="T60" i="458"/>
  <c r="T59" i="458"/>
  <c r="T58" i="458"/>
  <c r="T57" i="458"/>
  <c r="T56" i="458"/>
  <c r="T55" i="458"/>
  <c r="T54" i="458"/>
  <c r="T53" i="458"/>
  <c r="T52" i="458"/>
  <c r="T51" i="458"/>
  <c r="T50" i="458"/>
  <c r="T49" i="458"/>
  <c r="T48" i="458"/>
  <c r="T47" i="458"/>
  <c r="T46" i="458"/>
  <c r="T45" i="458"/>
  <c r="T44" i="458"/>
  <c r="T43" i="458"/>
  <c r="T42" i="458"/>
  <c r="T41" i="458"/>
  <c r="T40" i="458"/>
  <c r="T39" i="458"/>
  <c r="T38" i="458"/>
  <c r="T37" i="458"/>
  <c r="T36" i="458"/>
  <c r="T35" i="458"/>
  <c r="T34" i="458"/>
  <c r="T33" i="458"/>
  <c r="T32" i="458"/>
  <c r="T31" i="458"/>
  <c r="T30" i="458"/>
  <c r="T29" i="458"/>
  <c r="T28" i="458"/>
  <c r="T27" i="458"/>
  <c r="T26" i="458"/>
  <c r="T25" i="458"/>
  <c r="T24" i="458"/>
  <c r="T23" i="458"/>
  <c r="T22" i="458"/>
  <c r="T21" i="458"/>
  <c r="T20" i="458"/>
  <c r="T19" i="458"/>
  <c r="T18" i="458"/>
  <c r="T17" i="458"/>
  <c r="T16" i="458"/>
  <c r="T15" i="458"/>
  <c r="T14" i="458"/>
  <c r="T13" i="458"/>
  <c r="T12" i="458"/>
  <c r="T11" i="458"/>
  <c r="T10" i="458"/>
  <c r="T9" i="458"/>
  <c r="T8" i="458"/>
  <c r="T7" i="458"/>
  <c r="T6" i="458"/>
  <c r="T5" i="458"/>
  <c r="T4" i="458"/>
  <c r="T3" i="458"/>
  <c r="Q98" i="458"/>
  <c r="S96" i="458"/>
  <c r="R95" i="458"/>
  <c r="Q94" i="458"/>
  <c r="S92" i="458"/>
  <c r="R91" i="458"/>
  <c r="Q90" i="458"/>
  <c r="S88" i="458"/>
  <c r="R87" i="458"/>
  <c r="Q86" i="458"/>
  <c r="S84" i="458"/>
  <c r="R83" i="458"/>
  <c r="Q82" i="458"/>
  <c r="S80" i="458"/>
  <c r="R79" i="458"/>
  <c r="Q78" i="458"/>
  <c r="S76" i="458"/>
  <c r="R75" i="458"/>
  <c r="Q74" i="458"/>
  <c r="S72" i="458"/>
  <c r="S71" i="458"/>
  <c r="S70" i="458"/>
  <c r="S69" i="458"/>
  <c r="S68" i="458"/>
  <c r="S67" i="458"/>
  <c r="S66" i="458"/>
  <c r="S65" i="458"/>
  <c r="S64" i="458"/>
  <c r="S63" i="458"/>
  <c r="S62" i="458"/>
  <c r="S61" i="458"/>
  <c r="S60" i="458"/>
  <c r="S59" i="458"/>
  <c r="S58" i="458"/>
  <c r="S57" i="458"/>
  <c r="S56" i="458"/>
  <c r="S55" i="458"/>
  <c r="S54" i="458"/>
  <c r="S53" i="458"/>
  <c r="S52" i="458"/>
  <c r="S51" i="458"/>
  <c r="S50" i="458"/>
  <c r="S49" i="458"/>
  <c r="S48" i="458"/>
  <c r="S47" i="458"/>
  <c r="S46" i="458"/>
  <c r="S45" i="458"/>
  <c r="S44" i="458"/>
  <c r="S43" i="458"/>
  <c r="S42" i="458"/>
  <c r="S41" i="458"/>
  <c r="S40" i="458"/>
  <c r="S39" i="458"/>
  <c r="S38" i="458"/>
  <c r="S37" i="458"/>
  <c r="S36" i="458"/>
  <c r="S35" i="458"/>
  <c r="S34" i="458"/>
  <c r="S33" i="458"/>
  <c r="S32" i="458"/>
  <c r="S31" i="458"/>
  <c r="S30" i="458"/>
  <c r="S29" i="458"/>
  <c r="S28" i="458"/>
  <c r="S27" i="458"/>
  <c r="S26" i="458"/>
  <c r="S25" i="458"/>
  <c r="S24" i="458"/>
  <c r="S23" i="458"/>
  <c r="S22" i="458"/>
  <c r="S21" i="458"/>
  <c r="S20" i="458"/>
  <c r="S19" i="458"/>
  <c r="S18" i="458"/>
  <c r="S17" i="458"/>
  <c r="S16" i="458"/>
  <c r="S15" i="458"/>
  <c r="S14" i="458"/>
  <c r="S13" i="458"/>
  <c r="S12" i="458"/>
  <c r="S11" i="458"/>
  <c r="S10" i="458"/>
  <c r="S9" i="458"/>
  <c r="S8" i="458"/>
  <c r="S7" i="458"/>
  <c r="S6" i="458"/>
  <c r="S5" i="458"/>
  <c r="S4" i="458"/>
  <c r="S3" i="458"/>
  <c r="S97" i="458"/>
  <c r="R96" i="458"/>
  <c r="Q95" i="458"/>
  <c r="S93" i="458"/>
  <c r="R92" i="458"/>
  <c r="Q91" i="458"/>
  <c r="S89" i="458"/>
  <c r="R88" i="458"/>
  <c r="Q87" i="458"/>
  <c r="S85" i="458"/>
  <c r="R84" i="458"/>
  <c r="Q83" i="458"/>
  <c r="S81" i="458"/>
  <c r="R80" i="458"/>
  <c r="Q79" i="458"/>
  <c r="S77" i="458"/>
  <c r="R76" i="458"/>
  <c r="Q75" i="458"/>
  <c r="S73" i="458"/>
  <c r="R72" i="458"/>
  <c r="R71" i="458"/>
  <c r="R70" i="458"/>
  <c r="R69" i="458"/>
  <c r="R68" i="458"/>
  <c r="R67" i="458"/>
  <c r="R66" i="458"/>
  <c r="R65" i="458"/>
  <c r="R64" i="458"/>
  <c r="R63" i="458"/>
  <c r="R62" i="458"/>
  <c r="R61" i="458"/>
  <c r="R60" i="458"/>
  <c r="R59" i="458"/>
  <c r="R58" i="458"/>
  <c r="R57" i="458"/>
  <c r="R56" i="458"/>
  <c r="R55" i="458"/>
  <c r="R54" i="458"/>
  <c r="R53" i="458"/>
  <c r="R52" i="458"/>
  <c r="R51" i="458"/>
  <c r="R50" i="458"/>
  <c r="R49" i="458"/>
  <c r="R48" i="458"/>
  <c r="R47" i="458"/>
  <c r="R46" i="458"/>
  <c r="R45" i="458"/>
  <c r="R44" i="458"/>
  <c r="R43" i="458"/>
  <c r="R42" i="458"/>
  <c r="R41" i="458"/>
  <c r="R40" i="458"/>
  <c r="R39" i="458"/>
  <c r="R38" i="458"/>
  <c r="R37" i="458"/>
  <c r="R36" i="458"/>
  <c r="R35" i="458"/>
  <c r="R34" i="458"/>
  <c r="R33" i="458"/>
  <c r="R32" i="458"/>
  <c r="R31" i="458"/>
  <c r="R30" i="458"/>
  <c r="R29" i="458"/>
  <c r="R28" i="458"/>
  <c r="R27" i="458"/>
  <c r="R26" i="458"/>
  <c r="R25" i="458"/>
  <c r="R24" i="458"/>
  <c r="R23" i="458"/>
  <c r="R22" i="458"/>
  <c r="R21" i="458"/>
  <c r="R20" i="458"/>
  <c r="R19" i="458"/>
  <c r="R18" i="458"/>
  <c r="R17" i="458"/>
  <c r="R16" i="458"/>
  <c r="R15" i="458"/>
  <c r="R14" i="458"/>
  <c r="R13" i="458"/>
  <c r="R12" i="458"/>
  <c r="R11" i="458"/>
  <c r="R10" i="458"/>
  <c r="R9" i="458"/>
  <c r="R8" i="458"/>
  <c r="R7" i="458"/>
  <c r="R6" i="458"/>
  <c r="R5" i="458"/>
  <c r="R4" i="458"/>
  <c r="R3" i="458"/>
  <c r="S94" i="458"/>
  <c r="R89" i="458"/>
  <c r="Q84" i="458"/>
  <c r="S78" i="458"/>
  <c r="R73" i="458"/>
  <c r="Q69" i="458"/>
  <c r="Q65" i="458"/>
  <c r="Q61" i="458"/>
  <c r="Q57" i="458"/>
  <c r="Q53" i="458"/>
  <c r="Q49" i="458"/>
  <c r="Q45" i="458"/>
  <c r="Q41" i="458"/>
  <c r="Q37" i="458"/>
  <c r="Q33" i="458"/>
  <c r="Q29" i="458"/>
  <c r="Q25" i="458"/>
  <c r="Q21" i="458"/>
  <c r="Q17" i="458"/>
  <c r="Q13" i="458"/>
  <c r="Q9" i="458"/>
  <c r="Q5" i="458"/>
  <c r="S98" i="458"/>
  <c r="R93" i="458"/>
  <c r="Q88" i="458"/>
  <c r="S82" i="458"/>
  <c r="R77" i="458"/>
  <c r="Q72" i="458"/>
  <c r="Q68" i="458"/>
  <c r="Q64" i="458"/>
  <c r="Q60" i="458"/>
  <c r="Q56" i="458"/>
  <c r="Q52" i="458"/>
  <c r="Q48" i="458"/>
  <c r="Q44" i="458"/>
  <c r="Q40" i="458"/>
  <c r="Q36" i="458"/>
  <c r="Q32" i="458"/>
  <c r="Q28" i="458"/>
  <c r="Q24" i="458"/>
  <c r="Q20" i="458"/>
  <c r="Q16" i="458"/>
  <c r="Q12" i="458"/>
  <c r="Q8" i="458"/>
  <c r="Q4" i="458"/>
  <c r="R97" i="458"/>
  <c r="Q92" i="458"/>
  <c r="S86" i="458"/>
  <c r="R81" i="458"/>
  <c r="Q76" i="458"/>
  <c r="Q71" i="458"/>
  <c r="Q67" i="458"/>
  <c r="Q63" i="458"/>
  <c r="Q59" i="458"/>
  <c r="Q55" i="458"/>
  <c r="Q51" i="458"/>
  <c r="Q47" i="458"/>
  <c r="Q43" i="458"/>
  <c r="Q39" i="458"/>
  <c r="Q35" i="458"/>
  <c r="Q31" i="458"/>
  <c r="Q27" i="458"/>
  <c r="Q23" i="458"/>
  <c r="Q19" i="458"/>
  <c r="Q15" i="458"/>
  <c r="Q11" i="458"/>
  <c r="Q7" i="458"/>
  <c r="Q3" i="458"/>
  <c r="Q96" i="458"/>
  <c r="S74" i="458"/>
  <c r="Q58" i="458"/>
  <c r="Q42" i="458"/>
  <c r="Q26" i="458"/>
  <c r="Q10" i="458"/>
  <c r="S90" i="458"/>
  <c r="Q70" i="458"/>
  <c r="Q54" i="458"/>
  <c r="Q38" i="458"/>
  <c r="Q22" i="458"/>
  <c r="Q6" i="458"/>
  <c r="Q62" i="458"/>
  <c r="Q30" i="458"/>
  <c r="R85" i="458"/>
  <c r="Q66" i="458"/>
  <c r="Q50" i="458"/>
  <c r="Q34" i="458"/>
  <c r="Q18" i="458"/>
  <c r="Q80" i="458"/>
  <c r="Q46" i="458"/>
  <c r="Q14" i="458"/>
  <c r="K14" i="713"/>
  <c r="K10" i="713"/>
  <c r="K6" i="713"/>
  <c r="K13" i="713"/>
  <c r="K9" i="713"/>
  <c r="K5" i="713"/>
  <c r="K12" i="713"/>
  <c r="K8" i="713"/>
  <c r="K4" i="713"/>
  <c r="K11" i="713"/>
  <c r="K7" i="713"/>
  <c r="F20" i="832"/>
  <c r="G20" i="832"/>
  <c r="G19" i="832"/>
  <c r="G21" i="832"/>
  <c r="F19" i="832"/>
  <c r="F21" i="832"/>
  <c r="AC12" i="458"/>
  <c r="AC8" i="458"/>
  <c r="AC9" i="458"/>
  <c r="AC7" i="458"/>
  <c r="AC11" i="458"/>
  <c r="AC6" i="458"/>
  <c r="AC5" i="458"/>
  <c r="AC10" i="458"/>
  <c r="X8" i="458"/>
  <c r="X9" i="458"/>
  <c r="V5" i="459"/>
  <c r="V4" i="459"/>
  <c r="M20" i="823"/>
  <c r="L20" i="823"/>
  <c r="K20" i="823"/>
  <c r="AK16" i="251"/>
  <c r="AK12" i="251"/>
  <c r="AK8" i="251"/>
  <c r="AK15" i="251"/>
  <c r="AK11" i="251"/>
  <c r="AK7" i="251"/>
  <c r="AK14" i="251"/>
  <c r="AK10" i="251"/>
  <c r="AK6" i="251"/>
  <c r="AK13" i="251"/>
  <c r="AK9" i="251"/>
  <c r="X20" i="831"/>
  <c r="Y20" i="831"/>
  <c r="Y19" i="831"/>
  <c r="Y21" i="831"/>
  <c r="X19" i="831"/>
  <c r="X21" i="831"/>
  <c r="W7" i="458"/>
  <c r="W6" i="458"/>
  <c r="Z241" i="821"/>
  <c r="AA242" i="821"/>
  <c r="AA240" i="821"/>
  <c r="Z242" i="821"/>
  <c r="Z240" i="821"/>
  <c r="AA241" i="821"/>
  <c r="F18" i="717"/>
  <c r="G17" i="717"/>
  <c r="F17" i="717"/>
  <c r="G18" i="717"/>
  <c r="AB11" i="724"/>
  <c r="AB9" i="724"/>
  <c r="AB7" i="724"/>
  <c r="AB5" i="724"/>
  <c r="AC12" i="724"/>
  <c r="AC10" i="724"/>
  <c r="AC8" i="724"/>
  <c r="AC6" i="724"/>
  <c r="AC4" i="724"/>
  <c r="AB12" i="724"/>
  <c r="AB10" i="724"/>
  <c r="AB8" i="724"/>
  <c r="AB6" i="724"/>
  <c r="AB4" i="724"/>
  <c r="AC9" i="724"/>
  <c r="AC7" i="724"/>
  <c r="AC5" i="724"/>
  <c r="AC11" i="724"/>
  <c r="AA66" i="821"/>
  <c r="AA64" i="821"/>
  <c r="AA62" i="821"/>
  <c r="AA60" i="821"/>
  <c r="AA58" i="821"/>
  <c r="AA56" i="821"/>
  <c r="AA54" i="821"/>
  <c r="Z66" i="821"/>
  <c r="Z64" i="821"/>
  <c r="Z62" i="821"/>
  <c r="Z60" i="821"/>
  <c r="Z58" i="821"/>
  <c r="Z56" i="821"/>
  <c r="Z54" i="821"/>
  <c r="AA67" i="821"/>
  <c r="AA65" i="821"/>
  <c r="AA61" i="821"/>
  <c r="AA57" i="821"/>
  <c r="Z65" i="821"/>
  <c r="Z61" i="821"/>
  <c r="Z57" i="821"/>
  <c r="AA63" i="821"/>
  <c r="AA59" i="821"/>
  <c r="AA55" i="821"/>
  <c r="Z67" i="821"/>
  <c r="Z63" i="821"/>
  <c r="Z59" i="821"/>
  <c r="Z55" i="821"/>
  <c r="Z220" i="821"/>
  <c r="Z218" i="821"/>
  <c r="Z216" i="821"/>
  <c r="Z214" i="821"/>
  <c r="AA221" i="821"/>
  <c r="AA219" i="821"/>
  <c r="AA217" i="821"/>
  <c r="AA215" i="821"/>
  <c r="AA213" i="821"/>
  <c r="Z221" i="821"/>
  <c r="Z219" i="821"/>
  <c r="Z217" i="821"/>
  <c r="Z215" i="821"/>
  <c r="Z213" i="821"/>
  <c r="AA220" i="821"/>
  <c r="AA218" i="821"/>
  <c r="AA216" i="821"/>
  <c r="AA214" i="821"/>
  <c r="T14" i="717"/>
  <c r="T10" i="717"/>
  <c r="T6" i="717"/>
  <c r="T13" i="717"/>
  <c r="T9" i="717"/>
  <c r="T5" i="717"/>
  <c r="T12" i="717"/>
  <c r="T8" i="717"/>
  <c r="T4" i="717"/>
  <c r="T11" i="717"/>
  <c r="T7" i="717"/>
  <c r="F38" i="717"/>
  <c r="G39" i="717"/>
  <c r="G37" i="717"/>
  <c r="F39" i="717"/>
  <c r="F37" i="717"/>
  <c r="G38" i="717"/>
  <c r="H42" i="822"/>
  <c r="G41" i="822"/>
  <c r="F40" i="822"/>
  <c r="H38" i="822"/>
  <c r="G37" i="822"/>
  <c r="F36" i="822"/>
  <c r="H34" i="822"/>
  <c r="G33" i="822"/>
  <c r="F32" i="822"/>
  <c r="H30" i="822"/>
  <c r="G29" i="822"/>
  <c r="F28" i="822"/>
  <c r="H26" i="822"/>
  <c r="G25" i="822"/>
  <c r="F24" i="822"/>
  <c r="H22" i="822"/>
  <c r="G21" i="822"/>
  <c r="F20" i="822"/>
  <c r="H18" i="822"/>
  <c r="G17" i="822"/>
  <c r="F16" i="822"/>
  <c r="H14" i="822"/>
  <c r="G13" i="822"/>
  <c r="F12" i="822"/>
  <c r="H10" i="822"/>
  <c r="G9" i="822"/>
  <c r="F8" i="822"/>
  <c r="H6" i="822"/>
  <c r="G5" i="822"/>
  <c r="H43" i="822"/>
  <c r="G42" i="822"/>
  <c r="F41" i="822"/>
  <c r="H39" i="822"/>
  <c r="G38" i="822"/>
  <c r="F37" i="822"/>
  <c r="H35" i="822"/>
  <c r="G34" i="822"/>
  <c r="F33" i="822"/>
  <c r="H31" i="822"/>
  <c r="G30" i="822"/>
  <c r="F29" i="822"/>
  <c r="H27" i="822"/>
  <c r="G26" i="822"/>
  <c r="F25" i="822"/>
  <c r="H23" i="822"/>
  <c r="G22" i="822"/>
  <c r="F21" i="822"/>
  <c r="H19" i="822"/>
  <c r="G18" i="822"/>
  <c r="F17" i="822"/>
  <c r="H15" i="822"/>
  <c r="G14" i="822"/>
  <c r="F13" i="822"/>
  <c r="H11" i="822"/>
  <c r="G10" i="822"/>
  <c r="F9" i="822"/>
  <c r="H7" i="822"/>
  <c r="G6" i="822"/>
  <c r="F5" i="822"/>
  <c r="G43" i="822"/>
  <c r="F42" i="822"/>
  <c r="H40" i="822"/>
  <c r="G39" i="822"/>
  <c r="F38" i="822"/>
  <c r="H36" i="822"/>
  <c r="G35" i="822"/>
  <c r="F34" i="822"/>
  <c r="H32" i="822"/>
  <c r="G31" i="822"/>
  <c r="F30" i="822"/>
  <c r="H28" i="822"/>
  <c r="G27" i="822"/>
  <c r="F26" i="822"/>
  <c r="H24" i="822"/>
  <c r="G23" i="822"/>
  <c r="F22" i="822"/>
  <c r="H20" i="822"/>
  <c r="G19" i="822"/>
  <c r="F18" i="822"/>
  <c r="H16" i="822"/>
  <c r="G15" i="822"/>
  <c r="F14" i="822"/>
  <c r="H12" i="822"/>
  <c r="G11" i="822"/>
  <c r="F10" i="822"/>
  <c r="H8" i="822"/>
  <c r="G7" i="822"/>
  <c r="F6" i="822"/>
  <c r="G40" i="822"/>
  <c r="F35" i="822"/>
  <c r="H29" i="822"/>
  <c r="G24" i="822"/>
  <c r="F19" i="822"/>
  <c r="H13" i="822"/>
  <c r="G8" i="822"/>
  <c r="F39" i="822"/>
  <c r="H33" i="822"/>
  <c r="G28" i="822"/>
  <c r="F23" i="822"/>
  <c r="H17" i="822"/>
  <c r="G12" i="822"/>
  <c r="F7" i="822"/>
  <c r="F43" i="822"/>
  <c r="H37" i="822"/>
  <c r="G32" i="822"/>
  <c r="F27" i="822"/>
  <c r="H21" i="822"/>
  <c r="G16" i="822"/>
  <c r="F11" i="822"/>
  <c r="H5" i="822"/>
  <c r="F31" i="822"/>
  <c r="H9" i="822"/>
  <c r="H25" i="822"/>
  <c r="H41" i="822"/>
  <c r="G20" i="822"/>
  <c r="G36" i="822"/>
  <c r="F15" i="822"/>
  <c r="L20" i="822"/>
  <c r="K20" i="822"/>
  <c r="M20" i="822"/>
  <c r="F20" i="823"/>
  <c r="F19" i="823"/>
  <c r="F18" i="823"/>
  <c r="F17" i="823"/>
  <c r="F16" i="823"/>
  <c r="F15" i="823"/>
  <c r="F14" i="823"/>
  <c r="F13" i="823"/>
  <c r="F12" i="823"/>
  <c r="F11" i="823"/>
  <c r="F10" i="823"/>
  <c r="F9" i="823"/>
  <c r="F8" i="823"/>
  <c r="F7" i="823"/>
  <c r="F6" i="823"/>
  <c r="F5" i="823"/>
  <c r="E20" i="823"/>
  <c r="E19" i="823"/>
  <c r="E18" i="823"/>
  <c r="E17" i="823"/>
  <c r="E16" i="823"/>
  <c r="E15" i="823"/>
  <c r="E14" i="823"/>
  <c r="E13" i="823"/>
  <c r="E12" i="823"/>
  <c r="E11" i="823"/>
  <c r="E10" i="823"/>
  <c r="E9" i="823"/>
  <c r="E8" i="823"/>
  <c r="E7" i="823"/>
  <c r="E6" i="823"/>
  <c r="E5" i="823"/>
  <c r="H20" i="823"/>
  <c r="H19" i="823"/>
  <c r="H18" i="823"/>
  <c r="H17" i="823"/>
  <c r="H16" i="823"/>
  <c r="H15" i="823"/>
  <c r="H14" i="823"/>
  <c r="H13" i="823"/>
  <c r="H12" i="823"/>
  <c r="H11" i="823"/>
  <c r="H10" i="823"/>
  <c r="H9" i="823"/>
  <c r="H8" i="823"/>
  <c r="H7" i="823"/>
  <c r="H6" i="823"/>
  <c r="H5" i="823"/>
  <c r="G20" i="823"/>
  <c r="G16" i="823"/>
  <c r="G12" i="823"/>
  <c r="G8" i="823"/>
  <c r="G19" i="823"/>
  <c r="G15" i="823"/>
  <c r="G11" i="823"/>
  <c r="G7" i="823"/>
  <c r="G18" i="823"/>
  <c r="G14" i="823"/>
  <c r="G10" i="823"/>
  <c r="G6" i="823"/>
  <c r="G17" i="823"/>
  <c r="G13" i="823"/>
  <c r="G9" i="823"/>
  <c r="G5" i="823"/>
  <c r="H20" i="721"/>
  <c r="H18" i="721"/>
  <c r="I19" i="721"/>
  <c r="I17" i="721"/>
  <c r="H19" i="721"/>
  <c r="H17" i="721"/>
  <c r="I20" i="721"/>
  <c r="I18" i="721"/>
  <c r="N12" i="820"/>
  <c r="N10" i="820"/>
  <c r="N8" i="820"/>
  <c r="N6" i="820"/>
  <c r="O13" i="820"/>
  <c r="O11" i="820"/>
  <c r="O9" i="820"/>
  <c r="O7" i="820"/>
  <c r="O5" i="820"/>
  <c r="N13" i="820"/>
  <c r="N11" i="820"/>
  <c r="N9" i="820"/>
  <c r="N7" i="820"/>
  <c r="N5" i="820"/>
  <c r="O8" i="820"/>
  <c r="O6" i="820"/>
  <c r="O12" i="820"/>
  <c r="O10" i="820"/>
  <c r="X8" i="459"/>
  <c r="X9" i="459"/>
  <c r="Z33" i="821"/>
  <c r="Z31" i="821"/>
  <c r="Z29" i="821"/>
  <c r="Z27" i="821"/>
  <c r="Z25" i="821"/>
  <c r="Z23" i="821"/>
  <c r="Z21" i="821"/>
  <c r="Z19" i="821"/>
  <c r="Z17" i="821"/>
  <c r="AA34" i="821"/>
  <c r="AA32" i="821"/>
  <c r="AA30" i="821"/>
  <c r="AA28" i="821"/>
  <c r="AA26" i="821"/>
  <c r="AA24" i="821"/>
  <c r="AA22" i="821"/>
  <c r="AA20" i="821"/>
  <c r="AA18" i="821"/>
  <c r="Z32" i="821"/>
  <c r="Z28" i="821"/>
  <c r="Z24" i="821"/>
  <c r="Z20" i="821"/>
  <c r="AA31" i="821"/>
  <c r="AA27" i="821"/>
  <c r="AA23" i="821"/>
  <c r="AA19" i="821"/>
  <c r="Z34" i="821"/>
  <c r="Z30" i="821"/>
  <c r="Z26" i="821"/>
  <c r="Z22" i="821"/>
  <c r="Z18" i="821"/>
  <c r="AA25" i="821"/>
  <c r="AA21" i="821"/>
  <c r="AA33" i="821"/>
  <c r="AA17" i="821"/>
  <c r="AA29" i="821"/>
  <c r="Z145" i="821"/>
  <c r="Z143" i="821"/>
  <c r="Z141" i="821"/>
  <c r="Z139" i="821"/>
  <c r="Z137" i="821"/>
  <c r="Z135" i="821"/>
  <c r="Z133" i="821"/>
  <c r="Z131" i="821"/>
  <c r="AA146" i="821"/>
  <c r="AA144" i="821"/>
  <c r="AA142" i="821"/>
  <c r="AA140" i="821"/>
  <c r="AA138" i="821"/>
  <c r="AA136" i="821"/>
  <c r="AA134" i="821"/>
  <c r="AA132" i="821"/>
  <c r="Z146" i="821"/>
  <c r="Z144" i="821"/>
  <c r="Z142" i="821"/>
  <c r="Z140" i="821"/>
  <c r="Z138" i="821"/>
  <c r="Z136" i="821"/>
  <c r="Z134" i="821"/>
  <c r="Z132" i="821"/>
  <c r="AA139" i="821"/>
  <c r="AA131" i="821"/>
  <c r="AA145" i="821"/>
  <c r="AA137" i="821"/>
  <c r="AA143" i="821"/>
  <c r="AA135" i="821"/>
  <c r="AA141" i="821"/>
  <c r="AA133" i="821"/>
  <c r="K6" i="823"/>
  <c r="M6" i="823"/>
  <c r="L6" i="823"/>
  <c r="J7" i="823"/>
  <c r="J9" i="823"/>
  <c r="J8" i="823"/>
  <c r="K13" i="823"/>
  <c r="M13" i="823"/>
  <c r="L13" i="823"/>
  <c r="J14" i="823"/>
  <c r="J16" i="823"/>
  <c r="J15" i="823"/>
  <c r="J21" i="823"/>
  <c r="J23" i="823"/>
  <c r="J22" i="823"/>
  <c r="F17" i="722"/>
  <c r="G18" i="722"/>
  <c r="F18" i="722"/>
  <c r="G17" i="722"/>
  <c r="M19" i="830"/>
  <c r="L19" i="830"/>
  <c r="M14" i="830" s="1"/>
  <c r="M20" i="830"/>
  <c r="L20" i="830"/>
  <c r="AT19" i="830"/>
  <c r="AU19" i="830"/>
  <c r="AU20" i="830"/>
  <c r="AT20" i="830"/>
  <c r="AD20" i="831"/>
  <c r="BN20" i="819"/>
  <c r="BO21" i="819"/>
  <c r="BO19" i="819"/>
  <c r="BN21" i="819"/>
  <c r="BN19" i="819"/>
  <c r="BO20" i="819"/>
  <c r="W7" i="459"/>
  <c r="W6" i="459"/>
  <c r="AA181" i="821"/>
  <c r="AA179" i="821"/>
  <c r="AA177" i="821"/>
  <c r="AA175" i="821"/>
  <c r="AA173" i="821"/>
  <c r="AA171" i="821"/>
  <c r="AA169" i="821"/>
  <c r="AA167" i="821"/>
  <c r="Z181" i="821"/>
  <c r="Z179" i="821"/>
  <c r="Z177" i="821"/>
  <c r="Z175" i="821"/>
  <c r="Z173" i="821"/>
  <c r="Z171" i="821"/>
  <c r="Z169" i="821"/>
  <c r="Z167" i="821"/>
  <c r="AA180" i="821"/>
  <c r="AA178" i="821"/>
  <c r="AA176" i="821"/>
  <c r="AA174" i="821"/>
  <c r="AA172" i="821"/>
  <c r="AA170" i="821"/>
  <c r="AA168" i="821"/>
  <c r="AA166" i="821"/>
  <c r="Z174" i="821"/>
  <c r="Z166" i="821"/>
  <c r="Z180" i="821"/>
  <c r="Z172" i="821"/>
  <c r="Z178" i="821"/>
  <c r="Z170" i="821"/>
  <c r="Z176" i="821"/>
  <c r="Z168" i="821"/>
  <c r="M6" i="822"/>
  <c r="L6" i="822"/>
  <c r="K6" i="822"/>
  <c r="J9" i="822"/>
  <c r="J8" i="822"/>
  <c r="J7" i="822"/>
  <c r="M13" i="822"/>
  <c r="L13" i="822"/>
  <c r="K13" i="822"/>
  <c r="J16" i="822"/>
  <c r="J15" i="822"/>
  <c r="J14" i="822"/>
  <c r="J23" i="822"/>
  <c r="J22" i="822"/>
  <c r="J21" i="822"/>
  <c r="T31" i="717"/>
  <c r="T27" i="717"/>
  <c r="T34" i="717"/>
  <c r="T30" i="717"/>
  <c r="T26" i="717"/>
  <c r="T33" i="717"/>
  <c r="T29" i="717"/>
  <c r="T25" i="717"/>
  <c r="T32" i="717"/>
  <c r="T28" i="717"/>
  <c r="T24" i="717"/>
  <c r="F19" i="828"/>
  <c r="G20" i="828"/>
  <c r="F20" i="828"/>
  <c r="G19" i="828"/>
  <c r="L19" i="829"/>
  <c r="L20" i="829"/>
  <c r="K20" i="829"/>
  <c r="K19" i="829"/>
  <c r="X14" i="830"/>
  <c r="X10" i="830"/>
  <c r="X6" i="830"/>
  <c r="X16" i="830"/>
  <c r="X11" i="830"/>
  <c r="X15" i="830"/>
  <c r="X9" i="830"/>
  <c r="X13" i="830"/>
  <c r="X8" i="830"/>
  <c r="X7" i="830"/>
  <c r="X17" i="830"/>
  <c r="X12" i="830"/>
  <c r="G21" i="831"/>
  <c r="G19" i="831"/>
  <c r="F21" i="831"/>
  <c r="G20" i="831"/>
  <c r="F20" i="831"/>
  <c r="F19" i="831"/>
  <c r="AN24" i="832"/>
  <c r="AN23" i="832"/>
  <c r="AN25" i="832"/>
  <c r="M19" i="777"/>
  <c r="M21" i="777"/>
  <c r="O12" i="473"/>
  <c r="O10" i="473"/>
  <c r="N12" i="473"/>
  <c r="N10" i="473"/>
  <c r="O13" i="473"/>
  <c r="O11" i="473"/>
  <c r="N13" i="473"/>
  <c r="N11" i="473"/>
  <c r="O28" i="473"/>
  <c r="O26" i="473"/>
  <c r="N28" i="473"/>
  <c r="N26" i="473"/>
  <c r="O29" i="473"/>
  <c r="O27" i="473"/>
  <c r="N29" i="473"/>
  <c r="N27" i="473"/>
  <c r="R25" i="817"/>
  <c r="S24" i="817"/>
  <c r="S23" i="817"/>
  <c r="S21" i="817"/>
  <c r="S19" i="817"/>
  <c r="R23" i="817"/>
  <c r="R21" i="817"/>
  <c r="R19" i="817"/>
  <c r="S25" i="817"/>
  <c r="S22" i="817"/>
  <c r="S20" i="817"/>
  <c r="R20" i="817"/>
  <c r="R24" i="817"/>
  <c r="R22" i="817"/>
  <c r="AL20" i="819"/>
  <c r="AM21" i="819"/>
  <c r="AM19" i="819"/>
  <c r="AL21" i="819"/>
  <c r="AL19" i="819"/>
  <c r="AM20" i="819"/>
  <c r="O20" i="828"/>
  <c r="N19" i="828"/>
  <c r="O14" i="828" s="1"/>
  <c r="N20" i="828"/>
  <c r="O19" i="828"/>
  <c r="AD21" i="831"/>
  <c r="AH21" i="832"/>
  <c r="AH19" i="832"/>
  <c r="AI20" i="832"/>
  <c r="AH20" i="832"/>
  <c r="AI19" i="832"/>
  <c r="AI21" i="832"/>
  <c r="T17" i="719"/>
  <c r="U18" i="719"/>
  <c r="T18" i="719"/>
  <c r="U17" i="719"/>
  <c r="K37" i="719"/>
  <c r="L38" i="719"/>
  <c r="K38" i="719"/>
  <c r="L37" i="719"/>
  <c r="G21" i="777"/>
  <c r="G19" i="777"/>
  <c r="H20" i="777"/>
  <c r="G20" i="777"/>
  <c r="H21" i="777"/>
  <c r="H19" i="777"/>
  <c r="AC9" i="817"/>
  <c r="AC7" i="817"/>
  <c r="AD10" i="817"/>
  <c r="AD8" i="817"/>
  <c r="AC10" i="817"/>
  <c r="AC8" i="817"/>
  <c r="AD7" i="817"/>
  <c r="AD9" i="817"/>
  <c r="J20" i="819"/>
  <c r="K21" i="819"/>
  <c r="K19" i="819"/>
  <c r="J21" i="819"/>
  <c r="J19" i="819"/>
  <c r="K20" i="819"/>
  <c r="L18" i="719"/>
  <c r="K18" i="719"/>
  <c r="L17" i="719"/>
  <c r="K17" i="719"/>
  <c r="M20" i="777"/>
  <c r="R12" i="820"/>
  <c r="R10" i="820"/>
  <c r="R8" i="820"/>
  <c r="R6" i="820"/>
  <c r="Q12" i="820"/>
  <c r="Q10" i="820"/>
  <c r="Q8" i="820"/>
  <c r="Q6" i="820"/>
  <c r="R13" i="820"/>
  <c r="R11" i="820"/>
  <c r="R9" i="820"/>
  <c r="R7" i="820"/>
  <c r="R5" i="820"/>
  <c r="Q7" i="820"/>
  <c r="Q13" i="820"/>
  <c r="Q5" i="820"/>
  <c r="Q11" i="820"/>
  <c r="Q9" i="820"/>
  <c r="O18" i="473"/>
  <c r="O16" i="473"/>
  <c r="N18" i="473"/>
  <c r="N16" i="473"/>
  <c r="O17" i="473"/>
  <c r="O15" i="473"/>
  <c r="N17" i="473"/>
  <c r="N15" i="473"/>
  <c r="CP20" i="819"/>
  <c r="CQ21" i="819"/>
  <c r="CQ19" i="819"/>
  <c r="CP21" i="819"/>
  <c r="CP19" i="819"/>
  <c r="CQ20" i="819"/>
  <c r="H8" i="827"/>
  <c r="G8" i="827"/>
  <c r="AF21" i="819"/>
  <c r="AF19" i="819"/>
  <c r="AE21" i="819"/>
  <c r="AE19" i="819"/>
  <c r="AF20" i="819"/>
  <c r="AE20" i="819"/>
  <c r="BH21" i="819"/>
  <c r="BH19" i="819"/>
  <c r="BG21" i="819"/>
  <c r="BG19" i="819"/>
  <c r="BH20" i="819"/>
  <c r="BG20" i="819"/>
  <c r="CJ21" i="819"/>
  <c r="CJ19" i="819"/>
  <c r="CI21" i="819"/>
  <c r="CI19" i="819"/>
  <c r="CJ20" i="819"/>
  <c r="CI20" i="819"/>
  <c r="Z18" i="818"/>
  <c r="Z19" i="818"/>
  <c r="AA17" i="818"/>
  <c r="Z17" i="818"/>
  <c r="AA19" i="818"/>
  <c r="AA18" i="818"/>
  <c r="AC24" i="818"/>
  <c r="AC22" i="818"/>
  <c r="AD23" i="818"/>
  <c r="AC23" i="818"/>
  <c r="AD24" i="818"/>
  <c r="AD22" i="818"/>
  <c r="K20" i="809"/>
  <c r="K16" i="809"/>
  <c r="K12" i="809"/>
  <c r="K8" i="809"/>
  <c r="K23" i="809"/>
  <c r="K19" i="809"/>
  <c r="K15" i="809"/>
  <c r="K11" i="809"/>
  <c r="K7" i="809"/>
  <c r="K22" i="809"/>
  <c r="K18" i="809"/>
  <c r="K14" i="809"/>
  <c r="K10" i="809"/>
  <c r="K6" i="809"/>
  <c r="K13" i="809"/>
  <c r="K9" i="809"/>
  <c r="K21" i="809"/>
  <c r="K17" i="809"/>
  <c r="E25" i="813"/>
  <c r="E24" i="813"/>
  <c r="J6" i="812"/>
  <c r="J5" i="812"/>
  <c r="J4" i="812"/>
  <c r="J7" i="812"/>
  <c r="H9" i="827"/>
  <c r="G9" i="827"/>
  <c r="AG21" i="817"/>
  <c r="AG19" i="817"/>
  <c r="AH20" i="817"/>
  <c r="AG20" i="817"/>
  <c r="AH21" i="817"/>
  <c r="AH19" i="817"/>
  <c r="X21" i="819"/>
  <c r="X19" i="819"/>
  <c r="Y20" i="819"/>
  <c r="X20" i="819"/>
  <c r="Y21" i="819"/>
  <c r="Y19" i="819"/>
  <c r="AZ21" i="819"/>
  <c r="AZ19" i="819"/>
  <c r="BA20" i="819"/>
  <c r="AZ20" i="819"/>
  <c r="BA21" i="819"/>
  <c r="BA19" i="819"/>
  <c r="CB21" i="819"/>
  <c r="CB19" i="819"/>
  <c r="CC20" i="819"/>
  <c r="CB20" i="819"/>
  <c r="CC21" i="819"/>
  <c r="CC19" i="819"/>
  <c r="AA6" i="809"/>
  <c r="AA5" i="809"/>
  <c r="AA4" i="809"/>
  <c r="AA7" i="809"/>
  <c r="N6" i="812"/>
  <c r="N5" i="812"/>
  <c r="N4" i="812"/>
  <c r="N7" i="812"/>
  <c r="H10" i="827"/>
  <c r="G10" i="827"/>
  <c r="R20" i="819"/>
  <c r="Q20" i="819"/>
  <c r="R21" i="819"/>
  <c r="R19" i="819"/>
  <c r="Q21" i="819"/>
  <c r="Q19" i="819"/>
  <c r="AT20" i="819"/>
  <c r="AS20" i="819"/>
  <c r="AT21" i="819"/>
  <c r="AT19" i="819"/>
  <c r="AS19" i="819"/>
  <c r="AS21" i="819"/>
  <c r="BV20" i="819"/>
  <c r="BU20" i="819"/>
  <c r="BV21" i="819"/>
  <c r="BV19" i="819"/>
  <c r="BU21" i="819"/>
  <c r="BU19" i="819"/>
  <c r="CX20" i="819"/>
  <c r="CW20" i="819"/>
  <c r="CX21" i="819"/>
  <c r="CX19" i="819"/>
  <c r="CW21" i="819"/>
  <c r="CW19" i="819"/>
  <c r="BO28" i="819"/>
  <c r="BN28" i="819"/>
  <c r="BO29" i="819"/>
  <c r="BO27" i="819"/>
  <c r="BN27" i="819"/>
  <c r="BN29" i="819"/>
  <c r="U19" i="818"/>
  <c r="T18" i="818"/>
  <c r="T19" i="818"/>
  <c r="V17" i="818"/>
  <c r="V18" i="818"/>
  <c r="U17" i="818"/>
  <c r="V19" i="818"/>
  <c r="U18" i="818"/>
  <c r="T17" i="818"/>
  <c r="AE6" i="809"/>
  <c r="AE5" i="809"/>
  <c r="AE4" i="809"/>
  <c r="AE7" i="809"/>
  <c r="X13" i="809"/>
  <c r="O4" i="813"/>
  <c r="O3" i="813"/>
  <c r="O6" i="813"/>
  <c r="O2" i="813"/>
  <c r="O5" i="813"/>
  <c r="V23" i="818"/>
  <c r="U22" i="818"/>
  <c r="U24" i="818"/>
  <c r="T23" i="818"/>
  <c r="V24" i="818"/>
  <c r="T22" i="818"/>
  <c r="T24" i="818"/>
  <c r="U23" i="818"/>
  <c r="V22" i="818"/>
  <c r="I23" i="810"/>
  <c r="I21" i="810"/>
  <c r="I19" i="810"/>
  <c r="H23" i="810"/>
  <c r="H21" i="810"/>
  <c r="H19" i="810"/>
  <c r="I22" i="810"/>
  <c r="I20" i="810"/>
  <c r="H20" i="810"/>
  <c r="H22" i="810"/>
  <c r="AB5" i="809"/>
  <c r="AB4" i="809"/>
  <c r="AB7" i="809"/>
  <c r="AB6" i="809"/>
  <c r="AF5" i="809"/>
  <c r="AF4" i="809"/>
  <c r="AF7" i="809"/>
  <c r="AF6" i="809"/>
  <c r="M19" i="813"/>
  <c r="M15" i="813"/>
  <c r="M11" i="813"/>
  <c r="M7" i="813"/>
  <c r="M3" i="813"/>
  <c r="M18" i="813"/>
  <c r="M14" i="813"/>
  <c r="M10" i="813"/>
  <c r="M6" i="813"/>
  <c r="M2" i="813"/>
  <c r="M17" i="813"/>
  <c r="M13" i="813"/>
  <c r="M9" i="813"/>
  <c r="M5" i="813"/>
  <c r="M4" i="813"/>
  <c r="M16" i="813"/>
  <c r="M12" i="813"/>
  <c r="M8" i="813"/>
  <c r="K5" i="812"/>
  <c r="K4" i="812"/>
  <c r="K7" i="812"/>
  <c r="K6" i="812"/>
  <c r="H7" i="827"/>
  <c r="G7" i="827"/>
  <c r="T9" i="810"/>
  <c r="P9" i="810"/>
  <c r="Q8" i="810"/>
  <c r="R7" i="810"/>
  <c r="S6" i="810"/>
  <c r="T5" i="810"/>
  <c r="P5" i="810"/>
  <c r="S9" i="810"/>
  <c r="T8" i="810"/>
  <c r="P8" i="810"/>
  <c r="Q7" i="810"/>
  <c r="R6" i="810"/>
  <c r="S5" i="810"/>
  <c r="R9" i="810"/>
  <c r="S8" i="810"/>
  <c r="T7" i="810"/>
  <c r="P7" i="810"/>
  <c r="Q6" i="810"/>
  <c r="R5" i="810"/>
  <c r="S7" i="810"/>
  <c r="T6" i="810"/>
  <c r="Q9" i="810"/>
  <c r="P6" i="810"/>
  <c r="R8" i="810"/>
  <c r="Q5" i="810"/>
  <c r="AC4" i="809"/>
  <c r="AC7" i="809"/>
  <c r="AC6" i="809"/>
  <c r="AC5" i="809"/>
  <c r="AG4" i="809"/>
  <c r="AG7" i="809"/>
  <c r="AG6" i="809"/>
  <c r="AG5" i="809"/>
  <c r="X11" i="809"/>
  <c r="O19" i="809"/>
  <c r="O17" i="809"/>
  <c r="P20" i="809"/>
  <c r="P18" i="809"/>
  <c r="O20" i="809"/>
  <c r="O18" i="809"/>
  <c r="P17" i="809"/>
  <c r="P19" i="809"/>
  <c r="H4" i="812"/>
  <c r="H7" i="812"/>
  <c r="H6" i="812"/>
  <c r="H5" i="812"/>
  <c r="L4" i="812"/>
  <c r="L7" i="812"/>
  <c r="L6" i="812"/>
  <c r="L5" i="812"/>
  <c r="W23" i="818"/>
  <c r="W24" i="818"/>
  <c r="W22" i="818"/>
  <c r="AA23" i="818"/>
  <c r="AA24" i="818"/>
  <c r="AA22" i="818"/>
  <c r="Z23" i="818"/>
  <c r="Z22" i="818"/>
  <c r="Z24" i="818"/>
  <c r="AD7" i="809"/>
  <c r="AD6" i="809"/>
  <c r="AD5" i="809"/>
  <c r="AD4" i="809"/>
  <c r="J23" i="809"/>
  <c r="J22" i="809"/>
  <c r="J21" i="809"/>
  <c r="J20" i="809"/>
  <c r="J19" i="809"/>
  <c r="J18" i="809"/>
  <c r="J17" i="809"/>
  <c r="J16" i="809"/>
  <c r="J15" i="809"/>
  <c r="J14" i="809"/>
  <c r="J13" i="809"/>
  <c r="J12" i="809"/>
  <c r="J11" i="809"/>
  <c r="J10" i="809"/>
  <c r="J9" i="809"/>
  <c r="J8" i="809"/>
  <c r="J7" i="809"/>
  <c r="J6" i="809"/>
  <c r="I23" i="809"/>
  <c r="I22" i="809"/>
  <c r="I21" i="809"/>
  <c r="I20" i="809"/>
  <c r="I19" i="809"/>
  <c r="I18" i="809"/>
  <c r="I17" i="809"/>
  <c r="I16" i="809"/>
  <c r="I15" i="809"/>
  <c r="I14" i="809"/>
  <c r="I13" i="809"/>
  <c r="I12" i="809"/>
  <c r="I11" i="809"/>
  <c r="I10" i="809"/>
  <c r="I9" i="809"/>
  <c r="I8" i="809"/>
  <c r="I7" i="809"/>
  <c r="I6" i="809"/>
  <c r="H23" i="809"/>
  <c r="H22" i="809"/>
  <c r="H21" i="809"/>
  <c r="H20" i="809"/>
  <c r="H19" i="809"/>
  <c r="H18" i="809"/>
  <c r="H17" i="809"/>
  <c r="H16" i="809"/>
  <c r="H15" i="809"/>
  <c r="H14" i="809"/>
  <c r="H13" i="809"/>
  <c r="H12" i="809"/>
  <c r="H11" i="809"/>
  <c r="H10" i="809"/>
  <c r="H9" i="809"/>
  <c r="H8" i="809"/>
  <c r="H7" i="809"/>
  <c r="H6" i="809"/>
  <c r="G22" i="809"/>
  <c r="G18" i="809"/>
  <c r="G14" i="809"/>
  <c r="G10" i="809"/>
  <c r="G6" i="809"/>
  <c r="G21" i="809"/>
  <c r="G17" i="809"/>
  <c r="G13" i="809"/>
  <c r="G9" i="809"/>
  <c r="G20" i="809"/>
  <c r="G16" i="809"/>
  <c r="G12" i="809"/>
  <c r="G8" i="809"/>
  <c r="G11" i="809"/>
  <c r="G23" i="809"/>
  <c r="G7" i="809"/>
  <c r="G19" i="809"/>
  <c r="G15" i="809"/>
  <c r="L21" i="809"/>
  <c r="L17" i="809"/>
  <c r="L13" i="809"/>
  <c r="L9" i="809"/>
  <c r="L20" i="809"/>
  <c r="L16" i="809"/>
  <c r="L12" i="809"/>
  <c r="L8" i="809"/>
  <c r="L23" i="809"/>
  <c r="L19" i="809"/>
  <c r="L15" i="809"/>
  <c r="L11" i="809"/>
  <c r="L7" i="809"/>
  <c r="L10" i="809"/>
  <c r="L22" i="809"/>
  <c r="L6" i="809"/>
  <c r="L18" i="809"/>
  <c r="L14" i="809"/>
  <c r="X19" i="809"/>
  <c r="X17" i="809"/>
  <c r="W19" i="809"/>
  <c r="W17" i="809"/>
  <c r="X20" i="809"/>
  <c r="X18" i="809"/>
  <c r="X16" i="809"/>
  <c r="W20" i="809"/>
  <c r="W18" i="809"/>
  <c r="W16" i="809"/>
  <c r="U20" i="809"/>
  <c r="U19" i="809"/>
  <c r="U18" i="809"/>
  <c r="U17" i="809"/>
  <c r="G25" i="813"/>
  <c r="G24" i="813"/>
  <c r="I7" i="812"/>
  <c r="I6" i="812"/>
  <c r="I5" i="812"/>
  <c r="I4" i="812"/>
  <c r="M7" i="812"/>
  <c r="M6" i="812"/>
  <c r="M5" i="812"/>
  <c r="M4" i="812"/>
  <c r="H11" i="827"/>
  <c r="G11" i="827"/>
  <c r="AT15" i="830"/>
  <c r="AO9" i="830"/>
  <c r="W14" i="830"/>
  <c r="Q4" i="831" a="1"/>
  <c r="K16" i="829"/>
  <c r="K15" i="829" s="1"/>
  <c r="F16" i="831"/>
  <c r="F15" i="831" s="1"/>
  <c r="AG20" i="832"/>
  <c r="AG21" i="832"/>
  <c r="V16" i="830"/>
  <c r="W16" i="830" s="1"/>
  <c r="V12" i="830"/>
  <c r="W12" i="830" s="1"/>
  <c r="V8" i="830"/>
  <c r="W8" i="830" s="1"/>
  <c r="V10" i="830"/>
  <c r="W10" i="830" s="1"/>
  <c r="V15" i="830"/>
  <c r="W15" i="830" s="1"/>
  <c r="Q4" i="832" a="1"/>
  <c r="AB4" i="832"/>
  <c r="AH14" i="832" s="1"/>
  <c r="AD9" i="832"/>
  <c r="E21" i="832"/>
  <c r="AD24" i="832"/>
  <c r="N16" i="828"/>
  <c r="N15" i="828" s="1"/>
  <c r="V6" i="830"/>
  <c r="W6" i="830" s="1"/>
  <c r="V11" i="830"/>
  <c r="W11" i="830" s="1"/>
  <c r="V17" i="830"/>
  <c r="W17" i="830" s="1"/>
  <c r="W20" i="831"/>
  <c r="AD8" i="832"/>
  <c r="AD18" i="832"/>
  <c r="AD21" i="832"/>
  <c r="V7" i="830"/>
  <c r="W7" i="830" s="1"/>
  <c r="V13" i="830"/>
  <c r="W13" i="830" s="1"/>
  <c r="F16" i="832"/>
  <c r="F15" i="832" s="1"/>
  <c r="Y12" i="760"/>
  <c r="G14" i="617"/>
  <c r="F14" i="607"/>
  <c r="L14" i="732"/>
  <c r="AA82" i="821"/>
  <c r="N12" i="650"/>
  <c r="V15" i="770"/>
  <c r="S12" i="727"/>
  <c r="I14" i="616"/>
  <c r="G14" i="832"/>
  <c r="AA235" i="821"/>
  <c r="AA12" i="821"/>
  <c r="AZ7" i="819" a="1"/>
  <c r="CB7" i="819" a="1"/>
  <c r="BG7" i="819" a="1"/>
  <c r="J7" i="819" a="1"/>
  <c r="Q7" i="819" a="1"/>
  <c r="AE7" i="819" a="1"/>
  <c r="I14" i="810"/>
  <c r="M12" i="760"/>
  <c r="W14" i="769"/>
  <c r="K16" i="431"/>
  <c r="I14" i="606"/>
  <c r="AA49" i="821"/>
  <c r="AA208" i="821"/>
  <c r="G32" i="717"/>
  <c r="I12" i="721"/>
  <c r="AA161" i="821"/>
  <c r="L14" i="829"/>
  <c r="S14" i="817"/>
  <c r="CI7" i="819" a="1"/>
  <c r="AL7" i="819" a="1"/>
  <c r="AS7" i="819" a="1"/>
  <c r="K46" i="431"/>
  <c r="AA126" i="821"/>
  <c r="G14" i="831"/>
  <c r="H14" i="777"/>
  <c r="AA12" i="818"/>
  <c r="AH14" i="817"/>
  <c r="CW7" i="819" a="1"/>
  <c r="M12" i="787"/>
  <c r="G14" i="427"/>
  <c r="F9" i="762"/>
  <c r="N36" i="650"/>
  <c r="AA105" i="821"/>
  <c r="G14" i="828"/>
  <c r="U12" i="719"/>
  <c r="X7" i="819" a="1"/>
  <c r="BN7" i="819" a="1"/>
  <c r="BU7" i="819" a="1"/>
  <c r="K14" i="780"/>
  <c r="CP7" i="819" a="1"/>
  <c r="AH10" i="832" l="1"/>
  <c r="CP8" i="819"/>
  <c r="CQ9" i="819"/>
  <c r="CQ7" i="819"/>
  <c r="CP9" i="819"/>
  <c r="CP7" i="819"/>
  <c r="CQ8" i="819"/>
  <c r="BV8" i="819"/>
  <c r="BU8" i="819"/>
  <c r="BV9" i="819"/>
  <c r="BV7" i="819"/>
  <c r="BU9" i="819"/>
  <c r="BU7" i="819"/>
  <c r="BN8" i="819"/>
  <c r="BO9" i="819"/>
  <c r="BO7" i="819"/>
  <c r="BN9" i="819"/>
  <c r="BN7" i="819"/>
  <c r="BO8" i="819"/>
  <c r="X9" i="819"/>
  <c r="X7" i="819"/>
  <c r="Y8" i="819"/>
  <c r="X8" i="819"/>
  <c r="Y9" i="819"/>
  <c r="Y7" i="819"/>
  <c r="CX8" i="819"/>
  <c r="CW8" i="819"/>
  <c r="CX9" i="819"/>
  <c r="CX7" i="819"/>
  <c r="CW9" i="819"/>
  <c r="CW7" i="819"/>
  <c r="AT8" i="819"/>
  <c r="AS8" i="819"/>
  <c r="AT9" i="819"/>
  <c r="AT7" i="819"/>
  <c r="AS7" i="819"/>
  <c r="AS9" i="819"/>
  <c r="AL8" i="819"/>
  <c r="AM9" i="819"/>
  <c r="AM7" i="819"/>
  <c r="AL9" i="819"/>
  <c r="AL7" i="819"/>
  <c r="AM8" i="819"/>
  <c r="CJ9" i="819"/>
  <c r="CJ7" i="819"/>
  <c r="CI9" i="819"/>
  <c r="CI7" i="819"/>
  <c r="CJ8" i="819"/>
  <c r="CI8" i="819"/>
  <c r="AF9" i="819"/>
  <c r="AF7" i="819"/>
  <c r="AE9" i="819"/>
  <c r="AE7" i="819"/>
  <c r="AF8" i="819"/>
  <c r="AE8" i="819"/>
  <c r="R8" i="819"/>
  <c r="Q8" i="819"/>
  <c r="R9" i="819"/>
  <c r="R7" i="819"/>
  <c r="Q9" i="819"/>
  <c r="Q7" i="819"/>
  <c r="J8" i="819"/>
  <c r="K9" i="819"/>
  <c r="K7" i="819"/>
  <c r="J9" i="819"/>
  <c r="J7" i="819"/>
  <c r="K8" i="819"/>
  <c r="BH9" i="819"/>
  <c r="BH7" i="819"/>
  <c r="BG9" i="819"/>
  <c r="BG7" i="819"/>
  <c r="BH8" i="819"/>
  <c r="BG8" i="819"/>
  <c r="CB9" i="819"/>
  <c r="CB7" i="819"/>
  <c r="CC8" i="819"/>
  <c r="CB8" i="819"/>
  <c r="CC9" i="819"/>
  <c r="CC7" i="819"/>
  <c r="AZ9" i="819"/>
  <c r="AZ7" i="819"/>
  <c r="BA8" i="819"/>
  <c r="AZ8" i="819"/>
  <c r="BA9" i="819"/>
  <c r="BA7" i="819"/>
  <c r="AO16" i="830"/>
  <c r="AH16" i="832"/>
  <c r="AH15" i="832" s="1"/>
  <c r="Q23" i="832"/>
  <c r="R23" i="832" s="1"/>
  <c r="Q19" i="832"/>
  <c r="R19" i="832" s="1"/>
  <c r="Q15" i="832"/>
  <c r="R15" i="832" s="1"/>
  <c r="Q11" i="832"/>
  <c r="R11" i="832" s="1"/>
  <c r="Q7" i="832"/>
  <c r="R7" i="832" s="1"/>
  <c r="Q24" i="832"/>
  <c r="R24" i="832" s="1"/>
  <c r="Q18" i="832"/>
  <c r="R18" i="832" s="1"/>
  <c r="Q13" i="832"/>
  <c r="R13" i="832" s="1"/>
  <c r="Q8" i="832"/>
  <c r="R8" i="832" s="1"/>
  <c r="Q22" i="832"/>
  <c r="R22" i="832" s="1"/>
  <c r="Q17" i="832"/>
  <c r="R17" i="832" s="1"/>
  <c r="Q12" i="832"/>
  <c r="R12" i="832" s="1"/>
  <c r="Q6" i="832"/>
  <c r="R6" i="832" s="1"/>
  <c r="Q21" i="832"/>
  <c r="R21" i="832" s="1"/>
  <c r="Q10" i="832"/>
  <c r="R10" i="832" s="1"/>
  <c r="Q20" i="832"/>
  <c r="R20" i="832" s="1"/>
  <c r="Q9" i="832"/>
  <c r="R9" i="832" s="1"/>
  <c r="Q16" i="832"/>
  <c r="R16" i="832" s="1"/>
  <c r="Q5" i="832"/>
  <c r="R5" i="832" s="1"/>
  <c r="Q14" i="832"/>
  <c r="R14" i="832" s="1"/>
  <c r="Q4" i="832"/>
  <c r="R4" i="832" s="1"/>
  <c r="AO11" i="830"/>
  <c r="M19" i="829"/>
  <c r="N19" i="829" s="1"/>
  <c r="P19" i="829"/>
  <c r="O19" i="829"/>
  <c r="AO12" i="830"/>
  <c r="AO17" i="830"/>
  <c r="H19" i="831"/>
  <c r="I19" i="831" s="1"/>
  <c r="J19" i="831"/>
  <c r="K19" i="831"/>
  <c r="S19" i="828"/>
  <c r="P19" i="828"/>
  <c r="Q19" i="828" s="1"/>
  <c r="R19" i="828"/>
  <c r="V7" i="828"/>
  <c r="V6" i="828"/>
  <c r="H19" i="828"/>
  <c r="I19" i="828" s="1"/>
  <c r="K19" i="828"/>
  <c r="J19" i="828"/>
  <c r="AO7" i="830"/>
  <c r="AO6" i="830"/>
  <c r="AD19" i="830"/>
  <c r="AD21" i="830" s="1"/>
  <c r="Y6" i="830" s="1"/>
  <c r="AO10" i="830"/>
  <c r="AO15" i="830"/>
  <c r="AO8" i="830"/>
  <c r="K20" i="831"/>
  <c r="J20" i="831"/>
  <c r="H20" i="831"/>
  <c r="I20" i="831" s="1"/>
  <c r="O20" i="829"/>
  <c r="P20" i="829"/>
  <c r="M20" i="829"/>
  <c r="N20" i="829" s="1"/>
  <c r="H21" i="832"/>
  <c r="I21" i="832" s="1"/>
  <c r="K21" i="832"/>
  <c r="J21" i="832"/>
  <c r="P19" i="830"/>
  <c r="Q19" i="830"/>
  <c r="N19" i="830"/>
  <c r="O19" i="830" s="1"/>
  <c r="Q18" i="831"/>
  <c r="R18" i="831" s="1"/>
  <c r="S18" i="831" s="1"/>
  <c r="Q14" i="831"/>
  <c r="R14" i="831" s="1"/>
  <c r="S14" i="831" s="1"/>
  <c r="Q10" i="831"/>
  <c r="R10" i="831" s="1"/>
  <c r="S10" i="831" s="1"/>
  <c r="Q6" i="831"/>
  <c r="R6" i="831" s="1"/>
  <c r="S6" i="831" s="1"/>
  <c r="Q17" i="831"/>
  <c r="R17" i="831" s="1"/>
  <c r="S17" i="831" s="1"/>
  <c r="Q13" i="831"/>
  <c r="R13" i="831" s="1"/>
  <c r="S13" i="831" s="1"/>
  <c r="Q9" i="831"/>
  <c r="R9" i="831" s="1"/>
  <c r="S9" i="831" s="1"/>
  <c r="Q5" i="831"/>
  <c r="R5" i="831" s="1"/>
  <c r="S5" i="831" s="1"/>
  <c r="Q11" i="831"/>
  <c r="R11" i="831" s="1"/>
  <c r="S11" i="831" s="1"/>
  <c r="Q7" i="831"/>
  <c r="R7" i="831" s="1"/>
  <c r="S7" i="831" s="1"/>
  <c r="Q16" i="831"/>
  <c r="R16" i="831" s="1"/>
  <c r="S16" i="831" s="1"/>
  <c r="Q8" i="831"/>
  <c r="R8" i="831" s="1"/>
  <c r="S8" i="831" s="1"/>
  <c r="Q15" i="831"/>
  <c r="R15" i="831" s="1"/>
  <c r="S15" i="831" s="1"/>
  <c r="Q12" i="831"/>
  <c r="R12" i="831" s="1"/>
  <c r="S12" i="831" s="1"/>
  <c r="Q4" i="831"/>
  <c r="H21" i="831"/>
  <c r="I21" i="831" s="1"/>
  <c r="K21" i="831"/>
  <c r="J21" i="831"/>
  <c r="AO13" i="830"/>
  <c r="AO14" i="830"/>
  <c r="S20" i="828"/>
  <c r="R20" i="828"/>
  <c r="P20" i="828"/>
  <c r="Q20" i="828" s="1"/>
  <c r="H19" i="832"/>
  <c r="I19" i="832" s="1"/>
  <c r="J19" i="832"/>
  <c r="K19" i="832"/>
  <c r="J20" i="832"/>
  <c r="H20" i="832"/>
  <c r="I20" i="832" s="1"/>
  <c r="K20" i="832"/>
  <c r="P20" i="830"/>
  <c r="N20" i="830"/>
  <c r="O20" i="830" s="1"/>
  <c r="Q20" i="830"/>
  <c r="J20" i="828"/>
  <c r="K20" i="828"/>
  <c r="H20" i="828"/>
  <c r="I20" i="828" s="1"/>
  <c r="Y13" i="830" l="1"/>
  <c r="Y8" i="830"/>
  <c r="Y12" i="830"/>
  <c r="AC16" i="830"/>
  <c r="Y15" i="830"/>
  <c r="Y10" i="830"/>
  <c r="N7" i="828"/>
  <c r="P14" i="828"/>
  <c r="O15" i="828"/>
  <c r="H14" i="832"/>
  <c r="F7" i="832"/>
  <c r="G15" i="832"/>
  <c r="L7" i="830"/>
  <c r="N14" i="830"/>
  <c r="M15" i="830"/>
  <c r="H14" i="831"/>
  <c r="F7" i="831"/>
  <c r="G15" i="831"/>
  <c r="K7" i="829"/>
  <c r="M14" i="829"/>
  <c r="L15" i="829"/>
  <c r="F7" i="828"/>
  <c r="H14" i="828"/>
  <c r="G15" i="828"/>
  <c r="U22" i="832"/>
  <c r="W22" i="832"/>
  <c r="X22" i="832" s="1"/>
  <c r="AE4" i="832" s="1"/>
  <c r="R4" i="831"/>
  <c r="S4" i="831" s="1"/>
  <c r="T4" i="831" s="1" a="1"/>
  <c r="Z15" i="830"/>
  <c r="AA15" i="830" s="1"/>
  <c r="Z9" i="830"/>
  <c r="AA9" i="830" s="1"/>
  <c r="Z8" i="830"/>
  <c r="AA8" i="830" s="1"/>
  <c r="Z11" i="830"/>
  <c r="AA11" i="830" s="1"/>
  <c r="Z17" i="830"/>
  <c r="AA17" i="830" s="1"/>
  <c r="Z12" i="830"/>
  <c r="AA12" i="830" s="1"/>
  <c r="Z16" i="830"/>
  <c r="AA16" i="830" s="1"/>
  <c r="Z14" i="830"/>
  <c r="AA14" i="830" s="1"/>
  <c r="Z7" i="830"/>
  <c r="AA7" i="830" s="1"/>
  <c r="Z6" i="830"/>
  <c r="AA6" i="830" s="1"/>
  <c r="Z10" i="830"/>
  <c r="AA10" i="830" s="1"/>
  <c r="Z13" i="830"/>
  <c r="AA13" i="830" s="1"/>
  <c r="Y9" i="830"/>
  <c r="AC9" i="830"/>
  <c r="AC6" i="830"/>
  <c r="U21" i="832"/>
  <c r="V21" i="832"/>
  <c r="W21" i="832"/>
  <c r="X21" i="832" s="1"/>
  <c r="AE14" i="832" s="1"/>
  <c r="AE15" i="832" s="1"/>
  <c r="AE16" i="832" s="1"/>
  <c r="AE17" i="832" s="1"/>
  <c r="AE18" i="832" s="1"/>
  <c r="AE19" i="832" s="1"/>
  <c r="AE20" i="832" s="1"/>
  <c r="AE21" i="832" s="1"/>
  <c r="AE22" i="832" s="1"/>
  <c r="AE23" i="832" s="1"/>
  <c r="AE24" i="832" s="1"/>
  <c r="Y16" i="830"/>
  <c r="AC14" i="830"/>
  <c r="AC7" i="830"/>
  <c r="Y17" i="830"/>
  <c r="AC12" i="830"/>
  <c r="Y11" i="830"/>
  <c r="V22" i="832"/>
  <c r="Y14" i="830"/>
  <c r="AC13" i="830"/>
  <c r="AC8" i="830"/>
  <c r="AC15" i="830"/>
  <c r="AC10" i="830"/>
  <c r="AP6" i="830" a="1"/>
  <c r="Y7" i="830"/>
  <c r="AC17" i="830"/>
  <c r="AC11" i="830"/>
  <c r="T16" i="831" l="1"/>
  <c r="U16" i="831" s="1"/>
  <c r="T12" i="831"/>
  <c r="U12" i="831" s="1"/>
  <c r="T8" i="831"/>
  <c r="U8" i="831" s="1"/>
  <c r="T4" i="831"/>
  <c r="U4" i="831" s="1"/>
  <c r="T15" i="831"/>
  <c r="U15" i="831" s="1"/>
  <c r="T11" i="831"/>
  <c r="U11" i="831" s="1"/>
  <c r="T7" i="831"/>
  <c r="U7" i="831" s="1"/>
  <c r="T17" i="831"/>
  <c r="U17" i="831" s="1"/>
  <c r="T9" i="831"/>
  <c r="U9" i="831" s="1"/>
  <c r="T13" i="831"/>
  <c r="U13" i="831" s="1"/>
  <c r="T14" i="831"/>
  <c r="U14" i="831" s="1"/>
  <c r="T6" i="831"/>
  <c r="U6" i="831" s="1"/>
  <c r="T5" i="831"/>
  <c r="U5" i="831" s="1"/>
  <c r="T18" i="831"/>
  <c r="U18" i="831" s="1"/>
  <c r="T10" i="831"/>
  <c r="U10" i="831" s="1"/>
  <c r="AD6" i="830"/>
  <c r="AB6" i="830"/>
  <c r="AB12" i="830"/>
  <c r="AD12" i="830"/>
  <c r="AD9" i="830"/>
  <c r="AB9" i="830"/>
  <c r="AE5" i="832"/>
  <c r="AE6" i="832" s="1"/>
  <c r="AE7" i="832" s="1"/>
  <c r="AE8" i="832" s="1"/>
  <c r="AE9" i="832" s="1"/>
  <c r="AE10" i="832" s="1"/>
  <c r="AE11" i="832" s="1"/>
  <c r="AE12" i="832" s="1"/>
  <c r="AE13" i="832" s="1"/>
  <c r="AI16" i="832"/>
  <c r="F8" i="828"/>
  <c r="F6" i="828"/>
  <c r="H15" i="831"/>
  <c r="F9" i="831" s="1"/>
  <c r="I8" i="831"/>
  <c r="I6" i="831"/>
  <c r="I7" i="831" s="1"/>
  <c r="AB7" i="830"/>
  <c r="AD7" i="830"/>
  <c r="AB17" i="830"/>
  <c r="AD17" i="830"/>
  <c r="AD15" i="830"/>
  <c r="AB15" i="830"/>
  <c r="M15" i="829"/>
  <c r="K9" i="829" s="1"/>
  <c r="N8" i="829"/>
  <c r="N6" i="829"/>
  <c r="N7" i="829" s="1"/>
  <c r="F8" i="831"/>
  <c r="F6" i="831"/>
  <c r="L8" i="830"/>
  <c r="L6" i="830"/>
  <c r="P15" i="828"/>
  <c r="N9" i="828" s="1"/>
  <c r="Q8" i="828"/>
  <c r="Q6" i="828"/>
  <c r="Q7" i="828" s="1"/>
  <c r="AD13" i="830"/>
  <c r="AB13" i="830"/>
  <c r="AB14" i="830"/>
  <c r="AD14" i="830"/>
  <c r="AD11" i="830"/>
  <c r="AB11" i="830"/>
  <c r="H15" i="828"/>
  <c r="F9" i="828" s="1"/>
  <c r="I8" i="828"/>
  <c r="I6" i="828"/>
  <c r="I7" i="828" s="1"/>
  <c r="H15" i="832"/>
  <c r="F9" i="832" s="1"/>
  <c r="I8" i="832"/>
  <c r="I6" i="832"/>
  <c r="I7" i="832" s="1"/>
  <c r="Q14" i="828"/>
  <c r="R14" i="828" s="1"/>
  <c r="S14" i="828" s="1"/>
  <c r="AP17" i="830"/>
  <c r="AQ17" i="830" s="1"/>
  <c r="AP13" i="830"/>
  <c r="AQ13" i="830" s="1"/>
  <c r="AP9" i="830"/>
  <c r="AQ9" i="830" s="1"/>
  <c r="AP15" i="830"/>
  <c r="AQ15" i="830" s="1"/>
  <c r="AP10" i="830"/>
  <c r="AQ10" i="830" s="1"/>
  <c r="AP14" i="830"/>
  <c r="AQ14" i="830" s="1"/>
  <c r="AP8" i="830"/>
  <c r="AQ8" i="830" s="1"/>
  <c r="AP12" i="830"/>
  <c r="AQ12" i="830" s="1"/>
  <c r="AP7" i="830"/>
  <c r="AQ7" i="830" s="1"/>
  <c r="AP6" i="830"/>
  <c r="AQ6" i="830" s="1"/>
  <c r="AU14" i="830" s="1"/>
  <c r="AP16" i="830"/>
  <c r="AQ16" i="830" s="1"/>
  <c r="AP11" i="830"/>
  <c r="AQ11" i="830" s="1"/>
  <c r="AB10" i="830"/>
  <c r="AD10" i="830"/>
  <c r="AB16" i="830"/>
  <c r="AD16" i="830"/>
  <c r="AD8" i="830"/>
  <c r="AB8" i="830"/>
  <c r="K8" i="829"/>
  <c r="K6" i="829"/>
  <c r="N15" i="830"/>
  <c r="L9" i="830" s="1"/>
  <c r="O6" i="830"/>
  <c r="O7" i="830" s="1"/>
  <c r="O8" i="830"/>
  <c r="F6" i="832"/>
  <c r="F8" i="832"/>
  <c r="N6" i="828"/>
  <c r="N8" i="828"/>
  <c r="N14" i="829" l="1"/>
  <c r="O14" i="829" s="1"/>
  <c r="P14" i="829" s="1"/>
  <c r="I14" i="828"/>
  <c r="J14" i="828" s="1"/>
  <c r="K14" i="828" s="1"/>
  <c r="Y14" i="831"/>
  <c r="AI14" i="832"/>
  <c r="Y16" i="831"/>
  <c r="I14" i="832"/>
  <c r="J14" i="832" s="1"/>
  <c r="K14" i="832" s="1"/>
  <c r="I14" i="831"/>
  <c r="J14" i="831" s="1"/>
  <c r="K14" i="831" s="1"/>
  <c r="O14" i="830"/>
  <c r="P14" i="830" s="1"/>
  <c r="Q14" i="830" s="1"/>
  <c r="AU16" i="830"/>
  <c r="X7" i="831" l="1"/>
  <c r="Z14" i="831"/>
  <c r="AV14" i="830"/>
  <c r="AT7" i="830"/>
  <c r="AU15" i="830"/>
  <c r="AC20" i="831"/>
  <c r="Z20" i="831"/>
  <c r="AA20" i="831" s="1"/>
  <c r="AB20" i="831"/>
  <c r="AY20" i="830"/>
  <c r="AX20" i="830"/>
  <c r="AV20" i="830"/>
  <c r="AW20" i="830" s="1"/>
  <c r="Y15" i="831"/>
  <c r="AM19" i="832"/>
  <c r="AL19" i="832"/>
  <c r="AJ19" i="832"/>
  <c r="AK19" i="832" s="1"/>
  <c r="AJ21" i="832"/>
  <c r="AK21" i="832" s="1"/>
  <c r="AM21" i="832"/>
  <c r="AL21" i="832"/>
  <c r="AB19" i="831"/>
  <c r="Z19" i="831"/>
  <c r="AA19" i="831" s="1"/>
  <c r="AC19" i="831"/>
  <c r="Z21" i="831"/>
  <c r="AA21" i="831" s="1"/>
  <c r="AB21" i="831"/>
  <c r="AC21" i="831"/>
  <c r="AL20" i="832"/>
  <c r="AJ20" i="832"/>
  <c r="AK20" i="832" s="1"/>
  <c r="AM20" i="832"/>
  <c r="AV19" i="830"/>
  <c r="AW19" i="830" s="1"/>
  <c r="AY19" i="830"/>
  <c r="AX19" i="830"/>
  <c r="AH7" i="832" l="1"/>
  <c r="AJ14" i="832"/>
  <c r="AI15" i="832"/>
  <c r="AA8" i="831"/>
  <c r="Z15" i="831"/>
  <c r="X9" i="831" s="1"/>
  <c r="AA6" i="831"/>
  <c r="AA7" i="831" s="1"/>
  <c r="AT8" i="830"/>
  <c r="AT6" i="830"/>
  <c r="AV15" i="830"/>
  <c r="AT9" i="830" s="1"/>
  <c r="AW6" i="830"/>
  <c r="AW7" i="830" s="1"/>
  <c r="AW8" i="830"/>
  <c r="X8" i="831"/>
  <c r="X6" i="831"/>
  <c r="AW14" i="830" l="1"/>
  <c r="AX14" i="830" s="1"/>
  <c r="AY14" i="830" s="1"/>
  <c r="AJ15" i="832"/>
  <c r="AH9" i="832" s="1"/>
  <c r="AK6" i="832"/>
  <c r="AK7" i="832" s="1"/>
  <c r="AK8" i="832"/>
  <c r="AA14" i="831"/>
  <c r="AB14" i="831" s="1"/>
  <c r="AC14" i="831" s="1"/>
  <c r="AH6" i="832"/>
  <c r="AH8" i="832"/>
  <c r="AK14" i="832" l="1"/>
  <c r="AL14" i="832" s="1"/>
  <c r="AM14" i="832" s="1"/>
  <c r="K9" i="827"/>
  <c r="K8" i="827"/>
  <c r="K7" i="827"/>
  <c r="J5" i="827"/>
  <c r="I10" i="827" l="1"/>
  <c r="J10" i="827" s="1"/>
  <c r="I9" i="827"/>
  <c r="J9" i="827" s="1"/>
  <c r="I11" i="827"/>
  <c r="J11" i="827" s="1"/>
  <c r="I8" i="827"/>
  <c r="G16" i="827"/>
  <c r="N24" i="823"/>
  <c r="S14" i="823"/>
  <c r="Y241" i="821" a="1"/>
  <c r="Y241" i="821" s="1"/>
  <c r="O240" i="821"/>
  <c r="N240" i="821"/>
  <c r="M240" i="821"/>
  <c r="L240" i="821"/>
  <c r="O239" i="821"/>
  <c r="N239" i="821"/>
  <c r="M239" i="821"/>
  <c r="L239" i="821"/>
  <c r="O238" i="821"/>
  <c r="N238" i="821"/>
  <c r="M238" i="821"/>
  <c r="L238" i="821"/>
  <c r="AA237" i="821"/>
  <c r="O237" i="821"/>
  <c r="N237" i="821"/>
  <c r="M237" i="821"/>
  <c r="L237" i="821"/>
  <c r="O236" i="821"/>
  <c r="N236" i="821"/>
  <c r="M236" i="821"/>
  <c r="L236" i="821"/>
  <c r="Z235" i="821"/>
  <c r="O235" i="821"/>
  <c r="N235" i="821"/>
  <c r="M235" i="821"/>
  <c r="L235" i="821"/>
  <c r="O234" i="821"/>
  <c r="N234" i="821"/>
  <c r="M234" i="821"/>
  <c r="L234" i="821"/>
  <c r="O233" i="821"/>
  <c r="N233" i="821"/>
  <c r="M233" i="821"/>
  <c r="L233" i="821"/>
  <c r="O232" i="821"/>
  <c r="N232" i="821"/>
  <c r="M232" i="821"/>
  <c r="L232" i="821"/>
  <c r="Z231" i="821"/>
  <c r="Z237" i="821" s="1"/>
  <c r="O231" i="821"/>
  <c r="N231" i="821"/>
  <c r="M231" i="821"/>
  <c r="L231" i="821"/>
  <c r="O230" i="821"/>
  <c r="N230" i="821"/>
  <c r="M230" i="821"/>
  <c r="L230" i="821"/>
  <c r="O229" i="821"/>
  <c r="N229" i="821"/>
  <c r="M229" i="821"/>
  <c r="L229" i="821"/>
  <c r="O228" i="821"/>
  <c r="N228" i="821"/>
  <c r="M228" i="821"/>
  <c r="L228" i="821"/>
  <c r="O227" i="821"/>
  <c r="N227" i="821"/>
  <c r="M227" i="821"/>
  <c r="L227" i="821"/>
  <c r="O226" i="821"/>
  <c r="N226" i="821"/>
  <c r="M226" i="821"/>
  <c r="L226" i="821"/>
  <c r="O225" i="821"/>
  <c r="N225" i="821"/>
  <c r="M225" i="821"/>
  <c r="L225" i="821"/>
  <c r="O224" i="821"/>
  <c r="N224" i="821"/>
  <c r="M224" i="821"/>
  <c r="L224" i="821"/>
  <c r="O223" i="821"/>
  <c r="N223" i="821"/>
  <c r="M223" i="821"/>
  <c r="L223" i="821"/>
  <c r="O222" i="821"/>
  <c r="N222" i="821"/>
  <c r="M222" i="821"/>
  <c r="L222" i="821"/>
  <c r="O221" i="821"/>
  <c r="N221" i="821"/>
  <c r="M221" i="821"/>
  <c r="L221" i="821"/>
  <c r="O220" i="821"/>
  <c r="N220" i="821"/>
  <c r="M220" i="821"/>
  <c r="L220" i="821"/>
  <c r="O219" i="821"/>
  <c r="N219" i="821"/>
  <c r="M219" i="821"/>
  <c r="L219" i="821"/>
  <c r="O218" i="821"/>
  <c r="N218" i="821"/>
  <c r="M218" i="821"/>
  <c r="L218" i="821"/>
  <c r="O217" i="821"/>
  <c r="N217" i="821"/>
  <c r="M217" i="821"/>
  <c r="L217" i="821"/>
  <c r="O216" i="821"/>
  <c r="N216" i="821"/>
  <c r="M216" i="821"/>
  <c r="L216" i="821"/>
  <c r="O215" i="821"/>
  <c r="N215" i="821"/>
  <c r="M215" i="821"/>
  <c r="L215" i="821"/>
  <c r="Y214" i="821" a="1"/>
  <c r="Y221" i="821" s="1"/>
  <c r="O214" i="821"/>
  <c r="N214" i="821"/>
  <c r="M214" i="821"/>
  <c r="L214" i="821"/>
  <c r="O213" i="821"/>
  <c r="N213" i="821"/>
  <c r="M213" i="821"/>
  <c r="L213" i="821"/>
  <c r="O212" i="821"/>
  <c r="N212" i="821"/>
  <c r="M212" i="821"/>
  <c r="L212" i="821"/>
  <c r="O211" i="821"/>
  <c r="N211" i="821"/>
  <c r="M211" i="821"/>
  <c r="L211" i="821"/>
  <c r="AA210" i="821"/>
  <c r="O210" i="821"/>
  <c r="N210" i="821"/>
  <c r="M210" i="821"/>
  <c r="L210" i="821"/>
  <c r="O209" i="821"/>
  <c r="N209" i="821"/>
  <c r="M209" i="821"/>
  <c r="L209" i="821"/>
  <c r="O208" i="821"/>
  <c r="N208" i="821"/>
  <c r="M208" i="821"/>
  <c r="L208" i="821"/>
  <c r="O207" i="821"/>
  <c r="N207" i="821"/>
  <c r="M207" i="821"/>
  <c r="L207" i="821"/>
  <c r="O206" i="821"/>
  <c r="N206" i="821"/>
  <c r="M206" i="821"/>
  <c r="L206" i="821"/>
  <c r="O205" i="821"/>
  <c r="N205" i="821"/>
  <c r="M205" i="821"/>
  <c r="L205" i="821"/>
  <c r="Z204" i="821"/>
  <c r="Z210" i="821" s="1"/>
  <c r="O204" i="821"/>
  <c r="N204" i="821"/>
  <c r="M204" i="821"/>
  <c r="L204" i="821"/>
  <c r="O203" i="821"/>
  <c r="N203" i="821"/>
  <c r="M203" i="821"/>
  <c r="L203" i="821"/>
  <c r="O202" i="821"/>
  <c r="N202" i="821"/>
  <c r="M202" i="821"/>
  <c r="L202" i="821"/>
  <c r="O201" i="821"/>
  <c r="N201" i="821"/>
  <c r="M201" i="821"/>
  <c r="L201" i="821"/>
  <c r="O200" i="821"/>
  <c r="N200" i="821"/>
  <c r="M200" i="821"/>
  <c r="L200" i="821"/>
  <c r="O199" i="821"/>
  <c r="N199" i="821"/>
  <c r="M199" i="821"/>
  <c r="L199" i="821"/>
  <c r="Y175" i="821"/>
  <c r="Y171" i="821"/>
  <c r="Y167" i="821" a="1"/>
  <c r="Y178" i="821" s="1"/>
  <c r="AA163" i="821"/>
  <c r="Z163" i="821"/>
  <c r="Z162" i="821" s="1"/>
  <c r="Z161" i="821"/>
  <c r="Z157" i="821"/>
  <c r="Y139" i="821"/>
  <c r="Y132" i="821" a="1"/>
  <c r="Y143" i="821" s="1"/>
  <c r="AA128" i="821"/>
  <c r="Z126" i="821"/>
  <c r="Z122" i="821"/>
  <c r="Z128" i="821" s="1"/>
  <c r="Z127" i="821" s="1"/>
  <c r="Y111" i="821"/>
  <c r="Y111" i="821" a="1"/>
  <c r="Y112" i="821" s="1"/>
  <c r="AA107" i="821"/>
  <c r="Z105" i="821"/>
  <c r="AJ6" i="821" s="1"/>
  <c r="Z101" i="821"/>
  <c r="Y88" i="821" a="1"/>
  <c r="AA84" i="821"/>
  <c r="Z84" i="821"/>
  <c r="Z83" i="821" s="1"/>
  <c r="Z82" i="821"/>
  <c r="Z78" i="821"/>
  <c r="Y55" i="821" a="1"/>
  <c r="Y66" i="821" s="1"/>
  <c r="AA51" i="821"/>
  <c r="Z49" i="821"/>
  <c r="Z45" i="821"/>
  <c r="Z51" i="821" s="1"/>
  <c r="Z50" i="821" s="1"/>
  <c r="AJ8" i="821" s="1"/>
  <c r="Y18" i="821" a="1"/>
  <c r="Y21" i="821" s="1"/>
  <c r="AA14" i="821"/>
  <c r="AI12" i="821" s="1"/>
  <c r="Z12" i="821"/>
  <c r="AJ9" i="821"/>
  <c r="Z8" i="821"/>
  <c r="Y59" i="821" l="1"/>
  <c r="Y167" i="821"/>
  <c r="Z208" i="821"/>
  <c r="Z209" i="821" s="1"/>
  <c r="Y242" i="821"/>
  <c r="Y63" i="821"/>
  <c r="Y67" i="821"/>
  <c r="Y55" i="821"/>
  <c r="Y179" i="821"/>
  <c r="Y217" i="821"/>
  <c r="I15" i="827"/>
  <c r="H15" i="827" s="1"/>
  <c r="J8" i="827"/>
  <c r="I7" i="827"/>
  <c r="Q13" i="822"/>
  <c r="Q20" i="822"/>
  <c r="Q26" i="822"/>
  <c r="Q25" i="822"/>
  <c r="Q19" i="822"/>
  <c r="M24" i="823" a="1"/>
  <c r="M24" i="823" s="1"/>
  <c r="L24" i="823" a="1"/>
  <c r="L24" i="823" s="1"/>
  <c r="K24" i="823" a="1"/>
  <c r="K24" i="823" s="1"/>
  <c r="Y32" i="821"/>
  <c r="Y28" i="821"/>
  <c r="Y24" i="821"/>
  <c r="Y20" i="821"/>
  <c r="Y31" i="821"/>
  <c r="Y27" i="821"/>
  <c r="Y23" i="821"/>
  <c r="Y19" i="821"/>
  <c r="Y34" i="821"/>
  <c r="Y30" i="821"/>
  <c r="Y26" i="821"/>
  <c r="Y22" i="821"/>
  <c r="Y18" i="821"/>
  <c r="Y33" i="821"/>
  <c r="Y25" i="821"/>
  <c r="Y90" i="821"/>
  <c r="Y89" i="821"/>
  <c r="Y88" i="821"/>
  <c r="Z107" i="821"/>
  <c r="Z106" i="821" s="1"/>
  <c r="Y146" i="821"/>
  <c r="Y142" i="821"/>
  <c r="Y138" i="821"/>
  <c r="Y134" i="821"/>
  <c r="Y145" i="821"/>
  <c r="Y141" i="821"/>
  <c r="Y137" i="821"/>
  <c r="Y133" i="821"/>
  <c r="Y144" i="821"/>
  <c r="Y140" i="821"/>
  <c r="Y136" i="821"/>
  <c r="Y132" i="821"/>
  <c r="Y29" i="821"/>
  <c r="Y91" i="821"/>
  <c r="Y135" i="821"/>
  <c r="AJ10" i="821"/>
  <c r="Z14" i="821"/>
  <c r="Y56" i="821"/>
  <c r="Y60" i="821"/>
  <c r="Y64" i="821"/>
  <c r="Y57" i="821"/>
  <c r="Y61" i="821"/>
  <c r="Y65" i="821"/>
  <c r="Y58" i="821"/>
  <c r="Y62" i="821"/>
  <c r="Y220" i="821"/>
  <c r="Y216" i="821"/>
  <c r="Y219" i="821"/>
  <c r="Y215" i="821"/>
  <c r="Y218" i="821"/>
  <c r="Y214" i="821"/>
  <c r="Y168" i="821"/>
  <c r="Y172" i="821"/>
  <c r="Y176" i="821"/>
  <c r="Y180" i="821"/>
  <c r="Y169" i="821"/>
  <c r="Y173" i="821"/>
  <c r="Y177" i="821"/>
  <c r="Y181" i="821"/>
  <c r="Z236" i="821"/>
  <c r="Y170" i="821"/>
  <c r="Y174" i="821"/>
  <c r="A5" i="820"/>
  <c r="A6" i="820" s="1"/>
  <c r="A7" i="820" s="1"/>
  <c r="A8" i="820" s="1"/>
  <c r="A9" i="820" s="1"/>
  <c r="A10" i="820" s="1"/>
  <c r="A11" i="820" s="1"/>
  <c r="A12" i="820" s="1"/>
  <c r="A13" i="820" s="1"/>
  <c r="A14" i="820" s="1"/>
  <c r="F4" i="820" a="1"/>
  <c r="F11" i="820" s="1"/>
  <c r="G11" i="820" s="1"/>
  <c r="L11" i="820"/>
  <c r="I14" i="827" l="1"/>
  <c r="H14" i="827" s="1"/>
  <c r="H16" i="827" s="1"/>
  <c r="I16" i="827" s="1"/>
  <c r="J16" i="827" s="1"/>
  <c r="J7" i="827"/>
  <c r="Q13" i="823"/>
  <c r="Q20" i="823"/>
  <c r="Q26" i="823"/>
  <c r="Q25" i="823"/>
  <c r="Q19" i="823"/>
  <c r="L16" i="823" a="1"/>
  <c r="L16" i="823" s="1"/>
  <c r="M16" i="823" a="1"/>
  <c r="M16" i="823" s="1"/>
  <c r="K16" i="823" a="1"/>
  <c r="K16" i="823" s="1"/>
  <c r="N23" i="823" a="1"/>
  <c r="N23" i="823" s="1"/>
  <c r="L23" i="823" a="1"/>
  <c r="L23" i="823" s="1"/>
  <c r="K23" i="823" a="1"/>
  <c r="K23" i="823" s="1"/>
  <c r="M23" i="823" a="1"/>
  <c r="M23" i="823" s="1"/>
  <c r="Q27" i="822"/>
  <c r="Q21" i="822"/>
  <c r="AB174" i="821"/>
  <c r="AC174" i="821" s="1"/>
  <c r="AE174" i="821"/>
  <c r="AD174" i="821"/>
  <c r="AB179" i="821"/>
  <c r="AC179" i="821" s="1"/>
  <c r="AE179" i="821"/>
  <c r="AD179" i="821"/>
  <c r="AD137" i="821"/>
  <c r="AB137" i="821"/>
  <c r="AC137" i="821" s="1"/>
  <c r="AE137" i="821"/>
  <c r="AE132" i="821"/>
  <c r="AD132" i="821"/>
  <c r="AB132" i="821"/>
  <c r="AC132" i="821" s="1"/>
  <c r="AB27" i="821"/>
  <c r="AB112" i="821"/>
  <c r="AC112" i="821" s="1"/>
  <c r="AE112" i="821"/>
  <c r="AD112" i="821"/>
  <c r="M14" i="823" a="1"/>
  <c r="M14" i="823" s="1"/>
  <c r="K14" i="823" a="1"/>
  <c r="K14" i="823" s="1"/>
  <c r="L14" i="823" a="1"/>
  <c r="L14" i="823" s="1"/>
  <c r="N21" i="823" a="1"/>
  <c r="N21" i="823" s="1"/>
  <c r="L21" i="823" a="1"/>
  <c r="L21" i="823" s="1"/>
  <c r="M21" i="823" a="1"/>
  <c r="M21" i="823" s="1"/>
  <c r="K21" i="823" a="1"/>
  <c r="K21" i="823" s="1"/>
  <c r="N24" i="822"/>
  <c r="S14" i="822" s="1"/>
  <c r="AE176" i="821"/>
  <c r="AD176" i="821"/>
  <c r="AB176" i="821"/>
  <c r="AC176" i="821" s="1"/>
  <c r="AB178" i="821"/>
  <c r="AC178" i="821" s="1"/>
  <c r="AE178" i="821"/>
  <c r="AD178" i="821"/>
  <c r="AD173" i="821"/>
  <c r="AB173" i="821"/>
  <c r="AC173" i="821" s="1"/>
  <c r="AE173" i="821"/>
  <c r="AD181" i="821"/>
  <c r="AB181" i="821"/>
  <c r="AC181" i="821" s="1"/>
  <c r="AE181" i="821"/>
  <c r="AB216" i="821"/>
  <c r="AC216" i="821" s="1"/>
  <c r="AE216" i="821"/>
  <c r="AD216" i="821"/>
  <c r="AB219" i="821"/>
  <c r="AC219" i="821" s="1"/>
  <c r="AE219" i="821"/>
  <c r="AD219" i="821"/>
  <c r="AB145" i="821"/>
  <c r="AC145" i="821" s="1"/>
  <c r="AD145" i="821"/>
  <c r="AE145" i="821"/>
  <c r="AE141" i="821"/>
  <c r="AB141" i="821"/>
  <c r="AC141" i="821" s="1"/>
  <c r="AD141" i="821"/>
  <c r="AB134" i="821"/>
  <c r="AC134" i="821" s="1"/>
  <c r="AE134" i="821"/>
  <c r="AD134" i="821"/>
  <c r="AB142" i="821"/>
  <c r="AC142" i="821" s="1"/>
  <c r="AE142" i="821"/>
  <c r="AD142" i="821"/>
  <c r="AB23" i="821"/>
  <c r="AB17" i="821"/>
  <c r="AB24" i="821"/>
  <c r="AB32" i="821"/>
  <c r="AD59" i="821"/>
  <c r="AB59" i="821"/>
  <c r="AC59" i="821" s="1"/>
  <c r="AE59" i="821"/>
  <c r="AD67" i="821"/>
  <c r="AB67" i="821"/>
  <c r="AC67" i="821" s="1"/>
  <c r="AE67" i="821"/>
  <c r="AB54" i="821"/>
  <c r="AC54" i="821" s="1"/>
  <c r="AE54" i="821"/>
  <c r="AD54" i="821"/>
  <c r="AE62" i="821"/>
  <c r="AD62" i="821"/>
  <c r="AB62" i="821"/>
  <c r="AC62" i="821" s="1"/>
  <c r="AD88" i="821"/>
  <c r="AB88" i="821"/>
  <c r="AC88" i="821" s="1"/>
  <c r="AE88" i="821"/>
  <c r="AB89" i="821"/>
  <c r="AC89" i="821" s="1"/>
  <c r="AE89" i="821"/>
  <c r="AD89" i="821"/>
  <c r="M7" i="823" a="1"/>
  <c r="M7" i="823" s="1"/>
  <c r="K7" i="823" a="1"/>
  <c r="K7" i="823" s="1"/>
  <c r="L7" i="823" a="1"/>
  <c r="L7" i="823" s="1"/>
  <c r="N21" i="822" a="1"/>
  <c r="N21" i="822" s="1"/>
  <c r="L21" i="822" a="1"/>
  <c r="L21" i="822" s="1"/>
  <c r="N23" i="822" a="1"/>
  <c r="N23" i="822" s="1"/>
  <c r="L23" i="822" a="1"/>
  <c r="L23" i="822" s="1"/>
  <c r="M21" i="822" a="1"/>
  <c r="M21" i="822" s="1"/>
  <c r="K21" i="822" a="1"/>
  <c r="K21" i="822" s="1"/>
  <c r="M22" i="822" a="1"/>
  <c r="M22" i="822" s="1"/>
  <c r="M23" i="822" a="1"/>
  <c r="M23" i="822" s="1"/>
  <c r="L22" i="822" a="1"/>
  <c r="L22" i="822" s="1"/>
  <c r="K23" i="822" a="1"/>
  <c r="K23" i="822" s="1"/>
  <c r="K22" i="822" a="1"/>
  <c r="K22" i="822" s="1"/>
  <c r="N22" i="822" a="1"/>
  <c r="N22" i="822" s="1"/>
  <c r="L24" i="822" a="1"/>
  <c r="L24" i="822" s="1"/>
  <c r="K24" i="822" a="1"/>
  <c r="K24" i="822" s="1"/>
  <c r="M24" i="822" a="1"/>
  <c r="M24" i="822" s="1"/>
  <c r="AB240" i="821"/>
  <c r="AC240" i="821" s="1"/>
  <c r="AE240" i="821"/>
  <c r="AD240" i="821"/>
  <c r="AE168" i="821"/>
  <c r="AD168" i="821"/>
  <c r="AB168" i="821"/>
  <c r="AC168" i="821" s="1"/>
  <c r="AB171" i="821"/>
  <c r="AC171" i="821" s="1"/>
  <c r="AE171" i="821"/>
  <c r="AD171" i="821"/>
  <c r="AD214" i="821"/>
  <c r="AB214" i="821"/>
  <c r="AC214" i="821" s="1"/>
  <c r="AE214" i="821"/>
  <c r="AE217" i="821"/>
  <c r="AD217" i="821"/>
  <c r="AB217" i="821"/>
  <c r="AC217" i="821" s="1"/>
  <c r="AD133" i="821"/>
  <c r="AB133" i="821"/>
  <c r="AC133" i="821" s="1"/>
  <c r="AE133" i="821"/>
  <c r="AD140" i="821"/>
  <c r="AE140" i="821"/>
  <c r="AB140" i="821"/>
  <c r="AC140" i="821" s="1"/>
  <c r="AB21" i="821"/>
  <c r="AB29" i="821"/>
  <c r="AB22" i="821"/>
  <c r="AB30" i="821"/>
  <c r="AB57" i="821"/>
  <c r="AC57" i="821" s="1"/>
  <c r="AE57" i="821"/>
  <c r="AD57" i="821"/>
  <c r="AB65" i="821"/>
  <c r="AC65" i="821" s="1"/>
  <c r="AE65" i="821"/>
  <c r="AD65" i="821"/>
  <c r="AB60" i="821"/>
  <c r="AC60" i="821" s="1"/>
  <c r="AE60" i="821"/>
  <c r="AD60" i="821"/>
  <c r="AB90" i="821"/>
  <c r="AC90" i="821" s="1"/>
  <c r="AE90" i="821"/>
  <c r="AD90" i="821"/>
  <c r="AE87" i="821"/>
  <c r="AD87" i="821"/>
  <c r="AB87" i="821"/>
  <c r="AC87" i="821" s="1"/>
  <c r="Z13" i="821"/>
  <c r="AD27" i="821" s="1"/>
  <c r="AJ12" i="821"/>
  <c r="L8" i="823" a="1"/>
  <c r="L8" i="823" s="1"/>
  <c r="M8" i="823" a="1"/>
  <c r="M8" i="823" s="1"/>
  <c r="K8" i="823" a="1"/>
  <c r="K8" i="823" s="1"/>
  <c r="N22" i="823" a="1"/>
  <c r="N22" i="823" s="1"/>
  <c r="L22" i="823" a="1"/>
  <c r="L22" i="823" s="1"/>
  <c r="M22" i="823" a="1"/>
  <c r="M22" i="823" s="1"/>
  <c r="K22" i="823" a="1"/>
  <c r="K22" i="823" s="1"/>
  <c r="AE172" i="821"/>
  <c r="AD172" i="821"/>
  <c r="AB172" i="821"/>
  <c r="AC172" i="821" s="1"/>
  <c r="AE166" i="821"/>
  <c r="AD166" i="821"/>
  <c r="AB166" i="821"/>
  <c r="AC166" i="821" s="1"/>
  <c r="AB167" i="821"/>
  <c r="AC167" i="821" s="1"/>
  <c r="AE167" i="821"/>
  <c r="AD167" i="821"/>
  <c r="AB175" i="821"/>
  <c r="AC175" i="821" s="1"/>
  <c r="AE175" i="821"/>
  <c r="AD175" i="821"/>
  <c r="AD218" i="821"/>
  <c r="AB218" i="821"/>
  <c r="AC218" i="821" s="1"/>
  <c r="AE218" i="821"/>
  <c r="AE213" i="821"/>
  <c r="AD213" i="821"/>
  <c r="AB213" i="821"/>
  <c r="AC213" i="821" s="1"/>
  <c r="AB221" i="821"/>
  <c r="AC221" i="821" s="1"/>
  <c r="AE221" i="821"/>
  <c r="AD221" i="821"/>
  <c r="AE131" i="821"/>
  <c r="AD131" i="821"/>
  <c r="AB131" i="821"/>
  <c r="AC131" i="821" s="1"/>
  <c r="AB135" i="821"/>
  <c r="AC135" i="821" s="1"/>
  <c r="AE135" i="821"/>
  <c r="AD135" i="821"/>
  <c r="AE136" i="821"/>
  <c r="AD136" i="821"/>
  <c r="AB136" i="821"/>
  <c r="AC136" i="821" s="1"/>
  <c r="AD144" i="821"/>
  <c r="AB144" i="821"/>
  <c r="AC144" i="821" s="1"/>
  <c r="AE144" i="821"/>
  <c r="AB31" i="821"/>
  <c r="AE31" i="821"/>
  <c r="AD31" i="821"/>
  <c r="AD33" i="821"/>
  <c r="AB33" i="821"/>
  <c r="AE33" i="821"/>
  <c r="AB18" i="821"/>
  <c r="AC18" i="821" s="1"/>
  <c r="AE18" i="821"/>
  <c r="AB26" i="821"/>
  <c r="AC26" i="821" s="1"/>
  <c r="AE26" i="821"/>
  <c r="AD26" i="821"/>
  <c r="AB34" i="821"/>
  <c r="AE34" i="821"/>
  <c r="AD34" i="821"/>
  <c r="AB61" i="821"/>
  <c r="AC61" i="821" s="1"/>
  <c r="AE61" i="821"/>
  <c r="AD61" i="821"/>
  <c r="AB56" i="821"/>
  <c r="AC56" i="821" s="1"/>
  <c r="AE56" i="821"/>
  <c r="AD56" i="821"/>
  <c r="AB64" i="821"/>
  <c r="AC64" i="821" s="1"/>
  <c r="AE64" i="821"/>
  <c r="AD64" i="821"/>
  <c r="AE91" i="821"/>
  <c r="AD91" i="821"/>
  <c r="AB91" i="821"/>
  <c r="AC91" i="821" s="1"/>
  <c r="AJ11" i="821"/>
  <c r="AN9" i="821" s="1"/>
  <c r="L15" i="823" a="1"/>
  <c r="L15" i="823" s="1"/>
  <c r="M15" i="823" a="1"/>
  <c r="M15" i="823" s="1"/>
  <c r="K15" i="823" a="1"/>
  <c r="K15" i="823" s="1"/>
  <c r="M9" i="823" a="1"/>
  <c r="M9" i="823" s="1"/>
  <c r="K9" i="823" a="1"/>
  <c r="K9" i="823" s="1"/>
  <c r="L9" i="823" a="1"/>
  <c r="L9" i="823" s="1"/>
  <c r="AB242" i="821"/>
  <c r="AC242" i="821" s="1"/>
  <c r="AE242" i="821"/>
  <c r="AD242" i="821"/>
  <c r="AD241" i="821"/>
  <c r="AB241" i="821"/>
  <c r="AC241" i="821" s="1"/>
  <c r="AE241" i="821"/>
  <c r="AE180" i="821"/>
  <c r="AD180" i="821"/>
  <c r="AB180" i="821"/>
  <c r="AC180" i="821" s="1"/>
  <c r="AB170" i="821"/>
  <c r="AC170" i="821" s="1"/>
  <c r="AE170" i="821"/>
  <c r="AD170" i="821"/>
  <c r="AD169" i="821"/>
  <c r="AB169" i="821"/>
  <c r="AC169" i="821" s="1"/>
  <c r="AE169" i="821"/>
  <c r="AD177" i="821"/>
  <c r="AB177" i="821"/>
  <c r="AC177" i="821" s="1"/>
  <c r="AE177" i="821"/>
  <c r="AB220" i="821"/>
  <c r="AC220" i="821" s="1"/>
  <c r="AE220" i="821"/>
  <c r="AD220" i="821"/>
  <c r="AB215" i="821"/>
  <c r="AC215" i="821" s="1"/>
  <c r="AE215" i="821"/>
  <c r="AD215" i="821"/>
  <c r="AB139" i="821"/>
  <c r="AC139" i="821" s="1"/>
  <c r="AE139" i="821"/>
  <c r="AD139" i="821"/>
  <c r="AE143" i="821"/>
  <c r="AB143" i="821"/>
  <c r="AC143" i="821" s="1"/>
  <c r="AD143" i="821"/>
  <c r="AB138" i="821"/>
  <c r="AC138" i="821" s="1"/>
  <c r="AE138" i="821"/>
  <c r="AD138" i="821"/>
  <c r="AB146" i="821"/>
  <c r="AC146" i="821" s="1"/>
  <c r="AD146" i="821"/>
  <c r="AE146" i="821"/>
  <c r="AD25" i="821"/>
  <c r="AB25" i="821"/>
  <c r="AC25" i="821" s="1"/>
  <c r="AE25" i="821"/>
  <c r="AB19" i="821"/>
  <c r="AC19" i="821" s="1"/>
  <c r="AE19" i="821"/>
  <c r="AD19" i="821"/>
  <c r="AE20" i="821"/>
  <c r="AD20" i="821"/>
  <c r="AB20" i="821"/>
  <c r="AC20" i="821" s="1"/>
  <c r="AE28" i="821"/>
  <c r="AD28" i="821"/>
  <c r="AB28" i="821"/>
  <c r="AC28" i="821" s="1"/>
  <c r="AD55" i="821"/>
  <c r="AB55" i="821"/>
  <c r="AC55" i="821" s="1"/>
  <c r="AE55" i="821"/>
  <c r="AD63" i="821"/>
  <c r="AB63" i="821"/>
  <c r="AC63" i="821" s="1"/>
  <c r="AE63" i="821"/>
  <c r="AE58" i="821"/>
  <c r="AD58" i="821"/>
  <c r="AB58" i="821"/>
  <c r="AC58" i="821" s="1"/>
  <c r="AE66" i="821"/>
  <c r="AD66" i="821"/>
  <c r="AB66" i="821"/>
  <c r="AC66" i="821" s="1"/>
  <c r="AB110" i="821"/>
  <c r="AC110" i="821" s="1"/>
  <c r="AE110" i="821"/>
  <c r="AD110" i="821"/>
  <c r="AB111" i="821"/>
  <c r="AC111" i="821" s="1"/>
  <c r="AE111" i="821"/>
  <c r="AD111" i="821"/>
  <c r="F4" i="820"/>
  <c r="G4" i="820" s="1"/>
  <c r="F8" i="820"/>
  <c r="G8" i="820" s="1"/>
  <c r="F12" i="820"/>
  <c r="G12" i="820" s="1"/>
  <c r="F5" i="820"/>
  <c r="G5" i="820" s="1"/>
  <c r="F9" i="820"/>
  <c r="G9" i="820" s="1"/>
  <c r="F13" i="820"/>
  <c r="G13" i="820" s="1"/>
  <c r="F6" i="820"/>
  <c r="G6" i="820" s="1"/>
  <c r="F10" i="820"/>
  <c r="G10" i="820" s="1"/>
  <c r="F14" i="820"/>
  <c r="G14" i="820" s="1"/>
  <c r="F7" i="820"/>
  <c r="G7" i="820" s="1"/>
  <c r="P17" i="819"/>
  <c r="W17" i="819" s="1"/>
  <c r="AD17" i="819" s="1"/>
  <c r="AK17" i="819" s="1"/>
  <c r="AR17" i="819" s="1"/>
  <c r="AY17" i="819" s="1"/>
  <c r="BF17" i="819" s="1"/>
  <c r="BM17" i="819" s="1"/>
  <c r="BT17" i="819" s="1"/>
  <c r="CA17" i="819" s="1"/>
  <c r="CH17" i="819" s="1"/>
  <c r="CO17" i="819" s="1"/>
  <c r="CV17" i="819" s="1"/>
  <c r="A5" i="819"/>
  <c r="A6" i="819" s="1"/>
  <c r="A7" i="819" s="1"/>
  <c r="A8" i="819" s="1"/>
  <c r="A9" i="819" s="1"/>
  <c r="A10" i="819" s="1"/>
  <c r="A11" i="819" s="1"/>
  <c r="A12" i="819" s="1"/>
  <c r="A13" i="819" s="1"/>
  <c r="A14" i="819" s="1"/>
  <c r="F4" i="819" a="1"/>
  <c r="F12" i="819" s="1"/>
  <c r="G12" i="819" s="1"/>
  <c r="AC25" i="817"/>
  <c r="AC26" i="817" s="1"/>
  <c r="AC27" i="817" s="1"/>
  <c r="AC28" i="817" s="1"/>
  <c r="O23" i="817"/>
  <c r="N23" i="817"/>
  <c r="O22" i="817"/>
  <c r="N22" i="817"/>
  <c r="O21" i="817"/>
  <c r="N21" i="817"/>
  <c r="AF21" i="817"/>
  <c r="AF20" i="817" a="1"/>
  <c r="AF20" i="817" s="1"/>
  <c r="O20" i="817"/>
  <c r="N20" i="817"/>
  <c r="O19" i="817"/>
  <c r="N19" i="817"/>
  <c r="O18" i="817"/>
  <c r="N18" i="817"/>
  <c r="O17" i="817"/>
  <c r="N17" i="817"/>
  <c r="AH16" i="817"/>
  <c r="AC16" i="817"/>
  <c r="AC17" i="817" s="1"/>
  <c r="AC18" i="817" s="1"/>
  <c r="AC19" i="817" s="1"/>
  <c r="O16" i="817"/>
  <c r="N16" i="817"/>
  <c r="O15" i="817"/>
  <c r="N15" i="817"/>
  <c r="AG14" i="817"/>
  <c r="O14" i="817"/>
  <c r="N14" i="817"/>
  <c r="O13" i="817"/>
  <c r="N13" i="817"/>
  <c r="O12" i="817"/>
  <c r="N12" i="817"/>
  <c r="O11" i="817"/>
  <c r="N11" i="817"/>
  <c r="AG10" i="817"/>
  <c r="O10" i="817"/>
  <c r="N10" i="817"/>
  <c r="O9" i="817"/>
  <c r="N9" i="817"/>
  <c r="O8" i="817"/>
  <c r="N8" i="817"/>
  <c r="X7" i="817"/>
  <c r="O7" i="817"/>
  <c r="N7" i="817"/>
  <c r="AA6" i="817"/>
  <c r="AA10" i="817" s="1"/>
  <c r="O6" i="817"/>
  <c r="N6" i="817"/>
  <c r="O5" i="817"/>
  <c r="N5" i="817"/>
  <c r="A5" i="817"/>
  <c r="O4" i="817"/>
  <c r="N4" i="817"/>
  <c r="F4" i="817" a="1"/>
  <c r="F4" i="817" s="1"/>
  <c r="G4" i="817" s="1"/>
  <c r="O3" i="817"/>
  <c r="N3" i="817"/>
  <c r="Q20" i="817" s="1" a="1"/>
  <c r="Q25" i="817" s="1"/>
  <c r="Q22" i="817" l="1"/>
  <c r="R14" i="817"/>
  <c r="AC34" i="821"/>
  <c r="AD18" i="821"/>
  <c r="AC33" i="821"/>
  <c r="AC31" i="821"/>
  <c r="AE22" i="821"/>
  <c r="AD30" i="821"/>
  <c r="AD29" i="821"/>
  <c r="AB105" i="821"/>
  <c r="Z98" i="821"/>
  <c r="AI6" i="821"/>
  <c r="AK6" i="821" s="1"/>
  <c r="AA106" i="821"/>
  <c r="AB161" i="821"/>
  <c r="Z154" i="821"/>
  <c r="AA162" i="821"/>
  <c r="AB235" i="821"/>
  <c r="Z228" i="821"/>
  <c r="AI9" i="821"/>
  <c r="AK9" i="821" s="1"/>
  <c r="AA236" i="821"/>
  <c r="AB126" i="821"/>
  <c r="Z119" i="821"/>
  <c r="AA127" i="821"/>
  <c r="AB208" i="821"/>
  <c r="Z201" i="821"/>
  <c r="AI10" i="821"/>
  <c r="AK10" i="821" s="1"/>
  <c r="AA209" i="821"/>
  <c r="AB49" i="821"/>
  <c r="Z42" i="821"/>
  <c r="AA50" i="821"/>
  <c r="AB82" i="821"/>
  <c r="Z75" i="821"/>
  <c r="AA83" i="821"/>
  <c r="AA13" i="821"/>
  <c r="AB12" i="821"/>
  <c r="Z5" i="821"/>
  <c r="N15" i="823" a="1"/>
  <c r="N15" i="823" s="1"/>
  <c r="N8" i="823" a="1"/>
  <c r="N8" i="823" s="1"/>
  <c r="AD22" i="821"/>
  <c r="AC29" i="821"/>
  <c r="AD21" i="821"/>
  <c r="M10" i="823" a="1"/>
  <c r="M10" i="823" s="1"/>
  <c r="AC32" i="821"/>
  <c r="AD24" i="821"/>
  <c r="AD17" i="821"/>
  <c r="AC23" i="821"/>
  <c r="AE27" i="821"/>
  <c r="M9" i="822" a="1"/>
  <c r="M9" i="822" s="1"/>
  <c r="K9" i="822" a="1"/>
  <c r="K9" i="822" s="1"/>
  <c r="L9" i="822" a="1"/>
  <c r="L9" i="822" s="1"/>
  <c r="K14" i="822" a="1"/>
  <c r="K14" i="822" s="1"/>
  <c r="M14" i="822" a="1"/>
  <c r="M14" i="822" s="1"/>
  <c r="L14" i="822" a="1"/>
  <c r="L14" i="822" s="1"/>
  <c r="AD32" i="821"/>
  <c r="AE24" i="821"/>
  <c r="AE17" i="821"/>
  <c r="L17" i="823" a="1"/>
  <c r="L17" i="823" s="1"/>
  <c r="AC27" i="821"/>
  <c r="AN10" i="821"/>
  <c r="M7" i="822" a="1"/>
  <c r="M7" i="822" s="1"/>
  <c r="K7" i="822" a="1"/>
  <c r="K7" i="822" s="1"/>
  <c r="L7" i="822" a="1"/>
  <c r="L7" i="822" s="1"/>
  <c r="N9" i="823" a="1"/>
  <c r="N9" i="823" s="1"/>
  <c r="AE30" i="821"/>
  <c r="AC22" i="821"/>
  <c r="AE21" i="821"/>
  <c r="L10" i="823" a="1"/>
  <c r="L10" i="823" s="1"/>
  <c r="AE32" i="821"/>
  <c r="AC17" i="821"/>
  <c r="AD23" i="821"/>
  <c r="K17" i="823" a="1"/>
  <c r="K17" i="823" s="1"/>
  <c r="N14" i="823" a="1"/>
  <c r="N14" i="823" s="1"/>
  <c r="N16" i="823" a="1"/>
  <c r="N16" i="823" s="1"/>
  <c r="Q27" i="823"/>
  <c r="Q21" i="823"/>
  <c r="L15" i="822" a="1"/>
  <c r="L15" i="822" s="1"/>
  <c r="M15" i="822" a="1"/>
  <c r="M15" i="822" s="1"/>
  <c r="K15" i="822" a="1"/>
  <c r="K15" i="822" s="1"/>
  <c r="AJ5" i="821"/>
  <c r="AJ7" i="821" s="1"/>
  <c r="AN6" i="821" s="1"/>
  <c r="AK12" i="821"/>
  <c r="AC30" i="821"/>
  <c r="AE29" i="821"/>
  <c r="AC21" i="821"/>
  <c r="K10" i="823" a="1"/>
  <c r="K10" i="823" s="1"/>
  <c r="R7" i="823" s="1"/>
  <c r="K5" i="823"/>
  <c r="N7" i="823" a="1"/>
  <c r="N7" i="823" s="1"/>
  <c r="AC24" i="821"/>
  <c r="AE23" i="821"/>
  <c r="M17" i="823" a="1"/>
  <c r="M17" i="823" s="1"/>
  <c r="L8" i="822" a="1"/>
  <c r="L8" i="822" s="1"/>
  <c r="M8" i="822" a="1"/>
  <c r="M8" i="822" s="1"/>
  <c r="K8" i="822" a="1"/>
  <c r="K8" i="822" s="1"/>
  <c r="N8" i="822" s="1" a="1"/>
  <c r="N8" i="822" s="1"/>
  <c r="L16" i="822" a="1"/>
  <c r="L16" i="822" s="1"/>
  <c r="M16" i="822" a="1"/>
  <c r="M16" i="822" s="1"/>
  <c r="K16" i="822" a="1"/>
  <c r="K16" i="822" s="1"/>
  <c r="J5" i="820"/>
  <c r="J11" i="820" a="1"/>
  <c r="J11" i="820" s="1"/>
  <c r="F10" i="819"/>
  <c r="G10" i="819" s="1"/>
  <c r="F5" i="819"/>
  <c r="G5" i="819" s="1"/>
  <c r="F13" i="819"/>
  <c r="G13" i="819" s="1"/>
  <c r="F9" i="819"/>
  <c r="G9" i="819" s="1"/>
  <c r="F6" i="819"/>
  <c r="G6" i="819" s="1"/>
  <c r="F14" i="819"/>
  <c r="G14" i="819" s="1"/>
  <c r="F7" i="819"/>
  <c r="G7" i="819" s="1"/>
  <c r="F11" i="819"/>
  <c r="G11" i="819" s="1"/>
  <c r="F4" i="819"/>
  <c r="G4" i="819" s="1"/>
  <c r="F8" i="819"/>
  <c r="G8" i="819" s="1"/>
  <c r="K6" i="817"/>
  <c r="I4" i="817"/>
  <c r="M8" i="817"/>
  <c r="L7" i="817"/>
  <c r="J5" i="817"/>
  <c r="F8" i="817"/>
  <c r="G8" i="817" s="1"/>
  <c r="F16" i="817"/>
  <c r="G16" i="817" s="1"/>
  <c r="F22" i="817"/>
  <c r="G22" i="817" s="1"/>
  <c r="F18" i="817"/>
  <c r="G18" i="817" s="1"/>
  <c r="F14" i="817"/>
  <c r="G14" i="817" s="1"/>
  <c r="F10" i="817"/>
  <c r="G10" i="817" s="1"/>
  <c r="F6" i="817"/>
  <c r="G6" i="817" s="1"/>
  <c r="F17" i="817"/>
  <c r="G17" i="817" s="1"/>
  <c r="F9" i="817"/>
  <c r="G9" i="817" s="1"/>
  <c r="F21" i="817"/>
  <c r="G21" i="817" s="1"/>
  <c r="F13" i="817"/>
  <c r="G13" i="817" s="1"/>
  <c r="F5" i="817"/>
  <c r="G5" i="817" s="1"/>
  <c r="F11" i="817"/>
  <c r="G11" i="817" s="1"/>
  <c r="F19" i="817"/>
  <c r="G19" i="817" s="1"/>
  <c r="F12" i="817"/>
  <c r="G12" i="817" s="1"/>
  <c r="F20" i="817"/>
  <c r="G20" i="817" s="1"/>
  <c r="Q24" i="817"/>
  <c r="Q20" i="817"/>
  <c r="Q23" i="817"/>
  <c r="F7" i="817"/>
  <c r="G7" i="817" s="1"/>
  <c r="F15" i="817"/>
  <c r="G15" i="817" s="1"/>
  <c r="F23" i="817"/>
  <c r="G23" i="817" s="1"/>
  <c r="I23" i="817" s="1"/>
  <c r="A6" i="817"/>
  <c r="A7" i="817" s="1"/>
  <c r="A8" i="817" s="1"/>
  <c r="A9" i="817" s="1"/>
  <c r="A10" i="817" s="1"/>
  <c r="A11" i="817" s="1"/>
  <c r="A12" i="817" s="1"/>
  <c r="A13" i="817" s="1"/>
  <c r="A14" i="817" s="1"/>
  <c r="A15" i="817" s="1"/>
  <c r="A16" i="817" s="1"/>
  <c r="A17" i="817" s="1"/>
  <c r="A18" i="817" s="1"/>
  <c r="A19" i="817" s="1"/>
  <c r="A20" i="817" s="1"/>
  <c r="A21" i="817" s="1"/>
  <c r="A22" i="817" s="1"/>
  <c r="A23" i="817" s="1"/>
  <c r="AA8" i="817"/>
  <c r="AA11" i="817" s="1"/>
  <c r="AG16" i="817"/>
  <c r="AG15" i="817" s="1"/>
  <c r="Q21" i="817"/>
  <c r="N9" i="822" l="1" a="1"/>
  <c r="N9" i="822" s="1"/>
  <c r="N10" i="823" a="1"/>
  <c r="N10" i="823" s="1"/>
  <c r="R14" i="823" s="1"/>
  <c r="L10" i="822" a="1"/>
  <c r="L10" i="822" s="1"/>
  <c r="K17" i="822" a="1"/>
  <c r="K17" i="822" s="1"/>
  <c r="N14" i="822" a="1"/>
  <c r="N14" i="822" s="1"/>
  <c r="AC76" i="821"/>
  <c r="AC74" i="821"/>
  <c r="AC75" i="821" s="1"/>
  <c r="AB83" i="821"/>
  <c r="Z77" i="821" s="1"/>
  <c r="Z43" i="821"/>
  <c r="Z41" i="821"/>
  <c r="Z202" i="821"/>
  <c r="Z200" i="821"/>
  <c r="AB106" i="821"/>
  <c r="Z100" i="821" s="1"/>
  <c r="AC97" i="821"/>
  <c r="AC98" i="821" s="1"/>
  <c r="AC99" i="821"/>
  <c r="K10" i="822" a="1"/>
  <c r="K10" i="822" s="1"/>
  <c r="R7" i="822" s="1"/>
  <c r="K5" i="822"/>
  <c r="N7" i="822" a="1"/>
  <c r="N7" i="822" s="1"/>
  <c r="N10" i="822" s="1" a="1"/>
  <c r="N10" i="822" s="1"/>
  <c r="R14" i="822" s="1"/>
  <c r="Z6" i="821"/>
  <c r="Z4" i="821"/>
  <c r="Z76" i="821"/>
  <c r="Z74" i="821"/>
  <c r="AC229" i="821"/>
  <c r="AC227" i="821"/>
  <c r="AC228" i="821" s="1"/>
  <c r="AB236" i="821"/>
  <c r="Z230" i="821" s="1"/>
  <c r="AB162" i="821"/>
  <c r="Z156" i="821" s="1"/>
  <c r="AC153" i="821"/>
  <c r="AC154" i="821" s="1"/>
  <c r="AC155" i="821"/>
  <c r="N16" i="822" a="1"/>
  <c r="N16" i="822" s="1"/>
  <c r="N17" i="823" a="1"/>
  <c r="N17" i="823" s="1"/>
  <c r="R8" i="823"/>
  <c r="R9" i="823" s="1"/>
  <c r="M10" i="822" a="1"/>
  <c r="M10" i="822" s="1"/>
  <c r="L17" i="822" a="1"/>
  <c r="L17" i="822" s="1"/>
  <c r="AC82" i="821"/>
  <c r="AD82" i="821" s="1"/>
  <c r="AE82" i="821" s="1"/>
  <c r="AB209" i="821"/>
  <c r="Z203" i="821" s="1"/>
  <c r="AC200" i="821"/>
  <c r="AC201" i="821" s="1"/>
  <c r="AC202" i="821"/>
  <c r="AB127" i="821"/>
  <c r="Z121" i="821" s="1"/>
  <c r="AC118" i="821"/>
  <c r="AC119" i="821" s="1"/>
  <c r="AC120" i="821"/>
  <c r="Z153" i="821"/>
  <c r="Z155" i="821"/>
  <c r="Z99" i="821"/>
  <c r="Z97" i="821"/>
  <c r="R10" i="823"/>
  <c r="Q14" i="823"/>
  <c r="Q7" i="823" s="1"/>
  <c r="Q9" i="823" s="1"/>
  <c r="N15" i="822" a="1"/>
  <c r="N15" i="822" s="1"/>
  <c r="R11" i="823"/>
  <c r="M17" i="822" a="1"/>
  <c r="M17" i="822" s="1"/>
  <c r="AB13" i="821"/>
  <c r="Z7" i="821" s="1"/>
  <c r="AC6" i="821"/>
  <c r="AC4" i="821"/>
  <c r="AC5" i="821" s="1"/>
  <c r="AB50" i="821"/>
  <c r="Z44" i="821" s="1"/>
  <c r="AC43" i="821"/>
  <c r="AC41" i="821"/>
  <c r="AC42" i="821" s="1"/>
  <c r="AI8" i="821"/>
  <c r="Z120" i="821"/>
  <c r="Z118" i="821"/>
  <c r="Z227" i="821"/>
  <c r="Z229" i="821"/>
  <c r="AC105" i="821"/>
  <c r="AD105" i="821" s="1"/>
  <c r="AE105" i="821" s="1"/>
  <c r="J6" i="820"/>
  <c r="K15" i="817"/>
  <c r="I13" i="817"/>
  <c r="M17" i="817"/>
  <c r="J14" i="817"/>
  <c r="L16" i="817"/>
  <c r="M10" i="817"/>
  <c r="J7" i="817"/>
  <c r="K8" i="817"/>
  <c r="L9" i="817"/>
  <c r="I6" i="817"/>
  <c r="I22" i="817"/>
  <c r="J23" i="817"/>
  <c r="M11" i="817"/>
  <c r="L10" i="817"/>
  <c r="I7" i="817"/>
  <c r="K9" i="817"/>
  <c r="J8" i="817"/>
  <c r="M9" i="817"/>
  <c r="L8" i="817"/>
  <c r="I5" i="817"/>
  <c r="J6" i="817"/>
  <c r="K7" i="817"/>
  <c r="L22" i="817"/>
  <c r="K21" i="817"/>
  <c r="I19" i="817"/>
  <c r="M23" i="817"/>
  <c r="J20" i="817"/>
  <c r="K23" i="817"/>
  <c r="I21" i="817"/>
  <c r="J22" i="817"/>
  <c r="K12" i="817"/>
  <c r="I10" i="817"/>
  <c r="L13" i="817"/>
  <c r="M14" i="817"/>
  <c r="J11" i="817"/>
  <c r="M20" i="817"/>
  <c r="L19" i="817"/>
  <c r="I16" i="817"/>
  <c r="K18" i="817"/>
  <c r="J17" i="817"/>
  <c r="AK19" i="817"/>
  <c r="AL19" i="817"/>
  <c r="AI19" i="817"/>
  <c r="AJ19" i="817" s="1"/>
  <c r="I20" i="817"/>
  <c r="L23" i="817"/>
  <c r="J21" i="817"/>
  <c r="K22" i="817"/>
  <c r="L20" i="817"/>
  <c r="K19" i="817"/>
  <c r="I17" i="817"/>
  <c r="M21" i="817"/>
  <c r="J18" i="817"/>
  <c r="M22" i="817"/>
  <c r="L21" i="817"/>
  <c r="J19" i="817"/>
  <c r="I18" i="817"/>
  <c r="K20" i="817"/>
  <c r="K14" i="817"/>
  <c r="M16" i="817"/>
  <c r="L15" i="817"/>
  <c r="I12" i="817"/>
  <c r="J13" i="817"/>
  <c r="M19" i="817"/>
  <c r="L18" i="817"/>
  <c r="K17" i="817"/>
  <c r="J16" i="817"/>
  <c r="I15" i="817"/>
  <c r="L14" i="817"/>
  <c r="I11" i="817"/>
  <c r="J12" i="817"/>
  <c r="M15" i="817"/>
  <c r="K13" i="817"/>
  <c r="M13" i="817"/>
  <c r="I9" i="817"/>
  <c r="L12" i="817"/>
  <c r="J10" i="817"/>
  <c r="K11" i="817"/>
  <c r="M18" i="817"/>
  <c r="L17" i="817"/>
  <c r="K16" i="817"/>
  <c r="J15" i="817"/>
  <c r="I14" i="817"/>
  <c r="L11" i="817"/>
  <c r="J9" i="817"/>
  <c r="M12" i="817"/>
  <c r="K10" i="817"/>
  <c r="I8" i="817"/>
  <c r="AK20" i="817"/>
  <c r="AI20" i="817"/>
  <c r="AJ20" i="817" s="1"/>
  <c r="AL20" i="817"/>
  <c r="AL21" i="817"/>
  <c r="AK21" i="817"/>
  <c r="AI21" i="817"/>
  <c r="AJ21" i="817" s="1"/>
  <c r="R10" i="817" l="1"/>
  <c r="J7" i="820"/>
  <c r="J9" i="820" s="1"/>
  <c r="J10" i="820" s="1"/>
  <c r="AC161" i="821"/>
  <c r="AD161" i="821" s="1"/>
  <c r="AE161" i="821" s="1"/>
  <c r="AC12" i="821"/>
  <c r="AD12" i="821" s="1"/>
  <c r="AE12" i="821" s="1"/>
  <c r="S9" i="823"/>
  <c r="AC208" i="821"/>
  <c r="AD208" i="821" s="1"/>
  <c r="AE208" i="821" s="1"/>
  <c r="AI11" i="821"/>
  <c r="AK11" i="821" s="1"/>
  <c r="AI5" i="821"/>
  <c r="AI7" i="821" s="1"/>
  <c r="AK7" i="821" s="1"/>
  <c r="AL6" i="821" s="1"/>
  <c r="AM6" i="821" s="1"/>
  <c r="R19" i="823"/>
  <c r="S19" i="823" s="1"/>
  <c r="R25" i="823"/>
  <c r="S25" i="823" s="1"/>
  <c r="S11" i="823"/>
  <c r="AC49" i="821"/>
  <c r="AD49" i="821" s="1"/>
  <c r="AE49" i="821" s="1"/>
  <c r="AC235" i="821"/>
  <c r="AD235" i="821" s="1"/>
  <c r="AE235" i="821" s="1"/>
  <c r="R12" i="823"/>
  <c r="R13" i="823" s="1"/>
  <c r="V11" i="823" s="1"/>
  <c r="V8" i="823"/>
  <c r="S8" i="823"/>
  <c r="R10" i="822"/>
  <c r="Q14" i="822"/>
  <c r="Q7" i="822" s="1"/>
  <c r="Q9" i="822" s="1"/>
  <c r="AC126" i="821"/>
  <c r="AD126" i="821" s="1"/>
  <c r="AE126" i="821" s="1"/>
  <c r="N17" i="822" a="1"/>
  <c r="N17" i="822" s="1"/>
  <c r="R8" i="822"/>
  <c r="R11" i="822"/>
  <c r="J8" i="820"/>
  <c r="K6" i="819"/>
  <c r="J6" i="819"/>
  <c r="AI14" i="817"/>
  <c r="AG7" i="817"/>
  <c r="AH15" i="817"/>
  <c r="R16" i="817"/>
  <c r="R15" i="817" s="1"/>
  <c r="S16" i="817"/>
  <c r="T8" i="823" l="1"/>
  <c r="U8" i="823" s="1"/>
  <c r="J13" i="820"/>
  <c r="J14" i="820" s="1"/>
  <c r="R12" i="822"/>
  <c r="R13" i="822" s="1"/>
  <c r="S8" i="822"/>
  <c r="R9" i="822"/>
  <c r="V8" i="822" s="1"/>
  <c r="R27" i="823"/>
  <c r="R21" i="823"/>
  <c r="S13" i="823"/>
  <c r="T11" i="823" s="1"/>
  <c r="U11" i="823" s="1"/>
  <c r="R19" i="822"/>
  <c r="S19" i="822" s="1"/>
  <c r="R25" i="822"/>
  <c r="S25" i="822" s="1"/>
  <c r="S11" i="822"/>
  <c r="S9" i="822"/>
  <c r="R26" i="823"/>
  <c r="S26" i="823" s="1"/>
  <c r="V12" i="823"/>
  <c r="R20" i="823"/>
  <c r="S20" i="823" s="1"/>
  <c r="S12" i="823"/>
  <c r="T12" i="823" s="1"/>
  <c r="U12" i="823" s="1"/>
  <c r="AL9" i="821"/>
  <c r="AM9" i="821" s="1"/>
  <c r="AL10" i="821"/>
  <c r="AM10" i="821" s="1"/>
  <c r="M4" i="819" a="1"/>
  <c r="M4" i="819" s="1"/>
  <c r="N4" i="819" s="1"/>
  <c r="T25" i="817"/>
  <c r="U25" i="817" s="1"/>
  <c r="W25" i="817"/>
  <c r="V25" i="817"/>
  <c r="T22" i="817"/>
  <c r="U22" i="817" s="1"/>
  <c r="W22" i="817"/>
  <c r="V22" i="817"/>
  <c r="W19" i="817"/>
  <c r="V19" i="817"/>
  <c r="T19" i="817"/>
  <c r="U19" i="817" s="1"/>
  <c r="AI15" i="817"/>
  <c r="AG9" i="817" s="1"/>
  <c r="AJ8" i="817"/>
  <c r="AJ6" i="817"/>
  <c r="AJ7" i="817" s="1"/>
  <c r="V24" i="817"/>
  <c r="T24" i="817"/>
  <c r="U24" i="817" s="1"/>
  <c r="W24" i="817"/>
  <c r="T21" i="817"/>
  <c r="U21" i="817" s="1"/>
  <c r="W21" i="817"/>
  <c r="V21" i="817"/>
  <c r="AG8" i="817"/>
  <c r="AG6" i="817"/>
  <c r="V20" i="817"/>
  <c r="W20" i="817"/>
  <c r="T20" i="817"/>
  <c r="U20" i="817" s="1"/>
  <c r="W23" i="817"/>
  <c r="V23" i="817"/>
  <c r="T23" i="817"/>
  <c r="U23" i="817" s="1"/>
  <c r="S21" i="823" l="1"/>
  <c r="T19" i="823" s="1"/>
  <c r="S27" i="823"/>
  <c r="T25" i="823" s="1"/>
  <c r="T8" i="822"/>
  <c r="U8" i="822" s="1"/>
  <c r="R27" i="822"/>
  <c r="R21" i="822"/>
  <c r="S13" i="822"/>
  <c r="T11" i="822" s="1"/>
  <c r="U11" i="822" s="1"/>
  <c r="V11" i="822"/>
  <c r="R26" i="822"/>
  <c r="S26" i="822" s="1"/>
  <c r="R20" i="822"/>
  <c r="S20" i="822" s="1"/>
  <c r="V12" i="822"/>
  <c r="S12" i="822"/>
  <c r="T12" i="822" s="1"/>
  <c r="U12" i="822" s="1"/>
  <c r="M8" i="819"/>
  <c r="N8" i="819" s="1"/>
  <c r="M9" i="819"/>
  <c r="N9" i="819" s="1"/>
  <c r="M11" i="819"/>
  <c r="N11" i="819" s="1"/>
  <c r="M6" i="819"/>
  <c r="N6" i="819" s="1"/>
  <c r="M12" i="819"/>
  <c r="N12" i="819" s="1"/>
  <c r="M5" i="819"/>
  <c r="N5" i="819" s="1"/>
  <c r="M13" i="819"/>
  <c r="N13" i="819" s="1"/>
  <c r="M14" i="819"/>
  <c r="N14" i="819" s="1"/>
  <c r="M7" i="819"/>
  <c r="N7" i="819" s="1"/>
  <c r="M10" i="819"/>
  <c r="N10" i="819" s="1"/>
  <c r="T14" i="817"/>
  <c r="R7" i="817"/>
  <c r="S15" i="817"/>
  <c r="AJ14" i="817"/>
  <c r="AK14" i="817" s="1"/>
  <c r="AL14" i="817" s="1"/>
  <c r="T20" i="823" l="1"/>
  <c r="T26" i="823"/>
  <c r="S21" i="822"/>
  <c r="T19" i="822" s="1"/>
  <c r="S27" i="822"/>
  <c r="T25" i="822" s="1"/>
  <c r="T15" i="817"/>
  <c r="R9" i="817" s="1"/>
  <c r="U6" i="817"/>
  <c r="U7" i="817" s="1"/>
  <c r="U8" i="817"/>
  <c r="R8" i="817"/>
  <c r="R6" i="817"/>
  <c r="X6" i="817"/>
  <c r="X8" i="817" s="1"/>
  <c r="AA9" i="817"/>
  <c r="AA12" i="817" s="1"/>
  <c r="T26" i="822" l="1"/>
  <c r="T20" i="822"/>
  <c r="U14" i="817"/>
  <c r="V14" i="817" s="1"/>
  <c r="W14" i="817" s="1"/>
  <c r="R6" i="819"/>
  <c r="Q6" i="819"/>
  <c r="T4" i="819" l="1" a="1"/>
  <c r="T14" i="819" l="1"/>
  <c r="U14" i="819" s="1"/>
  <c r="T7" i="819"/>
  <c r="U7" i="819" s="1"/>
  <c r="T12" i="819"/>
  <c r="U12" i="819" s="1"/>
  <c r="T6" i="819"/>
  <c r="U6" i="819" s="1"/>
  <c r="T11" i="819"/>
  <c r="U11" i="819" s="1"/>
  <c r="T5" i="819"/>
  <c r="U5" i="819" s="1"/>
  <c r="T10" i="819"/>
  <c r="U10" i="819" s="1"/>
  <c r="T4" i="819"/>
  <c r="U4" i="819" s="1"/>
  <c r="T9" i="819"/>
  <c r="U9" i="819" s="1"/>
  <c r="T8" i="819"/>
  <c r="U8" i="819" s="1"/>
  <c r="T13" i="819"/>
  <c r="U13" i="819" s="1"/>
  <c r="N23" i="818" l="1"/>
  <c r="N22" i="818"/>
  <c r="Y18" i="818" a="1"/>
  <c r="AA14" i="818"/>
  <c r="Z12" i="818"/>
  <c r="Z8" i="818"/>
  <c r="Z14" i="818" s="1"/>
  <c r="N7" i="818"/>
  <c r="N4" i="818"/>
  <c r="F4" i="818" a="1"/>
  <c r="F20" i="818" s="1"/>
  <c r="G20" i="818" s="1"/>
  <c r="F17" i="818" l="1"/>
  <c r="G17" i="818" s="1"/>
  <c r="F13" i="818"/>
  <c r="G13" i="818" s="1"/>
  <c r="F5" i="818"/>
  <c r="G5" i="818" s="1"/>
  <c r="F21" i="818"/>
  <c r="G21" i="818" s="1"/>
  <c r="F9" i="818"/>
  <c r="G9" i="818" s="1"/>
  <c r="N24" i="818"/>
  <c r="X6" i="819"/>
  <c r="AA4" i="819" s="1" a="1"/>
  <c r="Y6" i="819"/>
  <c r="N9" i="818"/>
  <c r="N12" i="818"/>
  <c r="Z13" i="818"/>
  <c r="Y19" i="818"/>
  <c r="Y18" i="818"/>
  <c r="F6" i="818"/>
  <c r="G6" i="818" s="1"/>
  <c r="F10" i="818"/>
  <c r="G10" i="818" s="1"/>
  <c r="F14" i="818"/>
  <c r="G14" i="818" s="1"/>
  <c r="F18" i="818"/>
  <c r="G18" i="818" s="1"/>
  <c r="F22" i="818"/>
  <c r="G22" i="818" s="1"/>
  <c r="F7" i="818"/>
  <c r="G7" i="818" s="1"/>
  <c r="F11" i="818"/>
  <c r="G11" i="818" s="1"/>
  <c r="F15" i="818"/>
  <c r="G15" i="818" s="1"/>
  <c r="F19" i="818"/>
  <c r="G19" i="818" s="1"/>
  <c r="F23" i="818"/>
  <c r="G23" i="818" s="1"/>
  <c r="F4" i="818"/>
  <c r="G4" i="818" s="1"/>
  <c r="F8" i="818"/>
  <c r="G8" i="818" s="1"/>
  <c r="F12" i="818"/>
  <c r="G12" i="818" s="1"/>
  <c r="F16" i="818"/>
  <c r="G16" i="818" s="1"/>
  <c r="AA4" i="819" l="1"/>
  <c r="AB4" i="819" s="1"/>
  <c r="AA10" i="819"/>
  <c r="AB10" i="819" s="1"/>
  <c r="AA13" i="819"/>
  <c r="AB13" i="819" s="1"/>
  <c r="AA14" i="819"/>
  <c r="AB14" i="819" s="1"/>
  <c r="AA7" i="819"/>
  <c r="AB7" i="819" s="1"/>
  <c r="AA8" i="819"/>
  <c r="AB8" i="819" s="1"/>
  <c r="AA6" i="819"/>
  <c r="AB6" i="819" s="1"/>
  <c r="AA9" i="819"/>
  <c r="AB9" i="819" s="1"/>
  <c r="AA12" i="819"/>
  <c r="AB12" i="819" s="1"/>
  <c r="AA11" i="819"/>
  <c r="AB11" i="819" s="1"/>
  <c r="AA5" i="819"/>
  <c r="AB5" i="819" s="1"/>
  <c r="AB19" i="818"/>
  <c r="AC19" i="818" s="1"/>
  <c r="AE19" i="818"/>
  <c r="AD19" i="818"/>
  <c r="N17" i="818"/>
  <c r="N19" i="818" s="1"/>
  <c r="N14" i="818"/>
  <c r="I12" i="818" a="1"/>
  <c r="I7" i="818" a="1"/>
  <c r="I17" i="818" a="1"/>
  <c r="I2" i="818" a="1"/>
  <c r="AB17" i="818"/>
  <c r="AC17" i="818" s="1"/>
  <c r="AE17" i="818"/>
  <c r="AD17" i="818"/>
  <c r="AB18" i="818"/>
  <c r="AC18" i="818" s="1"/>
  <c r="AE18" i="818"/>
  <c r="AD18" i="818"/>
  <c r="K9" i="818" l="1"/>
  <c r="J8" i="818"/>
  <c r="I7" i="818"/>
  <c r="J9" i="818"/>
  <c r="I8" i="818"/>
  <c r="I9" i="818"/>
  <c r="K7" i="818"/>
  <c r="K8" i="818"/>
  <c r="J7" i="818"/>
  <c r="J14" i="818"/>
  <c r="I13" i="818"/>
  <c r="I14" i="818"/>
  <c r="K12" i="818"/>
  <c r="K13" i="818"/>
  <c r="J12" i="818"/>
  <c r="J13" i="818"/>
  <c r="I12" i="818"/>
  <c r="K14" i="818"/>
  <c r="K4" i="818"/>
  <c r="J3" i="818"/>
  <c r="I2" i="818"/>
  <c r="I4" i="818"/>
  <c r="K2" i="818"/>
  <c r="J4" i="818"/>
  <c r="K3" i="818"/>
  <c r="I3" i="818"/>
  <c r="J2" i="818"/>
  <c r="K18" i="818"/>
  <c r="J17" i="818"/>
  <c r="K19" i="818"/>
  <c r="J18" i="818"/>
  <c r="I17" i="818"/>
  <c r="J19" i="818"/>
  <c r="I18" i="818"/>
  <c r="I19" i="818"/>
  <c r="K17" i="818"/>
  <c r="E7" i="780"/>
  <c r="E6" i="780"/>
  <c r="E8" i="780" s="1"/>
  <c r="E5" i="780"/>
  <c r="E4" i="780"/>
  <c r="P2" i="818" l="1" a="1"/>
  <c r="P7" i="818" a="1"/>
  <c r="P17" i="818" a="1"/>
  <c r="P12" i="818" a="1"/>
  <c r="E11" i="780"/>
  <c r="E7" i="815"/>
  <c r="E6" i="815"/>
  <c r="G5" i="815"/>
  <c r="G6" i="815" s="1"/>
  <c r="E5" i="815"/>
  <c r="E4" i="815"/>
  <c r="E8" i="815" s="1"/>
  <c r="Z5" i="818" l="1"/>
  <c r="AB12" i="818"/>
  <c r="AA13" i="818"/>
  <c r="R8" i="818"/>
  <c r="Q7" i="818"/>
  <c r="R9" i="818"/>
  <c r="Q8" i="818"/>
  <c r="P7" i="818"/>
  <c r="Q9" i="818"/>
  <c r="P8" i="818"/>
  <c r="P9" i="818"/>
  <c r="R7" i="818"/>
  <c r="P4" i="818"/>
  <c r="R2" i="818"/>
  <c r="R4" i="818"/>
  <c r="Q3" i="818"/>
  <c r="P2" i="818"/>
  <c r="R3" i="818"/>
  <c r="P3" i="818"/>
  <c r="Q2" i="818"/>
  <c r="Q4" i="818"/>
  <c r="P19" i="818"/>
  <c r="R17" i="818"/>
  <c r="R18" i="818"/>
  <c r="Q17" i="818"/>
  <c r="R19" i="818"/>
  <c r="Q18" i="818"/>
  <c r="P17" i="818"/>
  <c r="Q19" i="818"/>
  <c r="P18" i="818"/>
  <c r="R14" i="818"/>
  <c r="Q13" i="818"/>
  <c r="P12" i="818"/>
  <c r="Q14" i="818"/>
  <c r="P13" i="818"/>
  <c r="P14" i="818"/>
  <c r="R12" i="818"/>
  <c r="R13" i="818"/>
  <c r="Q12" i="818"/>
  <c r="E10" i="780"/>
  <c r="R10" i="780" s="1"/>
  <c r="R14" i="780"/>
  <c r="R18" i="780"/>
  <c r="R7" i="780"/>
  <c r="R15" i="780"/>
  <c r="R19" i="780"/>
  <c r="R8" i="780"/>
  <c r="R16" i="780"/>
  <c r="R20" i="780"/>
  <c r="R9" i="780"/>
  <c r="R17" i="780"/>
  <c r="R6" i="780"/>
  <c r="G7" i="815"/>
  <c r="G8" i="815" s="1"/>
  <c r="G9" i="815" s="1"/>
  <c r="G10" i="815" s="1"/>
  <c r="G11" i="815" s="1"/>
  <c r="G12" i="815" s="1"/>
  <c r="G13" i="815" s="1"/>
  <c r="G14" i="815" s="1"/>
  <c r="H4" i="815" a="1"/>
  <c r="O14" i="815"/>
  <c r="K6" i="815"/>
  <c r="O6" i="815"/>
  <c r="K7" i="815"/>
  <c r="O7" i="815"/>
  <c r="K5" i="815"/>
  <c r="O5" i="815"/>
  <c r="K4" i="815"/>
  <c r="O4" i="815"/>
  <c r="K8" i="815"/>
  <c r="O8" i="815"/>
  <c r="K9" i="815"/>
  <c r="O9" i="815"/>
  <c r="K10" i="815"/>
  <c r="O10" i="815"/>
  <c r="K11" i="815"/>
  <c r="O11" i="815"/>
  <c r="K12" i="815"/>
  <c r="O12" i="815"/>
  <c r="K13" i="815"/>
  <c r="O13" i="815"/>
  <c r="K14" i="815"/>
  <c r="G3" i="813" a="1"/>
  <c r="G3" i="813" s="1"/>
  <c r="R13" i="780" l="1"/>
  <c r="R12" i="780"/>
  <c r="R11" i="780"/>
  <c r="AE6" i="819"/>
  <c r="AH4" i="819" s="1" a="1"/>
  <c r="AH8" i="819" s="1"/>
  <c r="AI8" i="819" s="1"/>
  <c r="AF6" i="819"/>
  <c r="Z6" i="818"/>
  <c r="Z4" i="818"/>
  <c r="AB13" i="818"/>
  <c r="Z7" i="818" s="1"/>
  <c r="AC6" i="818"/>
  <c r="AC4" i="818"/>
  <c r="AC5" i="818" s="1"/>
  <c r="P22" i="818" a="1"/>
  <c r="H13" i="815"/>
  <c r="H9" i="815"/>
  <c r="H5" i="815"/>
  <c r="H12" i="815"/>
  <c r="H8" i="815"/>
  <c r="H4" i="815"/>
  <c r="H7" i="815"/>
  <c r="H14" i="815"/>
  <c r="H10" i="815"/>
  <c r="H6" i="815"/>
  <c r="H11" i="815"/>
  <c r="G6" i="813"/>
  <c r="G4" i="813"/>
  <c r="G5" i="813"/>
  <c r="B3" i="813"/>
  <c r="J2" i="813" s="1" a="1"/>
  <c r="J16" i="813" s="1"/>
  <c r="K16" i="813" s="1"/>
  <c r="AH9" i="819" l="1"/>
  <c r="AI9" i="819" s="1"/>
  <c r="AC12" i="818"/>
  <c r="AD12" i="818" s="1"/>
  <c r="AE12" i="818" s="1"/>
  <c r="AH13" i="819"/>
  <c r="AI13" i="819" s="1"/>
  <c r="AH12" i="819"/>
  <c r="AI12" i="819" s="1"/>
  <c r="AH5" i="819"/>
  <c r="AI5" i="819" s="1"/>
  <c r="AH10" i="819"/>
  <c r="AI10" i="819" s="1"/>
  <c r="AH14" i="819"/>
  <c r="AI14" i="819" s="1"/>
  <c r="AH11" i="819"/>
  <c r="AI11" i="819" s="1"/>
  <c r="AH4" i="819"/>
  <c r="AI4" i="819" s="1"/>
  <c r="AH7" i="819"/>
  <c r="AI7" i="819" s="1"/>
  <c r="AH6" i="819"/>
  <c r="AI6" i="819" s="1"/>
  <c r="Q24" i="818"/>
  <c r="P23" i="818"/>
  <c r="P24" i="818"/>
  <c r="R22" i="818"/>
  <c r="R23" i="818"/>
  <c r="Q22" i="818"/>
  <c r="R24" i="818"/>
  <c r="Q23" i="818"/>
  <c r="P22" i="818"/>
  <c r="L14" i="815"/>
  <c r="J14" i="815"/>
  <c r="I14" i="815"/>
  <c r="J5" i="815"/>
  <c r="I5" i="815"/>
  <c r="L5" i="815"/>
  <c r="L12" i="815"/>
  <c r="J12" i="815"/>
  <c r="I12" i="815"/>
  <c r="L11" i="815"/>
  <c r="J11" i="815"/>
  <c r="I11" i="815"/>
  <c r="L7" i="815"/>
  <c r="I7" i="815"/>
  <c r="J7" i="815"/>
  <c r="I6" i="815"/>
  <c r="L6" i="815"/>
  <c r="J6" i="815"/>
  <c r="J4" i="815"/>
  <c r="I4" i="815"/>
  <c r="L4" i="815"/>
  <c r="L9" i="815"/>
  <c r="J9" i="815"/>
  <c r="I9" i="815"/>
  <c r="L10" i="815"/>
  <c r="J10" i="815"/>
  <c r="I10" i="815"/>
  <c r="L8" i="815"/>
  <c r="J8" i="815"/>
  <c r="I8" i="815"/>
  <c r="L13" i="815"/>
  <c r="J13" i="815"/>
  <c r="I13" i="815"/>
  <c r="J5" i="813"/>
  <c r="K5" i="813" s="1"/>
  <c r="J9" i="813"/>
  <c r="K9" i="813" s="1"/>
  <c r="J13" i="813"/>
  <c r="K13" i="813" s="1"/>
  <c r="J17" i="813"/>
  <c r="K17" i="813" s="1"/>
  <c r="J6" i="813"/>
  <c r="K6" i="813" s="1"/>
  <c r="J14" i="813"/>
  <c r="K14" i="813" s="1"/>
  <c r="J18" i="813"/>
  <c r="K18" i="813" s="1"/>
  <c r="J3" i="813"/>
  <c r="K3" i="813" s="1"/>
  <c r="J7" i="813"/>
  <c r="K7" i="813" s="1"/>
  <c r="J11" i="813"/>
  <c r="K11" i="813" s="1"/>
  <c r="J15" i="813"/>
  <c r="K15" i="813" s="1"/>
  <c r="J19" i="813"/>
  <c r="K19" i="813" s="1"/>
  <c r="J2" i="813"/>
  <c r="K2" i="813" s="1"/>
  <c r="J10" i="813"/>
  <c r="K10" i="813" s="1"/>
  <c r="J4" i="813"/>
  <c r="K4" i="813" s="1"/>
  <c r="J8" i="813"/>
  <c r="K8" i="813" s="1"/>
  <c r="J12" i="813"/>
  <c r="K12" i="813" s="1"/>
  <c r="G4" i="812" a="1"/>
  <c r="G6" i="812" s="1"/>
  <c r="K3" i="812"/>
  <c r="L3" i="812" s="1"/>
  <c r="M3" i="812" s="1"/>
  <c r="N3" i="812" s="1"/>
  <c r="J3" i="812"/>
  <c r="B3" i="812"/>
  <c r="K5" i="809"/>
  <c r="J5" i="809"/>
  <c r="I5" i="809"/>
  <c r="H5" i="809"/>
  <c r="G5" i="809"/>
  <c r="AC3" i="809"/>
  <c r="AD3" i="809" s="1"/>
  <c r="AE3" i="809" s="1"/>
  <c r="AF3" i="809" s="1"/>
  <c r="AG3" i="809" s="1"/>
  <c r="B3" i="809"/>
  <c r="G20" i="810" a="1"/>
  <c r="G23" i="810" s="1"/>
  <c r="I16" i="810"/>
  <c r="H14" i="810"/>
  <c r="H10" i="810"/>
  <c r="H16" i="810" s="1"/>
  <c r="H15" i="810" s="1"/>
  <c r="B5" i="810"/>
  <c r="N17" i="809" l="1" a="1"/>
  <c r="G20" i="810"/>
  <c r="K20" i="813"/>
  <c r="H8" i="813" s="1"/>
  <c r="G21" i="810"/>
  <c r="N13" i="815"/>
  <c r="M13" i="815"/>
  <c r="N12" i="815"/>
  <c r="M12" i="815"/>
  <c r="N8" i="815"/>
  <c r="M8" i="815"/>
  <c r="N9" i="815"/>
  <c r="M9" i="815"/>
  <c r="N11" i="815"/>
  <c r="M11" i="815"/>
  <c r="N5" i="815"/>
  <c r="M5" i="815"/>
  <c r="N10" i="815"/>
  <c r="M10" i="815"/>
  <c r="N4" i="815"/>
  <c r="M4" i="815"/>
  <c r="M6" i="815"/>
  <c r="N6" i="815"/>
  <c r="M7" i="815"/>
  <c r="N7" i="815"/>
  <c r="N14" i="815"/>
  <c r="M14" i="815"/>
  <c r="G7" i="812"/>
  <c r="G4" i="812"/>
  <c r="G5" i="812"/>
  <c r="N18" i="809"/>
  <c r="Z5" i="809" s="1"/>
  <c r="N19" i="809"/>
  <c r="Z6" i="809" s="1"/>
  <c r="N17" i="809"/>
  <c r="Z4" i="809" s="1"/>
  <c r="N20" i="809"/>
  <c r="Z7" i="809" s="1"/>
  <c r="G22" i="810"/>
  <c r="AM6" i="819" l="1"/>
  <c r="AL6" i="819"/>
  <c r="AO4" i="819" a="1"/>
  <c r="P12" i="809"/>
  <c r="Q17" i="809"/>
  <c r="O12" i="809"/>
  <c r="Q19" i="809"/>
  <c r="Q18" i="809"/>
  <c r="Q20" i="809"/>
  <c r="P14" i="809"/>
  <c r="O8" i="809"/>
  <c r="J19" i="810"/>
  <c r="K19" i="810" s="1"/>
  <c r="M19" i="810"/>
  <c r="L19" i="810"/>
  <c r="L21" i="810"/>
  <c r="J21" i="810"/>
  <c r="K21" i="810" s="1"/>
  <c r="M21" i="810"/>
  <c r="J23" i="810"/>
  <c r="K23" i="810" s="1"/>
  <c r="M23" i="810"/>
  <c r="L23" i="810"/>
  <c r="M20" i="810"/>
  <c r="L20" i="810"/>
  <c r="J20" i="810"/>
  <c r="K20" i="810" s="1"/>
  <c r="J22" i="810"/>
  <c r="K22" i="810" s="1"/>
  <c r="M22" i="810"/>
  <c r="L22" i="810"/>
  <c r="AO13" i="819" l="1"/>
  <c r="AP13" i="819" s="1"/>
  <c r="AO10" i="819"/>
  <c r="AP10" i="819" s="1"/>
  <c r="AO8" i="819"/>
  <c r="AP8" i="819" s="1"/>
  <c r="AO11" i="819"/>
  <c r="AP11" i="819" s="1"/>
  <c r="AO7" i="819"/>
  <c r="AP7" i="819" s="1"/>
  <c r="AO5" i="819"/>
  <c r="AP5" i="819" s="1"/>
  <c r="AO12" i="819"/>
  <c r="AP12" i="819" s="1"/>
  <c r="AO4" i="819"/>
  <c r="AP4" i="819" s="1"/>
  <c r="AO6" i="819"/>
  <c r="AP6" i="819" s="1"/>
  <c r="AO14" i="819"/>
  <c r="AP14" i="819" s="1"/>
  <c r="AO9" i="819"/>
  <c r="AP9" i="819" s="1"/>
  <c r="O14" i="809"/>
  <c r="O13" i="809" s="1"/>
  <c r="R19" i="809" s="1"/>
  <c r="Q12" i="809"/>
  <c r="O5" i="809"/>
  <c r="P13" i="809"/>
  <c r="J14" i="810"/>
  <c r="H7" i="810"/>
  <c r="I15" i="810"/>
  <c r="R20" i="809" l="1"/>
  <c r="R18" i="809"/>
  <c r="Q13" i="809"/>
  <c r="O7" i="809" s="1"/>
  <c r="R17" i="809"/>
  <c r="R4" i="809"/>
  <c r="R5" i="809" s="1"/>
  <c r="O4" i="809"/>
  <c r="O6" i="809"/>
  <c r="R6" i="809"/>
  <c r="T18" i="809"/>
  <c r="S20" i="809"/>
  <c r="T17" i="809"/>
  <c r="T19" i="809"/>
  <c r="S18" i="809"/>
  <c r="S17" i="809"/>
  <c r="S19" i="809"/>
  <c r="T20" i="809"/>
  <c r="J15" i="810"/>
  <c r="H9" i="810" s="1"/>
  <c r="K8" i="810"/>
  <c r="K6" i="810"/>
  <c r="K7" i="810" s="1"/>
  <c r="H8" i="810"/>
  <c r="H6" i="810"/>
  <c r="AS6" i="819" l="1"/>
  <c r="AT6" i="819"/>
  <c r="AV4" i="819" a="1"/>
  <c r="AV11" i="819" s="1"/>
  <c r="AW11" i="819" s="1"/>
  <c r="R12" i="809"/>
  <c r="S12" i="809" s="1"/>
  <c r="T12" i="809" s="1"/>
  <c r="AV9" i="819" l="1"/>
  <c r="AW9" i="819" s="1"/>
  <c r="AV12" i="819"/>
  <c r="AW12" i="819" s="1"/>
  <c r="AV14" i="819"/>
  <c r="AW14" i="819" s="1"/>
  <c r="AV4" i="819"/>
  <c r="AW4" i="819" s="1"/>
  <c r="AV13" i="819"/>
  <c r="AW13" i="819" s="1"/>
  <c r="AV6" i="819"/>
  <c r="AW6" i="819" s="1"/>
  <c r="AV7" i="819"/>
  <c r="AW7" i="819" s="1"/>
  <c r="AV5" i="819"/>
  <c r="AW5" i="819" s="1"/>
  <c r="AV8" i="819"/>
  <c r="AW8" i="819" s="1"/>
  <c r="AV10" i="819"/>
  <c r="AW10" i="819" s="1"/>
  <c r="K14" i="810"/>
  <c r="L14" i="810" s="1"/>
  <c r="M14" i="810" s="1"/>
  <c r="B17" i="789" l="1" a="1"/>
  <c r="B18" i="789" s="1"/>
  <c r="A5" i="789"/>
  <c r="A6" i="789" s="1"/>
  <c r="A7" i="789" s="1"/>
  <c r="A8" i="789" s="1"/>
  <c r="A9" i="789" s="1"/>
  <c r="A10" i="789" s="1"/>
  <c r="A11" i="789" s="1"/>
  <c r="A12" i="789" s="1"/>
  <c r="A13" i="789" s="1"/>
  <c r="A14" i="789" s="1"/>
  <c r="AZ6" i="819" l="1"/>
  <c r="BC4" i="819" s="1" a="1"/>
  <c r="BA6" i="819"/>
  <c r="B17" i="789"/>
  <c r="E13" i="788" a="1"/>
  <c r="E13" i="788" s="1"/>
  <c r="E7" i="788" a="1"/>
  <c r="E7" i="788" s="1"/>
  <c r="K18" i="787" a="1"/>
  <c r="K19" i="787" s="1"/>
  <c r="C15" i="787"/>
  <c r="B15" i="787"/>
  <c r="A15" i="787"/>
  <c r="E3" i="787" s="1" a="1"/>
  <c r="M14" i="787"/>
  <c r="L12" i="787"/>
  <c r="L8" i="787"/>
  <c r="L14" i="787" s="1"/>
  <c r="AE11" i="784"/>
  <c r="B19" i="786"/>
  <c r="B20" i="786" s="1"/>
  <c r="E14" i="785"/>
  <c r="G14" i="785"/>
  <c r="H14" i="785"/>
  <c r="E11" i="781" a="1"/>
  <c r="E11" i="781" s="1"/>
  <c r="F5" i="781" a="1"/>
  <c r="F5" i="781" s="1"/>
  <c r="F9" i="781" a="1"/>
  <c r="F9" i="781" s="1"/>
  <c r="E9" i="781" a="1"/>
  <c r="E9" i="781" s="1"/>
  <c r="E14" i="781"/>
  <c r="E8" i="781" a="1"/>
  <c r="E8" i="781" s="1"/>
  <c r="L7" i="781"/>
  <c r="E7" i="781" a="1"/>
  <c r="E7" i="781" s="1"/>
  <c r="L6" i="781"/>
  <c r="F6" i="781" a="1"/>
  <c r="F6" i="781" s="1"/>
  <c r="E6" i="781" a="1"/>
  <c r="E6" i="781" s="1"/>
  <c r="E5" i="781" a="1"/>
  <c r="E5" i="781" s="1"/>
  <c r="F12" i="781" a="1"/>
  <c r="F12" i="781" s="1"/>
  <c r="F4" i="781" a="1"/>
  <c r="F4" i="781" s="1"/>
  <c r="E4" i="781" a="1"/>
  <c r="E4" i="781" s="1"/>
  <c r="H23" i="782"/>
  <c r="H22" i="782"/>
  <c r="G14" i="782"/>
  <c r="E14" i="782"/>
  <c r="F14" i="782"/>
  <c r="M13" i="783"/>
  <c r="L13" i="783"/>
  <c r="I13" i="783"/>
  <c r="H13" i="783"/>
  <c r="M12" i="783"/>
  <c r="L12" i="783"/>
  <c r="I12" i="783"/>
  <c r="H12" i="783"/>
  <c r="M11" i="783"/>
  <c r="L11" i="783"/>
  <c r="I11" i="783"/>
  <c r="H11" i="783"/>
  <c r="M10" i="783"/>
  <c r="L10" i="783"/>
  <c r="I10" i="783"/>
  <c r="H10" i="783"/>
  <c r="M9" i="783"/>
  <c r="L9" i="783"/>
  <c r="I9" i="783"/>
  <c r="H9" i="783"/>
  <c r="M8" i="783"/>
  <c r="L8" i="783"/>
  <c r="I8" i="783"/>
  <c r="H8" i="783"/>
  <c r="M7" i="783"/>
  <c r="L7" i="783"/>
  <c r="I7" i="783"/>
  <c r="H7" i="783"/>
  <c r="M6" i="783"/>
  <c r="L6" i="783"/>
  <c r="I6" i="783"/>
  <c r="H6" i="783"/>
  <c r="M5" i="783"/>
  <c r="L5" i="783"/>
  <c r="I5" i="783"/>
  <c r="H5" i="783"/>
  <c r="M4" i="783"/>
  <c r="P5" i="783" s="1"/>
  <c r="L4" i="783"/>
  <c r="P9" i="783" s="1"/>
  <c r="I4" i="783"/>
  <c r="M15" i="783" s="1"/>
  <c r="H4" i="783"/>
  <c r="L15" i="783" s="1"/>
  <c r="P10" i="783" s="1"/>
  <c r="K30" i="784"/>
  <c r="L29" i="784"/>
  <c r="K29" i="784"/>
  <c r="K28" i="784"/>
  <c r="L26" i="784"/>
  <c r="L25" i="784"/>
  <c r="K25" i="784"/>
  <c r="L24" i="784"/>
  <c r="K24" i="784"/>
  <c r="K23" i="784"/>
  <c r="K22" i="784"/>
  <c r="L21" i="784"/>
  <c r="K21" i="784"/>
  <c r="K15" i="784"/>
  <c r="L14" i="784"/>
  <c r="K14" i="784"/>
  <c r="K13" i="784"/>
  <c r="L30" i="784"/>
  <c r="L11" i="784"/>
  <c r="F11" i="784"/>
  <c r="L28" i="784"/>
  <c r="L10" i="784"/>
  <c r="K10" i="784"/>
  <c r="L12" i="784"/>
  <c r="K12" i="784"/>
  <c r="L9" i="784"/>
  <c r="K9" i="784"/>
  <c r="K11" i="784"/>
  <c r="K8" i="784"/>
  <c r="K7" i="784"/>
  <c r="L6" i="784"/>
  <c r="K6" i="784"/>
  <c r="L23" i="784"/>
  <c r="V5" i="784"/>
  <c r="F5" i="784"/>
  <c r="L22" i="784"/>
  <c r="I20" i="780" a="1"/>
  <c r="I20" i="780" s="1"/>
  <c r="K16" i="780"/>
  <c r="J14" i="780"/>
  <c r="J10" i="780"/>
  <c r="J16" i="780" s="1"/>
  <c r="J15" i="780" s="1"/>
  <c r="F4" i="787" l="1"/>
  <c r="E3" i="787"/>
  <c r="E5" i="787"/>
  <c r="E4" i="787"/>
  <c r="G5" i="787"/>
  <c r="F5" i="787"/>
  <c r="F3" i="787"/>
  <c r="G3" i="787"/>
  <c r="G4" i="787"/>
  <c r="BC9" i="819"/>
  <c r="BD9" i="819" s="1"/>
  <c r="BC8" i="819"/>
  <c r="BD8" i="819" s="1"/>
  <c r="BC4" i="819"/>
  <c r="BD4" i="819" s="1"/>
  <c r="BC6" i="819"/>
  <c r="BD6" i="819" s="1"/>
  <c r="BC11" i="819"/>
  <c r="BD11" i="819" s="1"/>
  <c r="BC7" i="819"/>
  <c r="BD7" i="819" s="1"/>
  <c r="BC5" i="819"/>
  <c r="BD5" i="819" s="1"/>
  <c r="BC12" i="819"/>
  <c r="BD12" i="819" s="1"/>
  <c r="BC14" i="819"/>
  <c r="BD14" i="819" s="1"/>
  <c r="BC10" i="819"/>
  <c r="BD10" i="819" s="1"/>
  <c r="BC13" i="819"/>
  <c r="BD13" i="819" s="1"/>
  <c r="I11" i="789"/>
  <c r="H4" i="789"/>
  <c r="I12" i="789"/>
  <c r="K18" i="787"/>
  <c r="L13" i="787"/>
  <c r="G6" i="782"/>
  <c r="G6" i="781"/>
  <c r="P7" i="783"/>
  <c r="I9" i="789"/>
  <c r="G9" i="789"/>
  <c r="H9" i="789"/>
  <c r="I13" i="789"/>
  <c r="H13" i="789"/>
  <c r="G13" i="789"/>
  <c r="I7" i="789"/>
  <c r="G7" i="789"/>
  <c r="H7" i="789"/>
  <c r="I6" i="789"/>
  <c r="G6" i="789"/>
  <c r="H6" i="789"/>
  <c r="I14" i="789"/>
  <c r="H14" i="789"/>
  <c r="G14" i="789"/>
  <c r="I8" i="789"/>
  <c r="G8" i="789"/>
  <c r="H8" i="789"/>
  <c r="I5" i="789"/>
  <c r="G5" i="789"/>
  <c r="H5" i="789"/>
  <c r="I10" i="789"/>
  <c r="G10" i="789"/>
  <c r="H10" i="789"/>
  <c r="E14" i="788"/>
  <c r="E8" i="788"/>
  <c r="F7" i="784"/>
  <c r="F10" i="784"/>
  <c r="AE12" i="784"/>
  <c r="G4" i="785"/>
  <c r="G10" i="785"/>
  <c r="G5" i="785"/>
  <c r="G13" i="785"/>
  <c r="G9" i="785"/>
  <c r="G12" i="785"/>
  <c r="G11" i="785"/>
  <c r="G8" i="785"/>
  <c r="G7" i="785"/>
  <c r="G6" i="785"/>
  <c r="E12" i="785"/>
  <c r="E11" i="785"/>
  <c r="E8" i="785"/>
  <c r="E7" i="785"/>
  <c r="E6" i="785"/>
  <c r="E13" i="785"/>
  <c r="E10" i="785"/>
  <c r="E5" i="785"/>
  <c r="E4" i="785"/>
  <c r="E9" i="785"/>
  <c r="F14" i="785"/>
  <c r="H6" i="785" s="1"/>
  <c r="W12" i="781"/>
  <c r="G9" i="781"/>
  <c r="G4" i="781"/>
  <c r="G5" i="781"/>
  <c r="F13" i="781" a="1"/>
  <c r="F13" i="781" s="1"/>
  <c r="F14" i="781"/>
  <c r="J7" i="781" s="1"/>
  <c r="F7" i="781" a="1"/>
  <c r="F7" i="781" s="1"/>
  <c r="G7" i="781" s="1"/>
  <c r="E10" i="781" a="1"/>
  <c r="E10" i="781" s="1"/>
  <c r="E12" i="781" a="1"/>
  <c r="E12" i="781" s="1"/>
  <c r="G12" i="781" s="1"/>
  <c r="X6" i="781"/>
  <c r="F8" i="781" a="1"/>
  <c r="F8" i="781" s="1"/>
  <c r="G8" i="781" s="1"/>
  <c r="F11" i="781" a="1"/>
  <c r="F11" i="781" s="1"/>
  <c r="G11" i="781" s="1"/>
  <c r="E13" i="781" a="1"/>
  <c r="E13" i="781" s="1"/>
  <c r="F10" i="781" a="1"/>
  <c r="F10" i="781" s="1"/>
  <c r="F11" i="782"/>
  <c r="F10" i="782"/>
  <c r="F13" i="782"/>
  <c r="F12" i="782"/>
  <c r="F9" i="782"/>
  <c r="F8" i="782"/>
  <c r="F6" i="782"/>
  <c r="F5" i="782"/>
  <c r="F4" i="782"/>
  <c r="F7" i="782"/>
  <c r="E13" i="782"/>
  <c r="E12" i="782"/>
  <c r="E9" i="782"/>
  <c r="E8" i="782"/>
  <c r="E11" i="782"/>
  <c r="E10" i="782"/>
  <c r="E7" i="782"/>
  <c r="I14" i="782"/>
  <c r="E6" i="782"/>
  <c r="E5" i="782"/>
  <c r="E4" i="782"/>
  <c r="G8" i="782"/>
  <c r="G7" i="782"/>
  <c r="G10" i="782"/>
  <c r="G11" i="782"/>
  <c r="H28" i="782"/>
  <c r="H29" i="782" s="1"/>
  <c r="G9" i="782"/>
  <c r="G12" i="782"/>
  <c r="G13" i="782"/>
  <c r="H14" i="782"/>
  <c r="G4" i="782"/>
  <c r="G5" i="782"/>
  <c r="P4" i="783"/>
  <c r="P8" i="783" s="1"/>
  <c r="P6" i="783"/>
  <c r="F6" i="784"/>
  <c r="F9" i="784" s="1"/>
  <c r="L7" i="784"/>
  <c r="K27" i="784"/>
  <c r="L8" i="784"/>
  <c r="L13" i="784"/>
  <c r="L15" i="784"/>
  <c r="L27" i="784"/>
  <c r="F8" i="784"/>
  <c r="K26" i="784"/>
  <c r="I4" i="789" l="1"/>
  <c r="N4" i="789" s="1"/>
  <c r="H11" i="789"/>
  <c r="G12" i="789"/>
  <c r="G11" i="789"/>
  <c r="H12" i="789"/>
  <c r="G4" i="789"/>
  <c r="L10" i="789" s="1"/>
  <c r="P12" i="783"/>
  <c r="P11" i="783" s="1"/>
  <c r="H7" i="785"/>
  <c r="H13" i="788"/>
  <c r="H14" i="788" s="1"/>
  <c r="L14" i="788" s="1"/>
  <c r="N11" i="789"/>
  <c r="H12" i="785"/>
  <c r="H4" i="785"/>
  <c r="F13" i="784"/>
  <c r="H6" i="788"/>
  <c r="H7" i="788" s="1"/>
  <c r="H8" i="788" s="1"/>
  <c r="L8" i="788" s="1"/>
  <c r="I14" i="788"/>
  <c r="I13" i="788"/>
  <c r="I8" i="788"/>
  <c r="I7" i="788"/>
  <c r="I6" i="788"/>
  <c r="N17" i="787"/>
  <c r="O17" i="787" s="1"/>
  <c r="Q17" i="787"/>
  <c r="P17" i="787"/>
  <c r="N18" i="787"/>
  <c r="O18" i="787" s="1"/>
  <c r="P18" i="787"/>
  <c r="Q18" i="787"/>
  <c r="N19" i="787"/>
  <c r="O19" i="787" s="1"/>
  <c r="Q19" i="787"/>
  <c r="P19" i="787"/>
  <c r="F9" i="787"/>
  <c r="F8" i="787"/>
  <c r="AE13" i="784"/>
  <c r="F10" i="785"/>
  <c r="F5" i="785"/>
  <c r="F12" i="785"/>
  <c r="F11" i="785"/>
  <c r="F8" i="785"/>
  <c r="F4" i="785"/>
  <c r="F13" i="785"/>
  <c r="F9" i="785"/>
  <c r="F7" i="785"/>
  <c r="F6" i="785"/>
  <c r="H5" i="785"/>
  <c r="H8" i="785"/>
  <c r="H9" i="785"/>
  <c r="I14" i="785"/>
  <c r="H10" i="785"/>
  <c r="H11" i="785"/>
  <c r="H13" i="785"/>
  <c r="Y13" i="781"/>
  <c r="X7" i="781"/>
  <c r="AB7" i="781" s="1"/>
  <c r="X12" i="781"/>
  <c r="X13" i="781" s="1"/>
  <c r="AB13" i="781" s="1"/>
  <c r="Y6" i="781"/>
  <c r="Z6" i="781" s="1"/>
  <c r="AB6" i="781"/>
  <c r="AA6" i="781"/>
  <c r="G10" i="781"/>
  <c r="Y7" i="781"/>
  <c r="V12" i="781"/>
  <c r="G13" i="781"/>
  <c r="I13" i="782"/>
  <c r="I12" i="782"/>
  <c r="I9" i="782"/>
  <c r="I8" i="782"/>
  <c r="I6" i="782"/>
  <c r="I5" i="782"/>
  <c r="I4" i="782"/>
  <c r="I11" i="782"/>
  <c r="I10" i="782"/>
  <c r="I7" i="782"/>
  <c r="I28" i="782"/>
  <c r="J28" i="782" s="1"/>
  <c r="K28" i="782"/>
  <c r="L28" i="782"/>
  <c r="L29" i="782"/>
  <c r="K29" i="782"/>
  <c r="I29" i="782"/>
  <c r="J29" i="782" s="1"/>
  <c r="H11" i="782"/>
  <c r="H10" i="782"/>
  <c r="H7" i="782"/>
  <c r="K14" i="782"/>
  <c r="J6" i="781" s="1"/>
  <c r="H4" i="782"/>
  <c r="H13" i="782"/>
  <c r="H12" i="782"/>
  <c r="H9" i="782"/>
  <c r="H8" i="782"/>
  <c r="H6" i="782"/>
  <c r="H5" i="782"/>
  <c r="F12" i="784"/>
  <c r="O19" i="780"/>
  <c r="L19" i="780"/>
  <c r="M19" i="780" s="1"/>
  <c r="N19" i="780"/>
  <c r="L20" i="780"/>
  <c r="M20" i="780" s="1"/>
  <c r="O20" i="780"/>
  <c r="N20" i="780"/>
  <c r="BG6" i="819" l="1"/>
  <c r="BJ4" i="819" s="1" a="1"/>
  <c r="BH6" i="819"/>
  <c r="M12" i="789"/>
  <c r="M4" i="789"/>
  <c r="N6" i="789"/>
  <c r="N9" i="789"/>
  <c r="N13" i="789"/>
  <c r="N5" i="789"/>
  <c r="M10" i="789"/>
  <c r="M13" i="789"/>
  <c r="N12" i="789"/>
  <c r="M8" i="789"/>
  <c r="M9" i="789"/>
  <c r="N14" i="789"/>
  <c r="M6" i="789"/>
  <c r="M5" i="789"/>
  <c r="N7" i="789"/>
  <c r="L7" i="789"/>
  <c r="M11" i="789"/>
  <c r="N8" i="789"/>
  <c r="M14" i="789"/>
  <c r="L6" i="789"/>
  <c r="N10" i="789"/>
  <c r="L9" i="789"/>
  <c r="M7" i="789"/>
  <c r="L14" i="789"/>
  <c r="L4" i="789"/>
  <c r="L13" i="789"/>
  <c r="L5" i="789"/>
  <c r="L12" i="789"/>
  <c r="L8" i="789"/>
  <c r="L11" i="789"/>
  <c r="J14" i="788"/>
  <c r="G16" i="781"/>
  <c r="G17" i="781" s="1"/>
  <c r="K7" i="781" s="1"/>
  <c r="M7" i="781" s="1"/>
  <c r="N7" i="781" s="1"/>
  <c r="K5" i="782"/>
  <c r="J5" i="782" s="1"/>
  <c r="K12" i="782"/>
  <c r="J12" i="782" s="1"/>
  <c r="K7" i="782"/>
  <c r="J7" i="782" s="1"/>
  <c r="Z7" i="781"/>
  <c r="K13" i="788"/>
  <c r="K8" i="788"/>
  <c r="K14" i="788"/>
  <c r="K9" i="782"/>
  <c r="J9" i="782" s="1"/>
  <c r="K6" i="782"/>
  <c r="J6" i="782" s="1"/>
  <c r="K13" i="782"/>
  <c r="J13" i="782" s="1"/>
  <c r="K10" i="782"/>
  <c r="J10" i="782" s="1"/>
  <c r="J13" i="788"/>
  <c r="L13" i="788"/>
  <c r="J6" i="788"/>
  <c r="L7" i="788"/>
  <c r="K7" i="788"/>
  <c r="J8" i="788"/>
  <c r="K6" i="788"/>
  <c r="J7" i="788"/>
  <c r="AA7" i="781"/>
  <c r="F7" i="787" a="1"/>
  <c r="F7" i="787" s="1"/>
  <c r="L6" i="788"/>
  <c r="N12" i="787"/>
  <c r="L5" i="787"/>
  <c r="M13" i="787"/>
  <c r="AE14" i="784"/>
  <c r="I12" i="785"/>
  <c r="K12" i="785" s="1"/>
  <c r="J12" i="785" s="1"/>
  <c r="L12" i="785" s="1"/>
  <c r="I11" i="785"/>
  <c r="K11" i="785" s="1"/>
  <c r="J11" i="785" s="1"/>
  <c r="L11" i="785" s="1"/>
  <c r="I8" i="785"/>
  <c r="K8" i="785" s="1"/>
  <c r="J8" i="785" s="1"/>
  <c r="L8" i="785" s="1"/>
  <c r="I7" i="785"/>
  <c r="K7" i="785" s="1"/>
  <c r="J7" i="785" s="1"/>
  <c r="L7" i="785" s="1"/>
  <c r="I6" i="785"/>
  <c r="K6" i="785" s="1"/>
  <c r="J6" i="785" s="1"/>
  <c r="L6" i="785" s="1"/>
  <c r="I10" i="785"/>
  <c r="K10" i="785" s="1"/>
  <c r="J10" i="785" s="1"/>
  <c r="L10" i="785" s="1"/>
  <c r="I5" i="785"/>
  <c r="K5" i="785" s="1"/>
  <c r="J5" i="785" s="1"/>
  <c r="L5" i="785" s="1"/>
  <c r="I4" i="785"/>
  <c r="K4" i="785" s="1"/>
  <c r="J4" i="785" s="1"/>
  <c r="L4" i="785" s="1"/>
  <c r="I13" i="785"/>
  <c r="I9" i="785"/>
  <c r="K9" i="785" s="1"/>
  <c r="J9" i="785" s="1"/>
  <c r="L9" i="785" s="1"/>
  <c r="K14" i="785"/>
  <c r="K13" i="785"/>
  <c r="J13" i="785" s="1"/>
  <c r="L13" i="785" s="1"/>
  <c r="P7" i="781"/>
  <c r="O7" i="781"/>
  <c r="AA13" i="781"/>
  <c r="AA12" i="781"/>
  <c r="Y12" i="781"/>
  <c r="Z12" i="781" s="1"/>
  <c r="AB12" i="781"/>
  <c r="Z13" i="781"/>
  <c r="F23" i="782"/>
  <c r="J14" i="782"/>
  <c r="F22" i="782" s="1"/>
  <c r="K8" i="782"/>
  <c r="J8" i="782" s="1"/>
  <c r="K4" i="782"/>
  <c r="K11" i="782"/>
  <c r="J11" i="782" s="1"/>
  <c r="M12" i="784"/>
  <c r="P12" i="784" s="1"/>
  <c r="M8" i="784"/>
  <c r="P8" i="784" s="1"/>
  <c r="M15" i="784"/>
  <c r="P15" i="784" s="1"/>
  <c r="M14" i="784"/>
  <c r="P14" i="784" s="1"/>
  <c r="M13" i="784"/>
  <c r="P13" i="784" s="1"/>
  <c r="M9" i="784"/>
  <c r="P9" i="784" s="1"/>
  <c r="M11" i="784"/>
  <c r="P11" i="784" s="1"/>
  <c r="M7" i="784"/>
  <c r="P7" i="784" s="1"/>
  <c r="M10" i="784"/>
  <c r="P10" i="784" s="1"/>
  <c r="M6" i="784"/>
  <c r="P6" i="784" s="1"/>
  <c r="K15" i="780"/>
  <c r="L14" i="780"/>
  <c r="J7" i="780"/>
  <c r="BJ11" i="819" l="1"/>
  <c r="BK11" i="819" s="1"/>
  <c r="BJ9" i="819"/>
  <c r="BK9" i="819" s="1"/>
  <c r="BJ5" i="819"/>
  <c r="BK5" i="819" s="1"/>
  <c r="BJ10" i="819"/>
  <c r="BK10" i="819" s="1"/>
  <c r="BJ12" i="819"/>
  <c r="BK12" i="819" s="1"/>
  <c r="BJ8" i="819"/>
  <c r="BK8" i="819" s="1"/>
  <c r="BJ7" i="819"/>
  <c r="BK7" i="819" s="1"/>
  <c r="BJ14" i="819"/>
  <c r="BK14" i="819" s="1"/>
  <c r="BJ4" i="819"/>
  <c r="BK4" i="819" s="1"/>
  <c r="BJ13" i="819"/>
  <c r="BK13" i="819" s="1"/>
  <c r="BJ6" i="819"/>
  <c r="BK6" i="819" s="1"/>
  <c r="R14" i="789"/>
  <c r="S9" i="789"/>
  <c r="R5" i="789"/>
  <c r="S14" i="789"/>
  <c r="S10" i="789"/>
  <c r="R6" i="789"/>
  <c r="S12" i="789"/>
  <c r="R12" i="789"/>
  <c r="S5" i="789"/>
  <c r="R8" i="789"/>
  <c r="R11" i="789"/>
  <c r="S4" i="789"/>
  <c r="S13" i="789"/>
  <c r="S11" i="789"/>
  <c r="R4" i="789"/>
  <c r="R13" i="789"/>
  <c r="R7" i="789"/>
  <c r="R9" i="789"/>
  <c r="R10" i="789"/>
  <c r="Q6" i="789"/>
  <c r="Q14" i="789"/>
  <c r="Q10" i="789"/>
  <c r="S7" i="789"/>
  <c r="S8" i="789"/>
  <c r="Q7" i="789"/>
  <c r="Q13" i="789"/>
  <c r="S6" i="789"/>
  <c r="Q9" i="789"/>
  <c r="Q5" i="789"/>
  <c r="Q8" i="789"/>
  <c r="Q11" i="789"/>
  <c r="Q12" i="789"/>
  <c r="Q4" i="789"/>
  <c r="O6" i="787"/>
  <c r="O4" i="787"/>
  <c r="O5" i="787" s="1"/>
  <c r="N13" i="787"/>
  <c r="L7" i="787" s="1"/>
  <c r="L6" i="787"/>
  <c r="L4" i="787"/>
  <c r="AE15" i="784"/>
  <c r="L16" i="785"/>
  <c r="L17" i="785" s="1"/>
  <c r="J14" i="785"/>
  <c r="L14" i="785" s="1"/>
  <c r="K16" i="782"/>
  <c r="K17" i="782" s="1"/>
  <c r="J4" i="782"/>
  <c r="J16" i="782" s="1"/>
  <c r="J17" i="782" s="1"/>
  <c r="G22" i="782" s="1"/>
  <c r="K22" i="782" s="1"/>
  <c r="N7" i="784"/>
  <c r="Q7" i="784" s="1"/>
  <c r="O7" i="784"/>
  <c r="R7" i="784" s="1"/>
  <c r="O14" i="784"/>
  <c r="R14" i="784" s="1"/>
  <c r="N14" i="784"/>
  <c r="Q14" i="784" s="1"/>
  <c r="O11" i="784"/>
  <c r="R11" i="784" s="1"/>
  <c r="N11" i="784"/>
  <c r="Q11" i="784" s="1"/>
  <c r="N15" i="784"/>
  <c r="Q15" i="784" s="1"/>
  <c r="O15" i="784"/>
  <c r="R15" i="784" s="1"/>
  <c r="O6" i="784"/>
  <c r="R6" i="784" s="1"/>
  <c r="P16" i="784"/>
  <c r="N6" i="784"/>
  <c r="Q6" i="784" s="1"/>
  <c r="O9" i="784"/>
  <c r="R9" i="784" s="1"/>
  <c r="N9" i="784"/>
  <c r="Q9" i="784" s="1"/>
  <c r="O8" i="784"/>
  <c r="R8" i="784" s="1"/>
  <c r="N8" i="784"/>
  <c r="Q8" i="784" s="1"/>
  <c r="O10" i="784"/>
  <c r="R10" i="784" s="1"/>
  <c r="N10" i="784"/>
  <c r="Q10" i="784" s="1"/>
  <c r="O13" i="784"/>
  <c r="R13" i="784" s="1"/>
  <c r="N13" i="784"/>
  <c r="Q13" i="784" s="1"/>
  <c r="O12" i="784"/>
  <c r="R12" i="784" s="1"/>
  <c r="N12" i="784"/>
  <c r="Q12" i="784" s="1"/>
  <c r="J6" i="780"/>
  <c r="J8" i="780"/>
  <c r="M8" i="780"/>
  <c r="L15" i="780"/>
  <c r="J9" i="780" s="1"/>
  <c r="M6" i="780"/>
  <c r="M7" i="780" s="1"/>
  <c r="W8" i="789" l="1"/>
  <c r="X10" i="789"/>
  <c r="W7" i="789"/>
  <c r="X5" i="789"/>
  <c r="W9" i="789"/>
  <c r="W6" i="789"/>
  <c r="X6" i="789"/>
  <c r="X7" i="789"/>
  <c r="X4" i="789"/>
  <c r="W13" i="789"/>
  <c r="W11" i="789"/>
  <c r="W5" i="789"/>
  <c r="X8" i="789"/>
  <c r="W12" i="789"/>
  <c r="W14" i="789"/>
  <c r="X13" i="789"/>
  <c r="W10" i="789"/>
  <c r="W4" i="789"/>
  <c r="X14" i="789"/>
  <c r="V10" i="789"/>
  <c r="X12" i="789"/>
  <c r="V12" i="789"/>
  <c r="X11" i="789"/>
  <c r="V8" i="789"/>
  <c r="V5" i="789"/>
  <c r="X9" i="789"/>
  <c r="V7" i="789"/>
  <c r="V11" i="789"/>
  <c r="V9" i="789"/>
  <c r="V4" i="789"/>
  <c r="V14" i="789"/>
  <c r="V13" i="789"/>
  <c r="V6" i="789"/>
  <c r="S8" i="784"/>
  <c r="S14" i="784"/>
  <c r="S12" i="784"/>
  <c r="G23" i="782"/>
  <c r="K23" i="782" s="1"/>
  <c r="K6" i="781"/>
  <c r="S9" i="784"/>
  <c r="S11" i="784"/>
  <c r="S13" i="784"/>
  <c r="O12" i="787"/>
  <c r="P12" i="787" s="1"/>
  <c r="Q12" i="787" s="1"/>
  <c r="S7" i="784"/>
  <c r="Q16" i="784"/>
  <c r="S15" i="784"/>
  <c r="S10" i="784"/>
  <c r="AE16" i="784"/>
  <c r="C17" i="785"/>
  <c r="L23" i="782"/>
  <c r="I22" i="782"/>
  <c r="J22" i="782" s="1"/>
  <c r="I23" i="782"/>
  <c r="J23" i="782" s="1"/>
  <c r="L22" i="782"/>
  <c r="R16" i="784"/>
  <c r="S6" i="784"/>
  <c r="M14" i="780"/>
  <c r="N14" i="780" s="1"/>
  <c r="O14" i="780" s="1"/>
  <c r="BO6" i="819" l="1"/>
  <c r="BN6" i="819"/>
  <c r="BQ4" i="819" s="1" a="1"/>
  <c r="BQ8" i="819" s="1"/>
  <c r="BR8" i="819" s="1"/>
  <c r="AC10" i="789"/>
  <c r="AB9" i="789"/>
  <c r="AB8" i="789"/>
  <c r="AC7" i="789"/>
  <c r="AC14" i="789"/>
  <c r="AC12" i="789"/>
  <c r="AB5" i="789"/>
  <c r="AB10" i="789"/>
  <c r="AB14" i="789"/>
  <c r="AA13" i="789"/>
  <c r="AB7" i="789"/>
  <c r="AC5" i="789"/>
  <c r="AC9" i="789"/>
  <c r="AB6" i="789"/>
  <c r="AB13" i="789"/>
  <c r="AB12" i="789"/>
  <c r="AC8" i="789"/>
  <c r="AC13" i="789"/>
  <c r="AC11" i="789"/>
  <c r="AB11" i="789"/>
  <c r="AB4" i="789"/>
  <c r="AA14" i="789"/>
  <c r="AC6" i="789"/>
  <c r="AA4" i="789"/>
  <c r="AC4" i="789"/>
  <c r="AA9" i="789"/>
  <c r="AA5" i="789"/>
  <c r="AA6" i="789"/>
  <c r="AA10" i="789"/>
  <c r="AA8" i="789"/>
  <c r="AA12" i="789"/>
  <c r="AA11" i="789"/>
  <c r="AA7" i="789"/>
  <c r="P6" i="781"/>
  <c r="M6" i="781"/>
  <c r="N6" i="781" s="1"/>
  <c r="O6" i="781"/>
  <c r="AF7" i="784"/>
  <c r="AF5" i="784"/>
  <c r="AG5" i="784" s="1"/>
  <c r="AF6" i="784"/>
  <c r="AE17" i="784"/>
  <c r="V9" i="784"/>
  <c r="S16" i="784"/>
  <c r="BQ12" i="819" l="1"/>
  <c r="BR12" i="819" s="1"/>
  <c r="BQ7" i="819"/>
  <c r="BR7" i="819" s="1"/>
  <c r="BQ14" i="819"/>
  <c r="BR14" i="819" s="1"/>
  <c r="BQ6" i="819"/>
  <c r="BR6" i="819" s="1"/>
  <c r="BQ5" i="819"/>
  <c r="BR5" i="819" s="1"/>
  <c r="BQ10" i="819"/>
  <c r="BR10" i="819" s="1"/>
  <c r="BQ11" i="819"/>
  <c r="BR11" i="819" s="1"/>
  <c r="BQ9" i="819"/>
  <c r="BR9" i="819" s="1"/>
  <c r="BQ4" i="819"/>
  <c r="BR4" i="819" s="1"/>
  <c r="BQ13" i="819"/>
  <c r="BR13" i="819" s="1"/>
  <c r="D16" i="789"/>
  <c r="D17" i="789"/>
  <c r="D18" i="789"/>
  <c r="AH11" i="784"/>
  <c r="AH13" i="784"/>
  <c r="AE18" i="784"/>
  <c r="AG17" i="784"/>
  <c r="AH12" i="784"/>
  <c r="AH17" i="784"/>
  <c r="AH15" i="784"/>
  <c r="AG10" i="784"/>
  <c r="AG11" i="784"/>
  <c r="AG12" i="784"/>
  <c r="AG13" i="784"/>
  <c r="AG14" i="784"/>
  <c r="AG15" i="784"/>
  <c r="AH16" i="784"/>
  <c r="AH14" i="784"/>
  <c r="AG16" i="784"/>
  <c r="AH18" i="784"/>
  <c r="AH19" i="784"/>
  <c r="AH10" i="784"/>
  <c r="AE19" i="784" l="1"/>
  <c r="AG19" i="784" s="1"/>
  <c r="AG18" i="784"/>
  <c r="BU6" i="819" l="1"/>
  <c r="BV6" i="819"/>
  <c r="F20" i="777" a="1"/>
  <c r="F20" i="777" s="1"/>
  <c r="F19" i="777"/>
  <c r="H16" i="777"/>
  <c r="G14" i="777"/>
  <c r="G10" i="777"/>
  <c r="G16" i="777" s="1"/>
  <c r="BX4" i="819" l="1" a="1"/>
  <c r="G15" i="777"/>
  <c r="F21" i="777"/>
  <c r="K6" i="777"/>
  <c r="K8" i="777" s="1"/>
  <c r="BX8" i="819" l="1"/>
  <c r="BY8" i="819" s="1"/>
  <c r="BX9" i="819"/>
  <c r="BY9" i="819" s="1"/>
  <c r="BX4" i="819"/>
  <c r="BY4" i="819" s="1"/>
  <c r="BX14" i="819"/>
  <c r="BY14" i="819" s="1"/>
  <c r="BX13" i="819"/>
  <c r="BY13" i="819" s="1"/>
  <c r="BX7" i="819"/>
  <c r="BY7" i="819" s="1"/>
  <c r="BX11" i="819"/>
  <c r="BY11" i="819" s="1"/>
  <c r="BX6" i="819"/>
  <c r="BY6" i="819" s="1"/>
  <c r="BX12" i="819"/>
  <c r="BY12" i="819" s="1"/>
  <c r="BX10" i="819"/>
  <c r="BY10" i="819" s="1"/>
  <c r="BX5" i="819"/>
  <c r="BY5" i="819" s="1"/>
  <c r="K19" i="777"/>
  <c r="I19" i="777"/>
  <c r="J19" i="777" s="1"/>
  <c r="L19" i="777"/>
  <c r="I20" i="777"/>
  <c r="J20" i="777" s="1"/>
  <c r="K20" i="777"/>
  <c r="L20" i="777"/>
  <c r="K21" i="777"/>
  <c r="I21" i="777"/>
  <c r="J21" i="777" s="1"/>
  <c r="L21" i="777"/>
  <c r="H6" i="762" a="1"/>
  <c r="H6" i="762" s="1"/>
  <c r="H7" i="762" l="1"/>
  <c r="CC6" i="819" l="1"/>
  <c r="CB6" i="819"/>
  <c r="CE4" i="819" l="1" a="1"/>
  <c r="CE4" i="819" l="1"/>
  <c r="CF4" i="819" s="1"/>
  <c r="CE11" i="819"/>
  <c r="CF11" i="819" s="1"/>
  <c r="CE9" i="819"/>
  <c r="CF9" i="819" s="1"/>
  <c r="CE7" i="819"/>
  <c r="CF7" i="819" s="1"/>
  <c r="CE6" i="819"/>
  <c r="CF6" i="819" s="1"/>
  <c r="CE14" i="819"/>
  <c r="CF14" i="819" s="1"/>
  <c r="CE12" i="819"/>
  <c r="CF12" i="819" s="1"/>
  <c r="CE10" i="819"/>
  <c r="CF10" i="819" s="1"/>
  <c r="CE13" i="819"/>
  <c r="CF13" i="819" s="1"/>
  <c r="CE5" i="819"/>
  <c r="CF5" i="819" s="1"/>
  <c r="CE8" i="819"/>
  <c r="CF8" i="819" s="1"/>
  <c r="CI6" i="819" l="1"/>
  <c r="CJ6" i="819"/>
  <c r="CL4" i="819" a="1"/>
  <c r="CL12" i="819" l="1"/>
  <c r="CM12" i="819" s="1"/>
  <c r="CL8" i="819"/>
  <c r="CM8" i="819" s="1"/>
  <c r="CL9" i="819"/>
  <c r="CM9" i="819" s="1"/>
  <c r="CL10" i="819"/>
  <c r="CM10" i="819" s="1"/>
  <c r="CL13" i="819"/>
  <c r="CM13" i="819" s="1"/>
  <c r="CL11" i="819"/>
  <c r="CM11" i="819" s="1"/>
  <c r="CL7" i="819"/>
  <c r="CM7" i="819" s="1"/>
  <c r="CL6" i="819"/>
  <c r="CM6" i="819" s="1"/>
  <c r="CL14" i="819"/>
  <c r="CM14" i="819" s="1"/>
  <c r="CL5" i="819"/>
  <c r="CM5" i="819" s="1"/>
  <c r="CL4" i="819"/>
  <c r="CM4" i="819" s="1"/>
  <c r="W16" i="769" l="1"/>
  <c r="V10" i="769"/>
  <c r="V16" i="769" s="1"/>
  <c r="N7" i="769"/>
  <c r="O7" i="769"/>
  <c r="P7" i="769"/>
  <c r="I7" i="769"/>
  <c r="J7" i="769" s="1"/>
  <c r="K7" i="769" s="1"/>
  <c r="M7" i="769"/>
  <c r="V17" i="770"/>
  <c r="U11" i="770"/>
  <c r="U17" i="770" s="1"/>
  <c r="H5" i="770"/>
  <c r="I5" i="770" s="1"/>
  <c r="J5" i="770" s="1"/>
  <c r="CP6" i="819" l="1"/>
  <c r="CQ6" i="819"/>
  <c r="R8" i="769"/>
  <c r="S8" i="769" s="1"/>
  <c r="K9" i="769" s="1"/>
  <c r="Q6" i="770"/>
  <c r="R6" i="770" s="1"/>
  <c r="G7" i="770" s="1"/>
  <c r="CS4" i="819" l="1" a="1"/>
  <c r="H9" i="769"/>
  <c r="J9" i="769"/>
  <c r="I9" i="769"/>
  <c r="I7" i="770"/>
  <c r="J7" i="770"/>
  <c r="H7" i="770"/>
  <c r="CS14" i="819" l="1"/>
  <c r="CT14" i="819" s="1"/>
  <c r="CS13" i="819"/>
  <c r="CT13" i="819" s="1"/>
  <c r="CS9" i="819"/>
  <c r="CT9" i="819" s="1"/>
  <c r="CS10" i="819"/>
  <c r="CT10" i="819" s="1"/>
  <c r="CS8" i="819"/>
  <c r="CT8" i="819" s="1"/>
  <c r="CS6" i="819"/>
  <c r="CT6" i="819" s="1"/>
  <c r="CS7" i="819"/>
  <c r="CT7" i="819" s="1"/>
  <c r="CS4" i="819"/>
  <c r="CT4" i="819" s="1"/>
  <c r="CS5" i="819"/>
  <c r="CT5" i="819" s="1"/>
  <c r="CS12" i="819"/>
  <c r="CT12" i="819" s="1"/>
  <c r="CS11" i="819"/>
  <c r="CT11" i="819" s="1"/>
  <c r="H10" i="769"/>
  <c r="J10" i="769"/>
  <c r="K10" i="769"/>
  <c r="J8" i="770"/>
  <c r="I8" i="770"/>
  <c r="G8" i="770"/>
  <c r="H8" i="770"/>
  <c r="I10" i="769"/>
  <c r="CX6" i="819" l="1"/>
  <c r="CW6" i="819"/>
  <c r="R10" i="769"/>
  <c r="S10" i="769" s="1"/>
  <c r="J11" i="769" s="1"/>
  <c r="Q8" i="770"/>
  <c r="R8" i="770" s="1"/>
  <c r="I9" i="770" s="1"/>
  <c r="I11" i="769" l="1"/>
  <c r="K11" i="769"/>
  <c r="H11" i="769"/>
  <c r="J9" i="770"/>
  <c r="H9" i="770"/>
  <c r="G9" i="770"/>
  <c r="J12" i="769" l="1"/>
  <c r="H12" i="769"/>
  <c r="I12" i="769"/>
  <c r="K12" i="769"/>
  <c r="G10" i="770"/>
  <c r="I10" i="770"/>
  <c r="J10" i="770"/>
  <c r="H10" i="770"/>
  <c r="R12" i="769" l="1"/>
  <c r="S12" i="769" s="1"/>
  <c r="J13" i="769" s="1"/>
  <c r="Q10" i="770"/>
  <c r="R10" i="770" s="1"/>
  <c r="G11" i="770" s="1"/>
  <c r="H13" i="769" l="1"/>
  <c r="I13" i="769"/>
  <c r="K13" i="769"/>
  <c r="I11" i="770"/>
  <c r="J11" i="770"/>
  <c r="H11" i="770"/>
  <c r="I14" i="769" l="1"/>
  <c r="K14" i="769"/>
  <c r="H14" i="769"/>
  <c r="I12" i="770"/>
  <c r="G12" i="770"/>
  <c r="J14" i="769"/>
  <c r="J12" i="770"/>
  <c r="H12" i="770"/>
  <c r="V14" i="769" l="1"/>
  <c r="V15" i="769" s="1"/>
  <c r="U15" i="770"/>
  <c r="U16" i="770" s="1"/>
  <c r="Y22" i="770" s="1"/>
  <c r="Z21" i="769" l="1"/>
  <c r="AA19" i="769"/>
  <c r="X21" i="769"/>
  <c r="Y21" i="769" s="1"/>
  <c r="X19" i="769"/>
  <c r="Y19" i="769" s="1"/>
  <c r="AA21" i="769"/>
  <c r="Z19" i="769"/>
  <c r="Y20" i="770"/>
  <c r="Y21" i="770"/>
  <c r="X20" i="769"/>
  <c r="Y20" i="769" s="1"/>
  <c r="R14" i="769"/>
  <c r="S14" i="769" s="1"/>
  <c r="W22" i="770"/>
  <c r="X22" i="770" s="1"/>
  <c r="Q12" i="770"/>
  <c r="R12" i="770" s="1"/>
  <c r="W21" i="770"/>
  <c r="X21" i="770" s="1"/>
  <c r="W20" i="770"/>
  <c r="X20" i="770" s="1"/>
  <c r="Z20" i="770"/>
  <c r="AA20" i="769"/>
  <c r="Z20" i="769"/>
  <c r="Z21" i="770"/>
  <c r="Z22" i="770"/>
  <c r="F3" i="768"/>
  <c r="G3" i="768"/>
  <c r="F4" i="768"/>
  <c r="G4" i="768"/>
  <c r="F5" i="768"/>
  <c r="G5" i="768"/>
  <c r="F6" i="768"/>
  <c r="G6" i="768"/>
  <c r="F7" i="768"/>
  <c r="G7" i="768"/>
  <c r="F8" i="768"/>
  <c r="G8" i="768"/>
  <c r="F9" i="768"/>
  <c r="G9" i="768"/>
  <c r="F10" i="768"/>
  <c r="G10" i="768"/>
  <c r="F11" i="768"/>
  <c r="G11" i="768"/>
  <c r="F12" i="768"/>
  <c r="G12" i="768"/>
  <c r="F13" i="768"/>
  <c r="G13" i="768"/>
  <c r="F14" i="768"/>
  <c r="G14" i="768"/>
  <c r="F15" i="768"/>
  <c r="G15" i="768"/>
  <c r="F16" i="768"/>
  <c r="G16" i="768"/>
  <c r="F17" i="768"/>
  <c r="G17" i="768"/>
  <c r="F18" i="768"/>
  <c r="G18" i="768"/>
  <c r="F19" i="768"/>
  <c r="G19" i="768"/>
  <c r="F20" i="768"/>
  <c r="G20" i="768"/>
  <c r="F21" i="768"/>
  <c r="G21" i="768"/>
  <c r="F22" i="768"/>
  <c r="G22" i="768"/>
  <c r="F23" i="768"/>
  <c r="G23" i="768"/>
  <c r="F24" i="768"/>
  <c r="G24" i="768"/>
  <c r="F25" i="768"/>
  <c r="G25" i="768"/>
  <c r="F26" i="768"/>
  <c r="G26" i="768"/>
  <c r="F27" i="768"/>
  <c r="G27" i="768"/>
  <c r="F28" i="768"/>
  <c r="G28" i="768"/>
  <c r="F29" i="768"/>
  <c r="G29" i="768"/>
  <c r="F30" i="768"/>
  <c r="G30" i="768"/>
  <c r="F31" i="768"/>
  <c r="G31" i="768"/>
  <c r="G2" i="768"/>
  <c r="F2" i="768"/>
  <c r="G1" i="768"/>
  <c r="F1" i="768"/>
  <c r="E2" i="768"/>
  <c r="E3" i="768"/>
  <c r="E4" i="768"/>
  <c r="E5" i="768"/>
  <c r="E6" i="768"/>
  <c r="E7" i="768"/>
  <c r="E8" i="768"/>
  <c r="E9" i="768"/>
  <c r="E10" i="768"/>
  <c r="E11" i="768"/>
  <c r="E12" i="768"/>
  <c r="E13" i="768"/>
  <c r="E14" i="768"/>
  <c r="E15" i="768"/>
  <c r="E16" i="768"/>
  <c r="E17" i="768"/>
  <c r="E18" i="768"/>
  <c r="E19" i="768"/>
  <c r="E20" i="768"/>
  <c r="E21" i="768"/>
  <c r="E22" i="768"/>
  <c r="E23" i="768"/>
  <c r="E24" i="768"/>
  <c r="E25" i="768"/>
  <c r="E26" i="768"/>
  <c r="E27" i="768"/>
  <c r="E28" i="768"/>
  <c r="E29" i="768"/>
  <c r="E30" i="768"/>
  <c r="E31" i="768"/>
  <c r="E1" i="768"/>
  <c r="D2" i="768"/>
  <c r="D3" i="768"/>
  <c r="D4" i="768"/>
  <c r="D5" i="768"/>
  <c r="D6" i="768"/>
  <c r="D7" i="768"/>
  <c r="D8" i="768"/>
  <c r="D9" i="768"/>
  <c r="D10" i="768"/>
  <c r="D11" i="768"/>
  <c r="D12" i="768"/>
  <c r="D13" i="768"/>
  <c r="D14" i="768"/>
  <c r="D15" i="768"/>
  <c r="D16" i="768"/>
  <c r="D17" i="768"/>
  <c r="D18" i="768"/>
  <c r="D19" i="768"/>
  <c r="D20" i="768"/>
  <c r="D21" i="768"/>
  <c r="D22" i="768"/>
  <c r="D23" i="768"/>
  <c r="D24" i="768"/>
  <c r="D25" i="768"/>
  <c r="D26" i="768"/>
  <c r="D27" i="768"/>
  <c r="D28" i="768"/>
  <c r="D29" i="768"/>
  <c r="D30" i="768"/>
  <c r="D31" i="768"/>
  <c r="D1" i="768"/>
  <c r="E6" i="762" l="1" a="1"/>
  <c r="E7" i="762" s="1"/>
  <c r="F3" i="763"/>
  <c r="G3" i="763" s="1"/>
  <c r="H3" i="763" s="1"/>
  <c r="I3" i="763" s="1"/>
  <c r="J3" i="763" s="1"/>
  <c r="K3" i="763" s="1"/>
  <c r="L3" i="763" s="1"/>
  <c r="M3" i="763" s="1"/>
  <c r="N3" i="763" s="1"/>
  <c r="O3" i="763" s="1"/>
  <c r="P3" i="763" s="1"/>
  <c r="Q3" i="763" s="1"/>
  <c r="R3" i="763" s="1"/>
  <c r="S3" i="763" s="1"/>
  <c r="T3" i="763" s="1"/>
  <c r="U3" i="763" s="1"/>
  <c r="V3" i="763" s="1"/>
  <c r="W3" i="763" s="1"/>
  <c r="X3" i="763" s="1"/>
  <c r="Y3" i="763" s="1"/>
  <c r="Z3" i="763" s="1"/>
  <c r="AA3" i="763" s="1"/>
  <c r="AB3" i="763" s="1"/>
  <c r="AC3" i="763" s="1"/>
  <c r="AD3" i="763" s="1"/>
  <c r="F19" i="761"/>
  <c r="G14" i="761"/>
  <c r="D14" i="761"/>
  <c r="E14" i="761" s="1"/>
  <c r="G13" i="761"/>
  <c r="D13" i="761"/>
  <c r="E13" i="761" s="1"/>
  <c r="G12" i="761"/>
  <c r="D12" i="761"/>
  <c r="E12" i="761" s="1"/>
  <c r="G11" i="761"/>
  <c r="D11" i="761"/>
  <c r="E11" i="761" s="1"/>
  <c r="G10" i="761"/>
  <c r="D10" i="761"/>
  <c r="E10" i="761" s="1"/>
  <c r="G9" i="761"/>
  <c r="D9" i="761"/>
  <c r="E9" i="761" s="1"/>
  <c r="G8" i="761"/>
  <c r="D8" i="761"/>
  <c r="E8" i="761" s="1"/>
  <c r="G7" i="761"/>
  <c r="D7" i="761"/>
  <c r="E7" i="761" s="1"/>
  <c r="G6" i="761"/>
  <c r="D6" i="761"/>
  <c r="E6" i="761" s="1"/>
  <c r="G5" i="761"/>
  <c r="D5" i="761"/>
  <c r="E5" i="761" s="1"/>
  <c r="G4" i="761"/>
  <c r="D4" i="761"/>
  <c r="E4" i="761" s="1"/>
  <c r="Y14" i="760"/>
  <c r="M14" i="760"/>
  <c r="X12" i="760"/>
  <c r="L12" i="760"/>
  <c r="X8" i="760"/>
  <c r="X14" i="760" s="1"/>
  <c r="L8" i="760"/>
  <c r="L14" i="760" s="1"/>
  <c r="AE5" i="760"/>
  <c r="S5" i="760"/>
  <c r="AE6" i="760" l="1"/>
  <c r="X13" i="760"/>
  <c r="L13" i="760"/>
  <c r="E6" i="762"/>
  <c r="AE7" i="760" l="1"/>
  <c r="K28" i="763"/>
  <c r="L28" i="763" s="1"/>
  <c r="K24" i="763"/>
  <c r="L24" i="763" s="1"/>
  <c r="K29" i="763"/>
  <c r="L29" i="763" s="1"/>
  <c r="K25" i="763"/>
  <c r="L25" i="763" s="1"/>
  <c r="K21" i="763"/>
  <c r="L21" i="763" s="1"/>
  <c r="K30" i="763"/>
  <c r="L30" i="763" s="1"/>
  <c r="K26" i="763"/>
  <c r="L26" i="763" s="1"/>
  <c r="K22" i="763"/>
  <c r="L22" i="763" s="1"/>
  <c r="K31" i="763"/>
  <c r="L31" i="763" s="1"/>
  <c r="K23" i="763"/>
  <c r="L23" i="763" s="1"/>
  <c r="K27" i="763"/>
  <c r="L27" i="763" s="1"/>
  <c r="F12" i="763"/>
  <c r="F8" i="763"/>
  <c r="F14" i="763"/>
  <c r="F10" i="763"/>
  <c r="F11" i="763"/>
  <c r="F6" i="763"/>
  <c r="F9" i="763"/>
  <c r="F5" i="763"/>
  <c r="F4" i="763"/>
  <c r="F13" i="763"/>
  <c r="F7" i="763"/>
  <c r="N18" i="760"/>
  <c r="O18" i="760" s="1"/>
  <c r="Q18" i="760"/>
  <c r="P18" i="760"/>
  <c r="Z18" i="760"/>
  <c r="AA18" i="760" s="1"/>
  <c r="AC18" i="760"/>
  <c r="AB18" i="760"/>
  <c r="Z17" i="760"/>
  <c r="AA17" i="760" s="1"/>
  <c r="AC17" i="760"/>
  <c r="AB17" i="760"/>
  <c r="Z20" i="760"/>
  <c r="AA20" i="760" s="1"/>
  <c r="AC20" i="760"/>
  <c r="AB20" i="760"/>
  <c r="Z19" i="760"/>
  <c r="AA19" i="760" s="1"/>
  <c r="AC19" i="760"/>
  <c r="AB19" i="760"/>
  <c r="P17" i="760"/>
  <c r="N17" i="760"/>
  <c r="O17" i="760" s="1"/>
  <c r="Q17" i="760"/>
  <c r="N19" i="760"/>
  <c r="O19" i="760" s="1"/>
  <c r="Q19" i="760"/>
  <c r="P19" i="760"/>
  <c r="AE8" i="760" l="1"/>
  <c r="L32" i="763"/>
  <c r="L5" i="760"/>
  <c r="N12" i="760"/>
  <c r="M13" i="760"/>
  <c r="Y13" i="760"/>
  <c r="Z12" i="760"/>
  <c r="X5" i="760"/>
  <c r="AE9" i="760" l="1"/>
  <c r="G11" i="763"/>
  <c r="G13" i="763"/>
  <c r="G9" i="763"/>
  <c r="G10" i="763"/>
  <c r="G5" i="763"/>
  <c r="G12" i="763"/>
  <c r="G8" i="763"/>
  <c r="G4" i="763"/>
  <c r="G14" i="763"/>
  <c r="G7" i="763"/>
  <c r="G6" i="763"/>
  <c r="N13" i="760"/>
  <c r="L7" i="760" s="1"/>
  <c r="O6" i="760"/>
  <c r="O4" i="760"/>
  <c r="O5" i="760" s="1"/>
  <c r="X4" i="760"/>
  <c r="X6" i="760"/>
  <c r="AA6" i="760"/>
  <c r="Z13" i="760"/>
  <c r="X7" i="760" s="1"/>
  <c r="AA4" i="760"/>
  <c r="AA5" i="760" s="1"/>
  <c r="L6" i="760"/>
  <c r="L4" i="760"/>
  <c r="AE10" i="760" l="1"/>
  <c r="O12" i="760"/>
  <c r="P12" i="760" s="1"/>
  <c r="Q12" i="760" s="1"/>
  <c r="AA12" i="760"/>
  <c r="AB12" i="760" s="1"/>
  <c r="AC12" i="760" s="1"/>
  <c r="AE11" i="760" l="1"/>
  <c r="H14" i="763"/>
  <c r="H10" i="763"/>
  <c r="H12" i="763"/>
  <c r="H8" i="763"/>
  <c r="H9" i="763"/>
  <c r="H4" i="763"/>
  <c r="H7" i="763"/>
  <c r="H11" i="763"/>
  <c r="H13" i="763"/>
  <c r="H6" i="763"/>
  <c r="H5" i="763"/>
  <c r="I13" i="763" l="1"/>
  <c r="I9" i="763"/>
  <c r="I11" i="763"/>
  <c r="I7" i="763"/>
  <c r="I8" i="763"/>
  <c r="I14" i="763"/>
  <c r="I6" i="763"/>
  <c r="I12" i="763"/>
  <c r="I5" i="763"/>
  <c r="I10" i="763"/>
  <c r="I4" i="763"/>
  <c r="J12" i="763" l="1"/>
  <c r="J8" i="763"/>
  <c r="J14" i="763"/>
  <c r="J10" i="763"/>
  <c r="J7" i="763"/>
  <c r="J6" i="763"/>
  <c r="J9" i="763"/>
  <c r="J13" i="763"/>
  <c r="J5" i="763"/>
  <c r="J11" i="763"/>
  <c r="J4" i="763"/>
  <c r="K11" i="763" l="1"/>
  <c r="K7" i="763"/>
  <c r="K13" i="763"/>
  <c r="K9" i="763"/>
  <c r="K14" i="763"/>
  <c r="K5" i="763"/>
  <c r="K12" i="763"/>
  <c r="K4" i="763"/>
  <c r="K6" i="763"/>
  <c r="K10" i="763"/>
  <c r="K8" i="763"/>
  <c r="L14" i="763" l="1"/>
  <c r="L10" i="763"/>
  <c r="L12" i="763"/>
  <c r="L8" i="763"/>
  <c r="L13" i="763"/>
  <c r="L4" i="763"/>
  <c r="L11" i="763"/>
  <c r="L7" i="763"/>
  <c r="L5" i="763"/>
  <c r="L9" i="763"/>
  <c r="L6" i="763"/>
  <c r="M13" i="763" l="1"/>
  <c r="M9" i="763"/>
  <c r="M11" i="763"/>
  <c r="M7" i="763"/>
  <c r="M12" i="763"/>
  <c r="M10" i="763"/>
  <c r="M6" i="763"/>
  <c r="M8" i="763"/>
  <c r="M5" i="763"/>
  <c r="M14" i="763"/>
  <c r="M4" i="763"/>
  <c r="E23" i="732" l="1"/>
  <c r="J20" i="732" a="1"/>
  <c r="J22" i="732" s="1"/>
  <c r="E19" i="732"/>
  <c r="L16" i="732"/>
  <c r="E15" i="732"/>
  <c r="K14" i="732"/>
  <c r="E11" i="732"/>
  <c r="K10" i="732"/>
  <c r="K16" i="732" s="1"/>
  <c r="E7" i="732"/>
  <c r="H4" i="732" l="1" a="1"/>
  <c r="H21" i="732" s="1"/>
  <c r="K15" i="732"/>
  <c r="J23" i="732"/>
  <c r="J20" i="732"/>
  <c r="J21" i="732"/>
  <c r="H13" i="732" l="1"/>
  <c r="H20" i="732"/>
  <c r="H4" i="732"/>
  <c r="H15" i="732"/>
  <c r="H22" i="732"/>
  <c r="H6" i="732"/>
  <c r="H9" i="732"/>
  <c r="H16" i="732"/>
  <c r="H11" i="732"/>
  <c r="H18" i="732"/>
  <c r="H5" i="732"/>
  <c r="H12" i="732"/>
  <c r="H23" i="732"/>
  <c r="H7" i="732"/>
  <c r="H14" i="732"/>
  <c r="H17" i="732"/>
  <c r="H8" i="732"/>
  <c r="H19" i="732"/>
  <c r="H10" i="732"/>
  <c r="E26" i="732" l="1"/>
  <c r="F26" i="732"/>
  <c r="P19" i="730"/>
  <c r="P18" i="730"/>
  <c r="P17" i="730"/>
  <c r="P16" i="730"/>
  <c r="M16" i="730"/>
  <c r="P13" i="730"/>
  <c r="P12" i="730"/>
  <c r="P11" i="730"/>
  <c r="P10" i="730"/>
  <c r="M10" i="730"/>
  <c r="P7" i="730"/>
  <c r="P6" i="730"/>
  <c r="P5" i="730"/>
  <c r="P4" i="730"/>
  <c r="M4" i="730"/>
  <c r="G19" i="727" l="1" a="1"/>
  <c r="G22" i="727" s="1"/>
  <c r="Q18" i="727" a="1"/>
  <c r="Q20" i="727" s="1"/>
  <c r="S14" i="727"/>
  <c r="R12" i="727"/>
  <c r="G12" i="727"/>
  <c r="G13" i="727" s="1"/>
  <c r="G14" i="727" s="1"/>
  <c r="R8" i="727"/>
  <c r="R14" i="727" s="1"/>
  <c r="G4" i="727" a="1"/>
  <c r="G5" i="727" s="1"/>
  <c r="Q19" i="727" l="1"/>
  <c r="G6" i="727"/>
  <c r="G19" i="727"/>
  <c r="R13" i="727"/>
  <c r="Q18" i="727"/>
  <c r="G20" i="727"/>
  <c r="G7" i="727"/>
  <c r="G4" i="727"/>
  <c r="G21" i="727"/>
  <c r="A5" i="724" l="1"/>
  <c r="A6" i="724" s="1"/>
  <c r="A7" i="724" s="1"/>
  <c r="A8" i="724" s="1"/>
  <c r="A9" i="724" s="1"/>
  <c r="A10" i="724" s="1"/>
  <c r="A11" i="724" s="1"/>
  <c r="A12" i="724" s="1"/>
  <c r="A13" i="724" s="1"/>
  <c r="A14" i="724" s="1"/>
  <c r="F4" i="724" a="1"/>
  <c r="F11" i="724" s="1"/>
  <c r="G11" i="724" s="1"/>
  <c r="Q11" i="724" s="1"/>
  <c r="R12" i="724" s="1"/>
  <c r="F5" i="724" l="1"/>
  <c r="G5" i="724" s="1"/>
  <c r="Q5" i="724" s="1"/>
  <c r="F9" i="724"/>
  <c r="G9" i="724" s="1"/>
  <c r="Q9" i="724" s="1"/>
  <c r="R10" i="724" s="1"/>
  <c r="F13" i="724"/>
  <c r="G13" i="724" s="1"/>
  <c r="Q13" i="724" s="1"/>
  <c r="R14" i="724" s="1"/>
  <c r="F4" i="724"/>
  <c r="G4" i="724" s="1"/>
  <c r="F8" i="724"/>
  <c r="G8" i="724" s="1"/>
  <c r="Q8" i="724" s="1"/>
  <c r="R9" i="724" s="1"/>
  <c r="F12" i="724"/>
  <c r="G12" i="724" s="1"/>
  <c r="Q12" i="724" s="1"/>
  <c r="R13" i="724" s="1"/>
  <c r="F6" i="724"/>
  <c r="G6" i="724" s="1"/>
  <c r="Q6" i="724" s="1"/>
  <c r="R7" i="724" s="1"/>
  <c r="F10" i="724"/>
  <c r="G10" i="724" s="1"/>
  <c r="Q10" i="724" s="1"/>
  <c r="R11" i="724" s="1"/>
  <c r="F14" i="724"/>
  <c r="G14" i="724" s="1"/>
  <c r="Q14" i="724" s="1"/>
  <c r="F7" i="724"/>
  <c r="G7" i="724" s="1"/>
  <c r="Q7" i="724" s="1"/>
  <c r="R8" i="724" s="1"/>
  <c r="R6" i="724" l="1"/>
  <c r="G16" i="724"/>
  <c r="Q4" i="724"/>
  <c r="R5" i="724" s="1"/>
  <c r="R16" i="724" l="1"/>
  <c r="L42" i="650" l="1" a="1"/>
  <c r="L43" i="650" s="1"/>
  <c r="N38" i="650"/>
  <c r="M36" i="650"/>
  <c r="M32" i="650"/>
  <c r="M38" i="650" s="1"/>
  <c r="L18" i="650" a="1"/>
  <c r="L18" i="650" s="1"/>
  <c r="N14" i="650"/>
  <c r="M12" i="650"/>
  <c r="M8" i="650"/>
  <c r="M14" i="650" s="1"/>
  <c r="E20" i="427" a="1"/>
  <c r="E20" i="427" s="1"/>
  <c r="G16" i="427"/>
  <c r="F14" i="427"/>
  <c r="F10" i="427"/>
  <c r="F16" i="427" s="1"/>
  <c r="M13" i="650" l="1"/>
  <c r="F15" i="427"/>
  <c r="M37" i="650"/>
  <c r="L42" i="650"/>
  <c r="L45" i="650"/>
  <c r="L44" i="650"/>
  <c r="L21" i="650"/>
  <c r="L20" i="650"/>
  <c r="L19" i="650"/>
  <c r="E21" i="427"/>
  <c r="D5" i="719"/>
  <c r="F24" i="719"/>
  <c r="E25" i="719"/>
  <c r="E26" i="719" s="1"/>
  <c r="E27" i="719" s="1"/>
  <c r="E28" i="719" s="1"/>
  <c r="E29" i="719" s="1"/>
  <c r="E30" i="719" s="1"/>
  <c r="E31" i="719" s="1"/>
  <c r="AG4" i="722" l="1" a="1"/>
  <c r="AG4" i="722" s="1"/>
  <c r="AF4" i="722" a="1"/>
  <c r="AF4" i="722" s="1"/>
  <c r="Z4" i="722" a="1"/>
  <c r="Z4" i="722" s="1"/>
  <c r="Q5" i="722"/>
  <c r="Q6" i="722"/>
  <c r="Q7" i="722"/>
  <c r="Q8" i="722"/>
  <c r="Q9" i="722"/>
  <c r="Q10" i="722"/>
  <c r="Q11" i="722"/>
  <c r="Q12" i="722"/>
  <c r="Q13" i="722"/>
  <c r="Q14" i="722"/>
  <c r="Q4" i="722"/>
  <c r="N5" i="722"/>
  <c r="O5" i="722"/>
  <c r="N6" i="722"/>
  <c r="O6" i="722"/>
  <c r="N7" i="722"/>
  <c r="O7" i="722"/>
  <c r="N8" i="722"/>
  <c r="O8" i="722"/>
  <c r="N9" i="722"/>
  <c r="O9" i="722"/>
  <c r="N10" i="722"/>
  <c r="O10" i="722"/>
  <c r="N11" i="722"/>
  <c r="O11" i="722"/>
  <c r="N12" i="722"/>
  <c r="O12" i="722"/>
  <c r="N13" i="722"/>
  <c r="O13" i="722"/>
  <c r="N14" i="722"/>
  <c r="O14" i="722"/>
  <c r="O4" i="722"/>
  <c r="N4" i="722"/>
  <c r="E17" i="722" a="1"/>
  <c r="E18" i="722" s="1"/>
  <c r="F8" i="722"/>
  <c r="AG5" i="722" l="1"/>
  <c r="AG6" i="722"/>
  <c r="AF6" i="722"/>
  <c r="AF5" i="722"/>
  <c r="W18" i="722"/>
  <c r="AA7" i="722"/>
  <c r="AA5" i="722"/>
  <c r="Z7" i="722"/>
  <c r="Z5" i="722"/>
  <c r="AA8" i="722"/>
  <c r="AA6" i="722"/>
  <c r="AA4" i="722"/>
  <c r="Z8" i="722"/>
  <c r="Z6" i="722"/>
  <c r="N17" i="722" a="1"/>
  <c r="N17" i="722" s="1"/>
  <c r="E17" i="722"/>
  <c r="E17" i="717" a="1"/>
  <c r="E17" i="717" s="1"/>
  <c r="G14" i="717"/>
  <c r="F12" i="717"/>
  <c r="F8" i="717"/>
  <c r="F14" i="717" s="1"/>
  <c r="F13" i="717" l="1"/>
  <c r="O18" i="722"/>
  <c r="O17" i="722"/>
  <c r="N18" i="722"/>
  <c r="E18" i="717"/>
  <c r="S4" i="722" l="1" a="1"/>
  <c r="S4" i="722" s="1"/>
  <c r="S5" i="722" l="1"/>
  <c r="U4" i="722" s="1" a="1"/>
  <c r="U12" i="722" s="1"/>
  <c r="W12" i="722" s="1"/>
  <c r="Q21" i="650" l="1"/>
  <c r="N6" i="730"/>
  <c r="N17" i="730"/>
  <c r="M13" i="730"/>
  <c r="N7" i="730"/>
  <c r="N13" i="730"/>
  <c r="N19" i="730"/>
  <c r="N10" i="730"/>
  <c r="O10" i="730" s="1"/>
  <c r="Q10" i="730" s="1"/>
  <c r="M18" i="730"/>
  <c r="M5" i="730"/>
  <c r="N18" i="730"/>
  <c r="N12" i="730"/>
  <c r="M7" i="730"/>
  <c r="M11" i="730"/>
  <c r="M17" i="730"/>
  <c r="N4" i="730"/>
  <c r="O4" i="730" s="1"/>
  <c r="Q4" i="730" s="1"/>
  <c r="G16" i="730"/>
  <c r="M12" i="730"/>
  <c r="N16" i="730"/>
  <c r="O16" i="730" s="1"/>
  <c r="Q16" i="730" s="1"/>
  <c r="M6" i="730"/>
  <c r="J20" i="427"/>
  <c r="N11" i="730"/>
  <c r="O11" i="730" s="1"/>
  <c r="Q11" i="730" s="1"/>
  <c r="N5" i="730"/>
  <c r="M19" i="730"/>
  <c r="O42" i="650"/>
  <c r="P42" i="650" s="1"/>
  <c r="Q43" i="650"/>
  <c r="P19" i="732"/>
  <c r="M20" i="732"/>
  <c r="N20" i="732" s="1"/>
  <c r="Q42" i="650"/>
  <c r="H20" i="427"/>
  <c r="I20" i="427" s="1"/>
  <c r="W17" i="727"/>
  <c r="R21" i="650"/>
  <c r="O21" i="650"/>
  <c r="P21" i="650" s="1"/>
  <c r="Q20" i="650"/>
  <c r="O20" i="650"/>
  <c r="P20" i="650" s="1"/>
  <c r="R20" i="650"/>
  <c r="Q17" i="650"/>
  <c r="R17" i="650"/>
  <c r="J17" i="717"/>
  <c r="H17" i="717"/>
  <c r="I17" i="717" s="1"/>
  <c r="G12" i="717"/>
  <c r="K17" i="717"/>
  <c r="M21" i="732"/>
  <c r="N21" i="732" s="1"/>
  <c r="O21" i="732"/>
  <c r="Q45" i="650"/>
  <c r="O45" i="650"/>
  <c r="P45" i="650" s="1"/>
  <c r="N12" i="763"/>
  <c r="N6" i="763"/>
  <c r="N5" i="763"/>
  <c r="N13" i="763"/>
  <c r="N11" i="763"/>
  <c r="N14" i="763"/>
  <c r="N8" i="763"/>
  <c r="N4" i="763"/>
  <c r="N10" i="763"/>
  <c r="N9" i="763"/>
  <c r="W20" i="727"/>
  <c r="T20" i="727"/>
  <c r="U20" i="727" s="1"/>
  <c r="O19" i="650"/>
  <c r="P19" i="650" s="1"/>
  <c r="J18" i="717"/>
  <c r="K18" i="717"/>
  <c r="H18" i="717"/>
  <c r="I18" i="717" s="1"/>
  <c r="H18" i="722"/>
  <c r="I18" i="722" s="1"/>
  <c r="K18" i="722"/>
  <c r="O44" i="650"/>
  <c r="P44" i="650" s="1"/>
  <c r="H19" i="427"/>
  <c r="I19" i="427" s="1"/>
  <c r="H21" i="427"/>
  <c r="I21" i="427" s="1"/>
  <c r="J21" i="427"/>
  <c r="T19" i="727"/>
  <c r="U19" i="727" s="1"/>
  <c r="W19" i="727"/>
  <c r="O18" i="650"/>
  <c r="P18" i="650" s="1"/>
  <c r="Q18" i="650"/>
  <c r="H17" i="722"/>
  <c r="I17" i="722" s="1"/>
  <c r="O43" i="650"/>
  <c r="P43" i="650" s="1"/>
  <c r="R43" i="650"/>
  <c r="N7" i="763"/>
  <c r="T18" i="727"/>
  <c r="U18" i="727" s="1"/>
  <c r="W18" i="727"/>
  <c r="U11" i="722"/>
  <c r="W11" i="722" s="1"/>
  <c r="U8" i="722"/>
  <c r="W8" i="722" s="1"/>
  <c r="U7" i="722"/>
  <c r="W7" i="722" s="1"/>
  <c r="U10" i="722"/>
  <c r="W10" i="722" s="1"/>
  <c r="U9" i="722"/>
  <c r="W9" i="722" s="1"/>
  <c r="U13" i="722"/>
  <c r="W13" i="722" s="1"/>
  <c r="U5" i="722"/>
  <c r="W5" i="722" s="1"/>
  <c r="U6" i="722"/>
  <c r="W6" i="722" s="1"/>
  <c r="U4" i="722"/>
  <c r="W4" i="722" s="1"/>
  <c r="U14" i="722"/>
  <c r="W14" i="722" s="1"/>
  <c r="K12" i="722"/>
  <c r="O17" i="730" l="1"/>
  <c r="Q17" i="730" s="1"/>
  <c r="O18" i="730"/>
  <c r="Q18" i="730" s="1"/>
  <c r="O7" i="730"/>
  <c r="Q7" i="730" s="1"/>
  <c r="O13" i="730"/>
  <c r="Q13" i="730" s="1"/>
  <c r="O5" i="730"/>
  <c r="Q5" i="730" s="1"/>
  <c r="P20" i="732"/>
  <c r="H11" i="727" a="1"/>
  <c r="M19" i="732"/>
  <c r="N19" i="732" s="1"/>
  <c r="O12" i="730"/>
  <c r="Q12" i="730" s="1"/>
  <c r="R42" i="650"/>
  <c r="R45" i="650"/>
  <c r="K20" i="427"/>
  <c r="P21" i="732"/>
  <c r="P22" i="732"/>
  <c r="M22" i="732"/>
  <c r="N22" i="732" s="1"/>
  <c r="O22" i="732"/>
  <c r="O20" i="732"/>
  <c r="V20" i="727"/>
  <c r="O6" i="730"/>
  <c r="Q6" i="730" s="1"/>
  <c r="R18" i="650"/>
  <c r="O17" i="650"/>
  <c r="P17" i="650" s="1"/>
  <c r="R41" i="650"/>
  <c r="O41" i="650"/>
  <c r="P41" i="650" s="1"/>
  <c r="Q41" i="650"/>
  <c r="K19" i="427"/>
  <c r="J19" i="427"/>
  <c r="J18" i="722"/>
  <c r="V19" i="727"/>
  <c r="Q19" i="650"/>
  <c r="R19" i="650"/>
  <c r="K21" i="427"/>
  <c r="M23" i="732"/>
  <c r="N23" i="732" s="1"/>
  <c r="P23" i="732"/>
  <c r="O23" i="732"/>
  <c r="J17" i="722"/>
  <c r="K17" i="722"/>
  <c r="T17" i="727"/>
  <c r="U17" i="727" s="1"/>
  <c r="V17" i="727"/>
  <c r="R44" i="650"/>
  <c r="Q44" i="650"/>
  <c r="O19" i="732"/>
  <c r="O19" i="730"/>
  <c r="Q19" i="730" s="1"/>
  <c r="Q20" i="730" s="1"/>
  <c r="V18" i="727"/>
  <c r="K7" i="732"/>
  <c r="L15" i="732"/>
  <c r="M14" i="732"/>
  <c r="H12" i="717"/>
  <c r="F5" i="717"/>
  <c r="G13" i="717"/>
  <c r="W17" i="722"/>
  <c r="W19" i="722" s="1"/>
  <c r="Q17" i="722" s="1" a="1"/>
  <c r="Q18" i="722" s="1"/>
  <c r="Q14" i="730" l="1"/>
  <c r="Q8" i="730"/>
  <c r="J14" i="727"/>
  <c r="I12" i="727"/>
  <c r="I13" i="727"/>
  <c r="H14" i="727"/>
  <c r="K12" i="727"/>
  <c r="J11" i="727"/>
  <c r="K11" i="727"/>
  <c r="H13" i="727"/>
  <c r="H11" i="727"/>
  <c r="J12" i="727"/>
  <c r="I11" i="727"/>
  <c r="J13" i="727"/>
  <c r="I14" i="727"/>
  <c r="H12" i="727"/>
  <c r="K14" i="727"/>
  <c r="K13" i="727"/>
  <c r="R5" i="727"/>
  <c r="T12" i="727"/>
  <c r="S13" i="727"/>
  <c r="T13" i="727" s="1"/>
  <c r="R7" i="727" s="1"/>
  <c r="O13" i="763"/>
  <c r="O6" i="763"/>
  <c r="O11" i="763"/>
  <c r="O12" i="763"/>
  <c r="O4" i="763"/>
  <c r="O9" i="763"/>
  <c r="O7" i="763"/>
  <c r="O14" i="763"/>
  <c r="O10" i="763"/>
  <c r="O5" i="763"/>
  <c r="I6" i="717"/>
  <c r="I4" i="717"/>
  <c r="I5" i="717" s="1"/>
  <c r="H13" i="717"/>
  <c r="O8" i="763"/>
  <c r="N6" i="732"/>
  <c r="N7" i="732" s="1"/>
  <c r="N8" i="732"/>
  <c r="M15" i="732"/>
  <c r="K9" i="732" s="1"/>
  <c r="F4" i="717"/>
  <c r="F6" i="717"/>
  <c r="K8" i="732"/>
  <c r="K6" i="732"/>
  <c r="Q17" i="722"/>
  <c r="S9" i="722" s="1"/>
  <c r="R17" i="722"/>
  <c r="R18" i="722"/>
  <c r="S10" i="722" s="1"/>
  <c r="Q22" i="730" l="1"/>
  <c r="S8" i="730" s="1"/>
  <c r="S26" i="727"/>
  <c r="O11" i="727" a="1"/>
  <c r="U12" i="727"/>
  <c r="V12" i="727" s="1"/>
  <c r="W12" i="727" s="1"/>
  <c r="R4" i="727"/>
  <c r="R6" i="727"/>
  <c r="I12" i="717"/>
  <c r="J12" i="717" s="1"/>
  <c r="K12" i="717" s="1"/>
  <c r="F7" i="717"/>
  <c r="N14" i="732"/>
  <c r="O14" i="732" s="1"/>
  <c r="P14" i="732" s="1"/>
  <c r="G18" i="721" a="1"/>
  <c r="G18" i="721" s="1"/>
  <c r="I14" i="721"/>
  <c r="H12" i="721"/>
  <c r="H8" i="721"/>
  <c r="H14" i="721" s="1"/>
  <c r="J37" i="719" a="1"/>
  <c r="J37" i="719" s="1"/>
  <c r="F25" i="719"/>
  <c r="G25" i="719"/>
  <c r="F26" i="719"/>
  <c r="G26" i="719"/>
  <c r="F27" i="719"/>
  <c r="G27" i="719"/>
  <c r="F28" i="719"/>
  <c r="G28" i="719"/>
  <c r="F29" i="719"/>
  <c r="G29" i="719"/>
  <c r="F30" i="719"/>
  <c r="G30" i="719"/>
  <c r="F31" i="719"/>
  <c r="G31" i="719"/>
  <c r="G24" i="719"/>
  <c r="S18" i="719" a="1"/>
  <c r="S18" i="719" s="1"/>
  <c r="U14" i="719"/>
  <c r="T8" i="719"/>
  <c r="T14" i="719" s="1"/>
  <c r="J18" i="719" a="1"/>
  <c r="J18" i="719" s="1"/>
  <c r="J17" i="719"/>
  <c r="K8" i="719"/>
  <c r="K14" i="719" s="1"/>
  <c r="H6" i="719"/>
  <c r="H7" i="719"/>
  <c r="H8" i="719"/>
  <c r="H9" i="719"/>
  <c r="H10" i="719"/>
  <c r="H11" i="719"/>
  <c r="H12" i="719"/>
  <c r="H5" i="719"/>
  <c r="D6" i="719"/>
  <c r="D7" i="719"/>
  <c r="H26" i="719" s="1"/>
  <c r="D8" i="719"/>
  <c r="H27" i="719" s="1"/>
  <c r="D9" i="719"/>
  <c r="H28" i="719" s="1"/>
  <c r="D10" i="719"/>
  <c r="H29" i="719" s="1"/>
  <c r="D11" i="719"/>
  <c r="H30" i="719" s="1"/>
  <c r="D12" i="719"/>
  <c r="H24" i="719"/>
  <c r="A6" i="719"/>
  <c r="A7" i="719" s="1"/>
  <c r="A8" i="719" s="1"/>
  <c r="A9" i="719" s="1"/>
  <c r="A10" i="719" s="1"/>
  <c r="A11" i="719" s="1"/>
  <c r="A12" i="719" s="1"/>
  <c r="AC27" i="717"/>
  <c r="AC25" i="717" s="1"/>
  <c r="R24" i="717" a="1"/>
  <c r="R24" i="717" s="1"/>
  <c r="Q23" i="717"/>
  <c r="Q24" i="717"/>
  <c r="Q25" i="717"/>
  <c r="Q26" i="717"/>
  <c r="Q27" i="717"/>
  <c r="Q28" i="717"/>
  <c r="Q29" i="717"/>
  <c r="Q30" i="717"/>
  <c r="Q31" i="717"/>
  <c r="Q32" i="717"/>
  <c r="Q33" i="717"/>
  <c r="Q34" i="717"/>
  <c r="O24" i="717"/>
  <c r="P24" i="717"/>
  <c r="O25" i="717"/>
  <c r="P25" i="717"/>
  <c r="O26" i="717"/>
  <c r="P26" i="717"/>
  <c r="O27" i="717"/>
  <c r="P27" i="717"/>
  <c r="O28" i="717"/>
  <c r="P28" i="717"/>
  <c r="O29" i="717"/>
  <c r="P29" i="717"/>
  <c r="O30" i="717"/>
  <c r="P30" i="717"/>
  <c r="O31" i="717"/>
  <c r="P31" i="717"/>
  <c r="O32" i="717"/>
  <c r="P32" i="717"/>
  <c r="O33" i="717"/>
  <c r="P33" i="717"/>
  <c r="O34" i="717"/>
  <c r="P34" i="717"/>
  <c r="P23" i="717"/>
  <c r="O23" i="717"/>
  <c r="N25" i="717"/>
  <c r="N26" i="717" s="1"/>
  <c r="N27" i="717" s="1"/>
  <c r="N28" i="717" s="1"/>
  <c r="N29" i="717" s="1"/>
  <c r="N30" i="717" s="1"/>
  <c r="N31" i="717" s="1"/>
  <c r="N32" i="717" s="1"/>
  <c r="N33" i="717" s="1"/>
  <c r="N34" i="717" s="1"/>
  <c r="E38" i="717" a="1"/>
  <c r="E38" i="717" s="1"/>
  <c r="G34" i="717"/>
  <c r="F32" i="717"/>
  <c r="F28" i="717"/>
  <c r="F34" i="717" s="1"/>
  <c r="AC7" i="717"/>
  <c r="AC5" i="717" s="1"/>
  <c r="R4" i="717" a="1"/>
  <c r="R7" i="717" s="1"/>
  <c r="Q3" i="717"/>
  <c r="Q4" i="717"/>
  <c r="Q5" i="717"/>
  <c r="Q6" i="717"/>
  <c r="Q7" i="717"/>
  <c r="Q8" i="717"/>
  <c r="Q9" i="717"/>
  <c r="Q10" i="717"/>
  <c r="Q11" i="717"/>
  <c r="Q12" i="717"/>
  <c r="Q13" i="717"/>
  <c r="Q14" i="717"/>
  <c r="O4" i="717"/>
  <c r="P4" i="717"/>
  <c r="O5" i="717"/>
  <c r="P5" i="717"/>
  <c r="O6" i="717"/>
  <c r="P6" i="717"/>
  <c r="O7" i="717"/>
  <c r="P7" i="717"/>
  <c r="O8" i="717"/>
  <c r="P8" i="717"/>
  <c r="O9" i="717"/>
  <c r="P9" i="717"/>
  <c r="O10" i="717"/>
  <c r="P10" i="717"/>
  <c r="O11" i="717"/>
  <c r="P11" i="717"/>
  <c r="O12" i="717"/>
  <c r="P12" i="717"/>
  <c r="O13" i="717"/>
  <c r="P13" i="717"/>
  <c r="O14" i="717"/>
  <c r="P14" i="717"/>
  <c r="P3" i="717"/>
  <c r="O3" i="717"/>
  <c r="N5" i="717"/>
  <c r="N6" i="717" s="1"/>
  <c r="N7" i="717" s="1"/>
  <c r="N8" i="717" s="1"/>
  <c r="N9" i="717" s="1"/>
  <c r="N10" i="717" s="1"/>
  <c r="N11" i="717" s="1"/>
  <c r="N12" i="717" s="1"/>
  <c r="N13" i="717" s="1"/>
  <c r="N14" i="717" s="1"/>
  <c r="Q18" i="719" l="1" a="1"/>
  <c r="Q18" i="719" s="1"/>
  <c r="Q17" i="719" a="1"/>
  <c r="Q17" i="719" s="1"/>
  <c r="L12" i="719"/>
  <c r="S14" i="730"/>
  <c r="S20" i="730"/>
  <c r="O14" i="727"/>
  <c r="O12" i="727"/>
  <c r="O11" i="727"/>
  <c r="O13" i="727"/>
  <c r="H27" i="727" a="1"/>
  <c r="B22" i="727" a="1"/>
  <c r="B22" i="727" s="1"/>
  <c r="H19" i="727" a="1"/>
  <c r="P10" i="763"/>
  <c r="P13" i="763"/>
  <c r="P11" i="763"/>
  <c r="P7" i="763"/>
  <c r="P12" i="763"/>
  <c r="P9" i="763"/>
  <c r="P5" i="763"/>
  <c r="P8" i="763"/>
  <c r="P6" i="763"/>
  <c r="P14" i="763"/>
  <c r="P4" i="763"/>
  <c r="H25" i="719"/>
  <c r="H31" i="719"/>
  <c r="S24" i="717"/>
  <c r="K32" i="719"/>
  <c r="L14" i="719"/>
  <c r="L34" i="719"/>
  <c r="F33" i="717"/>
  <c r="S7" i="717"/>
  <c r="H13" i="721"/>
  <c r="K12" i="719"/>
  <c r="K13" i="719" s="1"/>
  <c r="T12" i="719"/>
  <c r="T13" i="719" s="1"/>
  <c r="K28" i="719"/>
  <c r="K34" i="719" s="1"/>
  <c r="K33" i="719" s="1"/>
  <c r="G20" i="721"/>
  <c r="G19" i="721"/>
  <c r="J38" i="719"/>
  <c r="R27" i="717"/>
  <c r="S27" i="717" s="1"/>
  <c r="R34" i="717"/>
  <c r="S34" i="717" s="1"/>
  <c r="R30" i="717"/>
  <c r="S30" i="717" s="1"/>
  <c r="R26" i="717"/>
  <c r="S26" i="717" s="1"/>
  <c r="R33" i="717"/>
  <c r="S33" i="717" s="1"/>
  <c r="R29" i="717"/>
  <c r="S29" i="717" s="1"/>
  <c r="R25" i="717"/>
  <c r="S25" i="717" s="1"/>
  <c r="R31" i="717"/>
  <c r="S31" i="717" s="1"/>
  <c r="R32" i="717"/>
  <c r="S32" i="717" s="1"/>
  <c r="R28" i="717"/>
  <c r="S28" i="717" s="1"/>
  <c r="E39" i="717"/>
  <c r="R14" i="717"/>
  <c r="S14" i="717" s="1"/>
  <c r="R10" i="717"/>
  <c r="S10" i="717" s="1"/>
  <c r="R6" i="717"/>
  <c r="S6" i="717" s="1"/>
  <c r="R11" i="717"/>
  <c r="S11" i="717" s="1"/>
  <c r="R13" i="717"/>
  <c r="S13" i="717" s="1"/>
  <c r="R9" i="717"/>
  <c r="S9" i="717" s="1"/>
  <c r="R5" i="717"/>
  <c r="S5" i="717" s="1"/>
  <c r="R12" i="717"/>
  <c r="S12" i="717" s="1"/>
  <c r="R8" i="717"/>
  <c r="S8" i="717" s="1"/>
  <c r="R4" i="717"/>
  <c r="S4" i="717" s="1"/>
  <c r="K30" i="727" l="1"/>
  <c r="I27" i="727"/>
  <c r="H28" i="727"/>
  <c r="J30" i="727"/>
  <c r="H27" i="727"/>
  <c r="K28" i="727"/>
  <c r="J27" i="727"/>
  <c r="K27" i="727"/>
  <c r="H29" i="727"/>
  <c r="I29" i="727"/>
  <c r="J29" i="727"/>
  <c r="K29" i="727"/>
  <c r="I30" i="727"/>
  <c r="H30" i="727"/>
  <c r="I28" i="727"/>
  <c r="J28" i="727"/>
  <c r="K19" i="727"/>
  <c r="J20" i="727"/>
  <c r="K22" i="727"/>
  <c r="H22" i="727"/>
  <c r="I21" i="727"/>
  <c r="J22" i="727"/>
  <c r="H21" i="727"/>
  <c r="J19" i="727"/>
  <c r="I22" i="727"/>
  <c r="K21" i="727"/>
  <c r="H20" i="727"/>
  <c r="K20" i="727"/>
  <c r="I20" i="727"/>
  <c r="J21" i="727"/>
  <c r="I19" i="727"/>
  <c r="H19" i="727"/>
  <c r="AD4" i="719"/>
  <c r="AC4" i="719"/>
  <c r="AC4" i="717"/>
  <c r="AC6" i="717" s="1"/>
  <c r="U7" i="717" s="1"/>
  <c r="AC24" i="717"/>
  <c r="AC26" i="717" s="1"/>
  <c r="U24" i="717" s="1"/>
  <c r="P18" i="719"/>
  <c r="O18" i="719"/>
  <c r="M18" i="719"/>
  <c r="N18" i="719" s="1"/>
  <c r="J39" i="717"/>
  <c r="H39" i="717"/>
  <c r="I39" i="717" s="1"/>
  <c r="K39" i="717"/>
  <c r="Y18" i="719"/>
  <c r="V18" i="719"/>
  <c r="W18" i="719" s="1"/>
  <c r="X18" i="719"/>
  <c r="J20" i="721"/>
  <c r="K20" i="721" s="1"/>
  <c r="M20" i="721"/>
  <c r="L20" i="721"/>
  <c r="H38" i="717"/>
  <c r="I38" i="717" s="1"/>
  <c r="K38" i="717"/>
  <c r="J38" i="717"/>
  <c r="J37" i="717"/>
  <c r="H37" i="717"/>
  <c r="I37" i="717" s="1"/>
  <c r="K37" i="717"/>
  <c r="M17" i="719"/>
  <c r="N17" i="719" s="1"/>
  <c r="P17" i="719"/>
  <c r="O17" i="719"/>
  <c r="M19" i="721"/>
  <c r="L19" i="721"/>
  <c r="J19" i="721"/>
  <c r="K19" i="721" s="1"/>
  <c r="L18" i="721"/>
  <c r="M18" i="721"/>
  <c r="J18" i="721"/>
  <c r="K18" i="721" s="1"/>
  <c r="V17" i="719"/>
  <c r="W17" i="719" s="1"/>
  <c r="Y17" i="719"/>
  <c r="X17" i="719"/>
  <c r="M17" i="721"/>
  <c r="L17" i="721"/>
  <c r="J17" i="721"/>
  <c r="K17" i="721" s="1"/>
  <c r="Q11" i="763" l="1"/>
  <c r="Q10" i="763"/>
  <c r="Q9" i="763"/>
  <c r="Q12" i="763"/>
  <c r="Q8" i="763"/>
  <c r="Q13" i="763"/>
  <c r="Q6" i="763"/>
  <c r="Q4" i="763"/>
  <c r="Q7" i="763"/>
  <c r="Q5" i="763"/>
  <c r="Q14" i="763"/>
  <c r="Y4" i="717"/>
  <c r="V11" i="717"/>
  <c r="W11" i="717" s="1"/>
  <c r="Z11" i="717" s="1"/>
  <c r="Y13" i="717"/>
  <c r="V9" i="717"/>
  <c r="W9" i="717" s="1"/>
  <c r="X9" i="717" s="1"/>
  <c r="Y10" i="717"/>
  <c r="V5" i="717"/>
  <c r="W5" i="717" s="1"/>
  <c r="Z5" i="717" s="1"/>
  <c r="Y14" i="717"/>
  <c r="Y9" i="717"/>
  <c r="V10" i="717"/>
  <c r="W10" i="717" s="1"/>
  <c r="Z10" i="717" s="1"/>
  <c r="V4" i="717"/>
  <c r="W4" i="717" s="1"/>
  <c r="Z4" i="717" s="1"/>
  <c r="Y11" i="717"/>
  <c r="Y12" i="717"/>
  <c r="Y32" i="717"/>
  <c r="U5" i="717"/>
  <c r="Y30" i="717"/>
  <c r="V26" i="717"/>
  <c r="W26" i="717" s="1"/>
  <c r="X26" i="717" s="1"/>
  <c r="Y27" i="717"/>
  <c r="V25" i="717"/>
  <c r="W25" i="717" s="1"/>
  <c r="Z25" i="717" s="1"/>
  <c r="Y28" i="717"/>
  <c r="V32" i="717"/>
  <c r="W32" i="717" s="1"/>
  <c r="Z32" i="717" s="1"/>
  <c r="V29" i="717"/>
  <c r="W29" i="717" s="1"/>
  <c r="X29" i="717" s="1"/>
  <c r="V34" i="717"/>
  <c r="W34" i="717" s="1"/>
  <c r="Z34" i="717" s="1"/>
  <c r="V27" i="717"/>
  <c r="W27" i="717" s="1"/>
  <c r="X27" i="717" s="1"/>
  <c r="Y24" i="717"/>
  <c r="V31" i="717"/>
  <c r="W31" i="717" s="1"/>
  <c r="X31" i="717" s="1"/>
  <c r="V33" i="717"/>
  <c r="W33" i="717" s="1"/>
  <c r="X33" i="717" s="1"/>
  <c r="Y29" i="717"/>
  <c r="Y34" i="717"/>
  <c r="V24" i="717"/>
  <c r="W24" i="717" s="1"/>
  <c r="Z24" i="717" s="1"/>
  <c r="U28" i="717"/>
  <c r="Y31" i="717"/>
  <c r="Y33" i="717"/>
  <c r="V30" i="717"/>
  <c r="W30" i="717" s="1"/>
  <c r="X30" i="717" s="1"/>
  <c r="Y26" i="717"/>
  <c r="Y25" i="717"/>
  <c r="U30" i="717"/>
  <c r="V8" i="717"/>
  <c r="W8" i="717" s="1"/>
  <c r="Z8" i="717" s="1"/>
  <c r="V12" i="717"/>
  <c r="W12" i="717" s="1"/>
  <c r="X12" i="717" s="1"/>
  <c r="U27" i="717"/>
  <c r="Y5" i="717"/>
  <c r="Y8" i="717"/>
  <c r="V6" i="717"/>
  <c r="W6" i="717" s="1"/>
  <c r="X6" i="717" s="1"/>
  <c r="Y7" i="717"/>
  <c r="U32" i="717"/>
  <c r="U9" i="717"/>
  <c r="U25" i="717"/>
  <c r="V13" i="717"/>
  <c r="W13" i="717" s="1"/>
  <c r="Z13" i="717" s="1"/>
  <c r="V14" i="717"/>
  <c r="W14" i="717" s="1"/>
  <c r="Z14" i="717" s="1"/>
  <c r="Y6" i="717"/>
  <c r="V7" i="717"/>
  <c r="W7" i="717" s="1"/>
  <c r="X7" i="717" s="1"/>
  <c r="U13" i="717"/>
  <c r="U12" i="717"/>
  <c r="U8" i="717"/>
  <c r="V28" i="717"/>
  <c r="W28" i="717" s="1"/>
  <c r="X28" i="717" s="1"/>
  <c r="U10" i="717"/>
  <c r="U26" i="717"/>
  <c r="U6" i="717"/>
  <c r="U34" i="717"/>
  <c r="U33" i="717"/>
  <c r="U31" i="717"/>
  <c r="U14" i="717"/>
  <c r="U11" i="717"/>
  <c r="U4" i="717"/>
  <c r="U29" i="717"/>
  <c r="X11" i="717" l="1"/>
  <c r="X10" i="717"/>
  <c r="Z9" i="717"/>
  <c r="X4" i="717"/>
  <c r="X5" i="717"/>
  <c r="X32" i="717"/>
  <c r="Z26" i="717"/>
  <c r="Z31" i="717"/>
  <c r="Z29" i="717"/>
  <c r="X24" i="717"/>
  <c r="X14" i="717"/>
  <c r="Z30" i="717"/>
  <c r="Z33" i="717"/>
  <c r="X25" i="717"/>
  <c r="X8" i="717"/>
  <c r="X34" i="717"/>
  <c r="Z27" i="717"/>
  <c r="Z7" i="717"/>
  <c r="Z6" i="717"/>
  <c r="Z12" i="717"/>
  <c r="Z28" i="717"/>
  <c r="X13" i="717"/>
  <c r="R8" i="763" l="1"/>
  <c r="R11" i="763"/>
  <c r="R10" i="763"/>
  <c r="R14" i="763"/>
  <c r="R4" i="763"/>
  <c r="R13" i="763"/>
  <c r="R9" i="763"/>
  <c r="R12" i="763"/>
  <c r="R7" i="763"/>
  <c r="R5" i="763"/>
  <c r="R6" i="763"/>
  <c r="S5" i="763" l="1"/>
  <c r="S7" i="763"/>
  <c r="S14" i="763"/>
  <c r="S10" i="763"/>
  <c r="S13" i="763"/>
  <c r="S4" i="763"/>
  <c r="S6" i="763"/>
  <c r="S8" i="763"/>
  <c r="S9" i="763"/>
  <c r="S11" i="763"/>
  <c r="S12" i="763"/>
  <c r="T6" i="763" l="1"/>
  <c r="T10" i="763"/>
  <c r="T12" i="763"/>
  <c r="T8" i="763"/>
  <c r="T4" i="763"/>
  <c r="T14" i="763"/>
  <c r="T7" i="763"/>
  <c r="T5" i="763"/>
  <c r="T11" i="763"/>
  <c r="T13" i="763"/>
  <c r="T9" i="763"/>
  <c r="U11" i="763" l="1"/>
  <c r="U10" i="763"/>
  <c r="U4" i="763"/>
  <c r="U5" i="763"/>
  <c r="U6" i="763"/>
  <c r="U7" i="763"/>
  <c r="U9" i="763"/>
  <c r="U13" i="763"/>
  <c r="U12" i="763"/>
  <c r="U14" i="763"/>
  <c r="U8" i="763"/>
  <c r="V10" i="763" l="1"/>
  <c r="V4" i="763"/>
  <c r="V14" i="763"/>
  <c r="V7" i="763"/>
  <c r="V13" i="763"/>
  <c r="V11" i="763"/>
  <c r="V8" i="763"/>
  <c r="V12" i="763"/>
  <c r="V9" i="763"/>
  <c r="V5" i="763"/>
  <c r="V6" i="763"/>
  <c r="W4" i="763" l="1"/>
  <c r="W9" i="763"/>
  <c r="W14" i="763"/>
  <c r="W13" i="763"/>
  <c r="W8" i="763"/>
  <c r="W7" i="763"/>
  <c r="W10" i="763"/>
  <c r="W5" i="763"/>
  <c r="W11" i="763"/>
  <c r="W6" i="763"/>
  <c r="W12" i="763"/>
  <c r="X10" i="763" l="1"/>
  <c r="X9" i="763"/>
  <c r="X7" i="763"/>
  <c r="X8" i="763"/>
  <c r="X5" i="763"/>
  <c r="X13" i="763"/>
  <c r="X11" i="763"/>
  <c r="X6" i="763"/>
  <c r="X4" i="763"/>
  <c r="X12" i="763"/>
  <c r="X14" i="763"/>
  <c r="T7" i="713" l="1"/>
  <c r="T5" i="713" s="1"/>
  <c r="I4" i="713" a="1"/>
  <c r="I4" i="713" s="1"/>
  <c r="H3" i="713"/>
  <c r="H4" i="713"/>
  <c r="H5" i="713"/>
  <c r="H6" i="713"/>
  <c r="H7" i="713"/>
  <c r="H8" i="713"/>
  <c r="H9" i="713"/>
  <c r="H10" i="713"/>
  <c r="H11" i="713"/>
  <c r="H12" i="713"/>
  <c r="H13" i="713"/>
  <c r="H14" i="713"/>
  <c r="F4" i="713"/>
  <c r="G4" i="713"/>
  <c r="F5" i="713"/>
  <c r="G5" i="713"/>
  <c r="F6" i="713"/>
  <c r="G6" i="713"/>
  <c r="F7" i="713"/>
  <c r="G7" i="713"/>
  <c r="F8" i="713"/>
  <c r="G8" i="713"/>
  <c r="F9" i="713"/>
  <c r="G9" i="713"/>
  <c r="F10" i="713"/>
  <c r="G10" i="713"/>
  <c r="F11" i="713"/>
  <c r="G11" i="713"/>
  <c r="F12" i="713"/>
  <c r="G12" i="713"/>
  <c r="F13" i="713"/>
  <c r="G13" i="713"/>
  <c r="F14" i="713"/>
  <c r="G14" i="713"/>
  <c r="G3" i="713"/>
  <c r="F3" i="713"/>
  <c r="E5" i="713"/>
  <c r="E6" i="713" s="1"/>
  <c r="E7" i="713" s="1"/>
  <c r="E8" i="713" s="1"/>
  <c r="E9" i="713" s="1"/>
  <c r="E10" i="713" s="1"/>
  <c r="E11" i="713" s="1"/>
  <c r="E12" i="713" s="1"/>
  <c r="E13" i="713" s="1"/>
  <c r="E14" i="713" s="1"/>
  <c r="Y6" i="763" l="1"/>
  <c r="Y5" i="763"/>
  <c r="Y14" i="763"/>
  <c r="Y7" i="763"/>
  <c r="Y11" i="763"/>
  <c r="Y4" i="763"/>
  <c r="Y9" i="763"/>
  <c r="Y10" i="763"/>
  <c r="Y8" i="763"/>
  <c r="Y12" i="763"/>
  <c r="Y13" i="763"/>
  <c r="J4" i="713"/>
  <c r="I11" i="713"/>
  <c r="J11" i="713" s="1"/>
  <c r="I7" i="713"/>
  <c r="J7" i="713" s="1"/>
  <c r="I14" i="713"/>
  <c r="J14" i="713" s="1"/>
  <c r="I10" i="713"/>
  <c r="J10" i="713" s="1"/>
  <c r="I6" i="713"/>
  <c r="J6" i="713" s="1"/>
  <c r="I13" i="713"/>
  <c r="J13" i="713" s="1"/>
  <c r="I9" i="713"/>
  <c r="J9" i="713" s="1"/>
  <c r="I5" i="713"/>
  <c r="J5" i="713" s="1"/>
  <c r="I12" i="713"/>
  <c r="J12" i="713" s="1"/>
  <c r="I8" i="713"/>
  <c r="J8" i="713" s="1"/>
  <c r="T4" i="713" l="1"/>
  <c r="T6" i="713" s="1"/>
  <c r="L4" i="713" s="1"/>
  <c r="Z5" i="763" l="1"/>
  <c r="Z7" i="763"/>
  <c r="Z8" i="763"/>
  <c r="Z4" i="763"/>
  <c r="Z6" i="763"/>
  <c r="Z12" i="763"/>
  <c r="Z9" i="763"/>
  <c r="Z13" i="763"/>
  <c r="Z11" i="763"/>
  <c r="Z10" i="763"/>
  <c r="Z14" i="763"/>
  <c r="P9" i="713"/>
  <c r="P8" i="713"/>
  <c r="P6" i="713"/>
  <c r="M9" i="713"/>
  <c r="N9" i="713" s="1"/>
  <c r="O9" i="713" s="1"/>
  <c r="M8" i="713"/>
  <c r="N8" i="713" s="1"/>
  <c r="O8" i="713" s="1"/>
  <c r="M7" i="713"/>
  <c r="N7" i="713" s="1"/>
  <c r="O7" i="713" s="1"/>
  <c r="M6" i="713"/>
  <c r="N6" i="713" s="1"/>
  <c r="O6" i="713" s="1"/>
  <c r="M5" i="713"/>
  <c r="N5" i="713" s="1"/>
  <c r="Q5" i="713" s="1"/>
  <c r="M4" i="713"/>
  <c r="N4" i="713" s="1"/>
  <c r="O4" i="713" s="1"/>
  <c r="P13" i="713"/>
  <c r="P12" i="713"/>
  <c r="P11" i="713"/>
  <c r="P10" i="713"/>
  <c r="P7" i="713"/>
  <c r="P5" i="713"/>
  <c r="P14" i="713"/>
  <c r="P4" i="713"/>
  <c r="M14" i="713"/>
  <c r="N14" i="713" s="1"/>
  <c r="Q14" i="713" s="1"/>
  <c r="M13" i="713"/>
  <c r="N13" i="713" s="1"/>
  <c r="Q13" i="713" s="1"/>
  <c r="M12" i="713"/>
  <c r="N12" i="713" s="1"/>
  <c r="Q12" i="713" s="1"/>
  <c r="M11" i="713"/>
  <c r="N11" i="713" s="1"/>
  <c r="Q11" i="713" s="1"/>
  <c r="M10" i="713"/>
  <c r="N10" i="713" s="1"/>
  <c r="Q10" i="713" s="1"/>
  <c r="L11" i="713"/>
  <c r="L8" i="713"/>
  <c r="L10" i="713"/>
  <c r="L6" i="713"/>
  <c r="L12" i="713"/>
  <c r="L7" i="713"/>
  <c r="L13" i="713"/>
  <c r="L5" i="713"/>
  <c r="L14" i="713"/>
  <c r="L9" i="713"/>
  <c r="O14" i="713" l="1"/>
  <c r="Q6" i="713"/>
  <c r="Q7" i="713"/>
  <c r="Q9" i="713"/>
  <c r="O13" i="713"/>
  <c r="O10" i="713"/>
  <c r="O12" i="713"/>
  <c r="O5" i="713"/>
  <c r="Q4" i="713"/>
  <c r="Q8" i="713"/>
  <c r="O11" i="713"/>
  <c r="AA12" i="763" l="1"/>
  <c r="AA9" i="763"/>
  <c r="AA10" i="763"/>
  <c r="AA11" i="763"/>
  <c r="AA6" i="763"/>
  <c r="AA4" i="763"/>
  <c r="AA7" i="763"/>
  <c r="AA5" i="763"/>
  <c r="AA14" i="763"/>
  <c r="AA13" i="763"/>
  <c r="AA8" i="763"/>
  <c r="AB12" i="763" l="1"/>
  <c r="AB7" i="763"/>
  <c r="AB5" i="763" l="1"/>
  <c r="AB11" i="763"/>
  <c r="AB9" i="763"/>
  <c r="AB6" i="763"/>
  <c r="AB8" i="763"/>
  <c r="AB10" i="763"/>
  <c r="AB13" i="763"/>
  <c r="AB4" i="763"/>
  <c r="AB14" i="763"/>
  <c r="AC6" i="763" l="1"/>
  <c r="AC11" i="763"/>
  <c r="AC13" i="763"/>
  <c r="AC8" i="763"/>
  <c r="AC14" i="763"/>
  <c r="AC5" i="763"/>
  <c r="AC12" i="763"/>
  <c r="AC7" i="763"/>
  <c r="AC4" i="763"/>
  <c r="AC9" i="763"/>
  <c r="AC10" i="763"/>
  <c r="AD13" i="763" l="1"/>
  <c r="AD9" i="763"/>
  <c r="AD12" i="763"/>
  <c r="AD11" i="763"/>
  <c r="AD10" i="763"/>
  <c r="AD6" i="763"/>
  <c r="AD7" i="763"/>
  <c r="AD5" i="763"/>
  <c r="AD8" i="763"/>
  <c r="AD4" i="763"/>
  <c r="AD14" i="763"/>
  <c r="D13" i="667" l="1"/>
  <c r="F9" i="667"/>
  <c r="E9" i="667"/>
  <c r="E8" i="667" s="1"/>
  <c r="G8" i="667" l="1"/>
  <c r="G7" i="667"/>
  <c r="J12" i="667"/>
  <c r="G12" i="667"/>
  <c r="H12" i="667" s="1"/>
  <c r="I12" i="667"/>
  <c r="G13" i="667"/>
  <c r="H13" i="667" s="1"/>
  <c r="J13" i="667"/>
  <c r="I13" i="667"/>
  <c r="H7" i="667" l="1"/>
  <c r="I7" i="667" s="1"/>
  <c r="J7" i="667" s="1"/>
  <c r="J7" i="659" l="1"/>
  <c r="I7" i="659"/>
  <c r="J5" i="659" l="1"/>
  <c r="D14" i="659"/>
  <c r="E14" i="659" s="1"/>
  <c r="D11" i="659"/>
  <c r="E11" i="659" s="1"/>
  <c r="D12" i="659"/>
  <c r="E12" i="659" s="1"/>
  <c r="D6" i="659"/>
  <c r="E6" i="659" s="1"/>
  <c r="D8" i="659"/>
  <c r="E8" i="659" s="1"/>
  <c r="D5" i="659"/>
  <c r="E5" i="659" s="1"/>
  <c r="D13" i="659"/>
  <c r="E13" i="659" s="1"/>
  <c r="D10" i="659"/>
  <c r="E10" i="659" s="1"/>
  <c r="D7" i="659"/>
  <c r="E7" i="659" s="1"/>
  <c r="D9" i="659"/>
  <c r="E9" i="659" s="1"/>
  <c r="Q22" i="658"/>
  <c r="P22" i="658"/>
  <c r="B19" i="658"/>
  <c r="B20" i="658"/>
  <c r="D5" i="658" s="1"/>
  <c r="G5" i="658" s="1"/>
  <c r="G19" i="658" l="1"/>
  <c r="F20" i="658" s="1"/>
  <c r="D8" i="658"/>
  <c r="G8" i="658" s="1"/>
  <c r="D4" i="659"/>
  <c r="E4" i="659" s="1"/>
  <c r="E15" i="659" s="1"/>
  <c r="J6" i="659" s="1"/>
  <c r="K6" i="659" s="1"/>
  <c r="K5" i="659"/>
  <c r="D12" i="658"/>
  <c r="G12" i="658" s="1"/>
  <c r="D4" i="658"/>
  <c r="G4" i="658" s="1"/>
  <c r="D11" i="658"/>
  <c r="G11" i="658" s="1"/>
  <c r="D7" i="658"/>
  <c r="G7" i="658" s="1"/>
  <c r="E5" i="658"/>
  <c r="F5" i="658" s="1"/>
  <c r="D20" i="658"/>
  <c r="D19" i="658"/>
  <c r="D14" i="658"/>
  <c r="G14" i="658" s="1"/>
  <c r="D10" i="658"/>
  <c r="G10" i="658" s="1"/>
  <c r="D6" i="658"/>
  <c r="G6" i="658" s="1"/>
  <c r="F19" i="658"/>
  <c r="H5" i="658"/>
  <c r="I5" i="658" s="1"/>
  <c r="G20" i="658"/>
  <c r="D13" i="658"/>
  <c r="G13" i="658" s="1"/>
  <c r="D9" i="658"/>
  <c r="G9" i="658" s="1"/>
  <c r="E4" i="658" l="1"/>
  <c r="F4" i="658" s="1"/>
  <c r="H6" i="658"/>
  <c r="I6" i="658" s="1"/>
  <c r="E8" i="658"/>
  <c r="F8" i="658" s="1"/>
  <c r="H14" i="658"/>
  <c r="I14" i="658" s="1"/>
  <c r="H4" i="658"/>
  <c r="I4" i="658" s="1"/>
  <c r="H8" i="658"/>
  <c r="I8" i="658" s="1"/>
  <c r="E7" i="658"/>
  <c r="F7" i="658" s="1"/>
  <c r="I19" i="658" a="1"/>
  <c r="I19" i="658" s="1"/>
  <c r="E12" i="658"/>
  <c r="F12" i="658" s="1"/>
  <c r="H12" i="658"/>
  <c r="I12" i="658" s="1"/>
  <c r="H7" i="658"/>
  <c r="I7" i="658" s="1"/>
  <c r="L5" i="659"/>
  <c r="M5" i="659" s="1"/>
  <c r="H10" i="658"/>
  <c r="I10" i="658" s="1"/>
  <c r="E6" i="658"/>
  <c r="F6" i="658" s="1"/>
  <c r="E9" i="658"/>
  <c r="G15" i="658"/>
  <c r="E11" i="658"/>
  <c r="F11" i="658" s="1"/>
  <c r="H11" i="658"/>
  <c r="I11" i="658" s="1"/>
  <c r="H13" i="658"/>
  <c r="I13" i="658" s="1"/>
  <c r="E13" i="658"/>
  <c r="F13" i="658" s="1"/>
  <c r="H9" i="658"/>
  <c r="I9" i="658" s="1"/>
  <c r="L19" i="658" a="1"/>
  <c r="E14" i="658"/>
  <c r="F14" i="658" s="1"/>
  <c r="E10" i="658"/>
  <c r="F10" i="658" s="1"/>
  <c r="C11" i="655"/>
  <c r="D11" i="655" s="1"/>
  <c r="E11" i="655" s="1"/>
  <c r="C14" i="655"/>
  <c r="D14" i="655" s="1"/>
  <c r="E14" i="655" s="1"/>
  <c r="C13" i="655"/>
  <c r="D13" i="655" s="1"/>
  <c r="E13" i="655" s="1"/>
  <c r="C12" i="655"/>
  <c r="D12" i="655" s="1"/>
  <c r="E12" i="655" s="1"/>
  <c r="C10" i="655"/>
  <c r="D10" i="655" s="1"/>
  <c r="E10" i="655" s="1"/>
  <c r="C9" i="655"/>
  <c r="D9" i="655" s="1"/>
  <c r="E9" i="655" s="1"/>
  <c r="C8" i="655"/>
  <c r="D8" i="655" s="1"/>
  <c r="E8" i="655" s="1"/>
  <c r="C6" i="655"/>
  <c r="D6" i="655" s="1"/>
  <c r="E6" i="655" s="1"/>
  <c r="C5" i="655"/>
  <c r="D5" i="655" s="1"/>
  <c r="E5" i="655" s="1"/>
  <c r="C4" i="655"/>
  <c r="D4" i="655" s="1"/>
  <c r="E4" i="655" s="1"/>
  <c r="C8" i="654"/>
  <c r="D8" i="654" s="1"/>
  <c r="E8" i="654" s="1"/>
  <c r="I20" i="658" l="1"/>
  <c r="J19" i="658"/>
  <c r="J20" i="658"/>
  <c r="K11" i="659"/>
  <c r="L11" i="659" s="1"/>
  <c r="M11" i="659"/>
  <c r="N11" i="659"/>
  <c r="K10" i="659"/>
  <c r="L10" i="659" s="1"/>
  <c r="M10" i="659"/>
  <c r="N10" i="659"/>
  <c r="I15" i="658"/>
  <c r="H15" i="658"/>
  <c r="L19" i="658"/>
  <c r="M20" i="658"/>
  <c r="M19" i="658"/>
  <c r="L20" i="658"/>
  <c r="F9" i="658"/>
  <c r="F15" i="658" s="1"/>
  <c r="E15" i="658"/>
  <c r="C7" i="655"/>
  <c r="D7" i="655" s="1"/>
  <c r="E7" i="655" s="1"/>
  <c r="E15" i="655" s="1"/>
  <c r="C12" i="654"/>
  <c r="D12" i="654" s="1"/>
  <c r="E12" i="654" s="1"/>
  <c r="C4" i="654"/>
  <c r="D4" i="654" s="1"/>
  <c r="E4" i="654" s="1"/>
  <c r="C11" i="654"/>
  <c r="D11" i="654" s="1"/>
  <c r="E11" i="654" s="1"/>
  <c r="C7" i="654"/>
  <c r="D7" i="654" s="1"/>
  <c r="E7" i="654" s="1"/>
  <c r="C14" i="654"/>
  <c r="D14" i="654" s="1"/>
  <c r="E14" i="654" s="1"/>
  <c r="C10" i="654"/>
  <c r="D10" i="654" s="1"/>
  <c r="E10" i="654" s="1"/>
  <c r="C6" i="654"/>
  <c r="D6" i="654" s="1"/>
  <c r="E6" i="654" s="1"/>
  <c r="C13" i="654"/>
  <c r="D13" i="654" s="1"/>
  <c r="E13" i="654" s="1"/>
  <c r="C9" i="654"/>
  <c r="D9" i="654" s="1"/>
  <c r="E9" i="654" s="1"/>
  <c r="C5" i="654"/>
  <c r="D5" i="654" s="1"/>
  <c r="E5" i="654" s="1"/>
  <c r="B22" i="658" l="1" a="1"/>
  <c r="B23" i="658" s="1"/>
  <c r="F22" i="658" s="1"/>
  <c r="E15" i="654"/>
  <c r="B22" i="658" l="1"/>
  <c r="G22" i="658" s="1"/>
  <c r="F23" i="658" s="1"/>
  <c r="J22" i="650" a="1"/>
  <c r="J22" i="650" s="1"/>
  <c r="D23" i="658" l="1"/>
  <c r="G23" i="658"/>
  <c r="I22" i="658" s="1" a="1"/>
  <c r="D22" i="658"/>
  <c r="J23" i="650"/>
  <c r="L22" i="658" l="1" a="1"/>
  <c r="L22" i="658" s="1"/>
  <c r="J22" i="658"/>
  <c r="J23" i="658"/>
  <c r="I23" i="658"/>
  <c r="I22" i="658"/>
  <c r="M23" i="658" l="1"/>
  <c r="M22" i="658"/>
  <c r="L23" i="658"/>
  <c r="B25" i="658" a="1"/>
  <c r="B25" i="658" s="1"/>
  <c r="B26" i="658" l="1"/>
  <c r="F25" i="658" s="1"/>
  <c r="G25" i="658" l="1"/>
  <c r="F26" i="658" s="1"/>
  <c r="G26" i="658"/>
  <c r="D25" i="658"/>
  <c r="D26" i="658"/>
  <c r="L25" i="658" l="1" a="1"/>
  <c r="L26" i="658" s="1"/>
  <c r="I25" i="658" a="1"/>
  <c r="J25" i="658" s="1"/>
  <c r="L25" i="658" l="1"/>
  <c r="M26" i="658"/>
  <c r="M25" i="658"/>
  <c r="I26" i="658"/>
  <c r="J26" i="658"/>
  <c r="I25" i="658"/>
  <c r="B28" i="658" l="1" a="1"/>
  <c r="B28" i="658" s="1"/>
  <c r="B29" i="658" l="1"/>
  <c r="F28" i="658" s="1"/>
  <c r="D28" i="658" l="1"/>
  <c r="G29" i="658"/>
  <c r="D29" i="658"/>
  <c r="G28" i="658"/>
  <c r="F29" i="658" s="1"/>
  <c r="L28" i="658" l="1" a="1"/>
  <c r="M29" i="658" s="1"/>
  <c r="I28" i="658" a="1"/>
  <c r="J28" i="658" s="1"/>
  <c r="L29" i="658" l="1"/>
  <c r="M28" i="658"/>
  <c r="L28" i="658"/>
  <c r="I28" i="658"/>
  <c r="B31" i="658" s="1" a="1"/>
  <c r="B31" i="658" s="1"/>
  <c r="J29" i="658"/>
  <c r="I29" i="658"/>
  <c r="B32" i="658" l="1"/>
  <c r="Q21" i="658" s="1"/>
  <c r="P25" i="658"/>
  <c r="K6" i="658"/>
  <c r="L6" i="658" s="1"/>
  <c r="K14" i="658"/>
  <c r="L14" i="658" s="1"/>
  <c r="D32" i="658"/>
  <c r="D31" i="658"/>
  <c r="K9" i="658" l="1"/>
  <c r="L9" i="658" s="1"/>
  <c r="K11" i="658"/>
  <c r="L11" i="658" s="1"/>
  <c r="K12" i="658"/>
  <c r="L12" i="658" s="1"/>
  <c r="F31" i="658"/>
  <c r="G32" i="658"/>
  <c r="K13" i="658"/>
  <c r="L13" i="658" s="1"/>
  <c r="K10" i="658"/>
  <c r="L10" i="658" s="1"/>
  <c r="K4" i="658"/>
  <c r="P26" i="658"/>
  <c r="G31" i="658"/>
  <c r="F32" i="658" s="1"/>
  <c r="K5" i="658"/>
  <c r="L5" i="658" s="1"/>
  <c r="K8" i="658"/>
  <c r="L8" i="658" s="1"/>
  <c r="K7" i="658"/>
  <c r="L7" i="658" s="1"/>
  <c r="L4" i="658"/>
  <c r="L31" i="658" l="1" a="1"/>
  <c r="L31" i="658" s="1"/>
  <c r="I31" i="658" a="1"/>
  <c r="I32" i="658" s="1"/>
  <c r="L15" i="658"/>
  <c r="R21" i="658" s="1"/>
  <c r="Q20" i="658"/>
  <c r="R20" i="658" s="1"/>
  <c r="J6" i="101" a="1"/>
  <c r="J6" i="101" s="1"/>
  <c r="M31" i="658" l="1"/>
  <c r="J31" i="658"/>
  <c r="M32" i="658"/>
  <c r="Q26" i="658" s="1"/>
  <c r="U26" i="658" s="1"/>
  <c r="J32" i="658"/>
  <c r="L32" i="658"/>
  <c r="S20" i="658"/>
  <c r="T20" i="658" s="1"/>
  <c r="I31" i="658"/>
  <c r="Q25" i="658"/>
  <c r="U25" i="658" s="1"/>
  <c r="J7" i="101"/>
  <c r="J8" i="101"/>
  <c r="T26" i="658" l="1"/>
  <c r="R26" i="658"/>
  <c r="S26" i="658" s="1"/>
  <c r="R25" i="658"/>
  <c r="S25" i="658" s="1"/>
  <c r="T25" i="658"/>
  <c r="H12" i="618" l="1"/>
  <c r="H9" i="618"/>
  <c r="B9" i="618"/>
  <c r="B10" i="618" s="1"/>
  <c r="B6" i="618"/>
  <c r="B5" i="618"/>
  <c r="P3" i="616"/>
  <c r="P4" i="616"/>
  <c r="P6" i="616" s="1"/>
  <c r="G20" i="616" a="1"/>
  <c r="G22" i="616" s="1"/>
  <c r="I16" i="616"/>
  <c r="H14" i="616"/>
  <c r="U4" i="616" s="1"/>
  <c r="H10" i="616"/>
  <c r="H16" i="616" s="1"/>
  <c r="N4" i="617"/>
  <c r="N6" i="617" s="1"/>
  <c r="N3" i="617"/>
  <c r="E20" i="617" a="1"/>
  <c r="E20" i="617" s="1"/>
  <c r="G16" i="617"/>
  <c r="F14" i="617"/>
  <c r="F10" i="617"/>
  <c r="F16" i="617" s="1"/>
  <c r="H15" i="616" l="1"/>
  <c r="U5" i="616" s="1"/>
  <c r="U9" i="616" s="1"/>
  <c r="F15" i="617"/>
  <c r="U8" i="616"/>
  <c r="N5" i="617"/>
  <c r="N13" i="617" s="1"/>
  <c r="B13" i="618"/>
  <c r="P5" i="616"/>
  <c r="P13" i="616" s="1"/>
  <c r="G20" i="616"/>
  <c r="G21" i="616"/>
  <c r="E21" i="617"/>
  <c r="A5" i="473" l="1"/>
  <c r="A6" i="473" l="1"/>
  <c r="A7" i="473" l="1"/>
  <c r="A8" i="473" l="1"/>
  <c r="D20" i="607" a="1"/>
  <c r="D20" i="607" s="1"/>
  <c r="F16" i="607"/>
  <c r="E14" i="607"/>
  <c r="E10" i="607"/>
  <c r="E16" i="607" s="1"/>
  <c r="N6" i="607"/>
  <c r="Q6" i="606"/>
  <c r="G20" i="606" a="1"/>
  <c r="G20" i="606" s="1"/>
  <c r="I16" i="606"/>
  <c r="H14" i="606"/>
  <c r="H10" i="606"/>
  <c r="H16" i="606" s="1"/>
  <c r="E15" i="607" l="1"/>
  <c r="M9" i="607" s="1"/>
  <c r="M10" i="607" s="1"/>
  <c r="N10" i="607" s="1"/>
  <c r="H15" i="606"/>
  <c r="P9" i="606" s="1"/>
  <c r="P10" i="606" s="1"/>
  <c r="Q10" i="606" s="1"/>
  <c r="A9" i="473"/>
  <c r="G21" i="606"/>
  <c r="G22" i="606"/>
  <c r="N9" i="607" l="1"/>
  <c r="Q9" i="606"/>
  <c r="A10" i="473"/>
  <c r="A11" i="473" l="1"/>
  <c r="A12" i="473" l="1"/>
  <c r="A13" i="473" l="1"/>
  <c r="A14" i="473" l="1"/>
  <c r="J4" i="473" l="1"/>
  <c r="J5" i="473"/>
  <c r="B15" i="618"/>
  <c r="P20" i="721"/>
  <c r="P19" i="721"/>
  <c r="P17" i="721"/>
  <c r="P7" i="606"/>
  <c r="Q7" i="606" s="1"/>
  <c r="P18" i="721"/>
  <c r="H11" i="618"/>
  <c r="H13" i="618" s="1"/>
  <c r="H10" i="618"/>
  <c r="J20" i="607" l="1"/>
  <c r="J20" i="617"/>
  <c r="H20" i="617"/>
  <c r="I20" i="617" s="1"/>
  <c r="K20" i="617"/>
  <c r="K21" i="617"/>
  <c r="M19" i="616"/>
  <c r="L22" i="616"/>
  <c r="M21" i="616"/>
  <c r="L20" i="616"/>
  <c r="H19" i="617"/>
  <c r="I19" i="617" s="1"/>
  <c r="J19" i="617"/>
  <c r="G19" i="607"/>
  <c r="H19" i="607" s="1"/>
  <c r="J21" i="606"/>
  <c r="K21" i="606" s="1"/>
  <c r="Q19" i="721" s="1"/>
  <c r="L19" i="606"/>
  <c r="L21" i="606"/>
  <c r="K19" i="617"/>
  <c r="M7" i="607"/>
  <c r="N7" i="607" s="1"/>
  <c r="J20" i="606"/>
  <c r="K20" i="606" s="1"/>
  <c r="Q18" i="721" s="1"/>
  <c r="L21" i="616"/>
  <c r="J20" i="616"/>
  <c r="K20" i="616" s="1"/>
  <c r="I19" i="607"/>
  <c r="J21" i="616"/>
  <c r="K21" i="616" s="1"/>
  <c r="M22" i="616"/>
  <c r="G20" i="607"/>
  <c r="H20" i="607" s="1"/>
  <c r="J22" i="606"/>
  <c r="K22" i="606" s="1"/>
  <c r="Q20" i="721" s="1"/>
  <c r="L19" i="616"/>
  <c r="I20" i="607"/>
  <c r="M22" i="606"/>
  <c r="J19" i="616"/>
  <c r="K19" i="616" s="1"/>
  <c r="M19" i="606"/>
  <c r="J22" i="616"/>
  <c r="K22" i="616" s="1"/>
  <c r="M20" i="616"/>
  <c r="J19" i="607"/>
  <c r="L20" i="606"/>
  <c r="H21" i="617"/>
  <c r="I21" i="617" s="1"/>
  <c r="J21" i="617"/>
  <c r="L22" i="606"/>
  <c r="M21" i="606"/>
  <c r="J19" i="606"/>
  <c r="K19" i="606" s="1"/>
  <c r="Q17" i="721" s="1"/>
  <c r="M20" i="606"/>
  <c r="H7" i="616"/>
  <c r="I15" i="616"/>
  <c r="J14" i="616"/>
  <c r="P18" i="616"/>
  <c r="U6" i="616"/>
  <c r="J15" i="616" l="1"/>
  <c r="H9" i="616" s="1"/>
  <c r="U7" i="616"/>
  <c r="P17" i="616"/>
  <c r="P19" i="616" s="1"/>
  <c r="H6" i="616"/>
  <c r="P8" i="616"/>
  <c r="P9" i="616" s="1"/>
  <c r="P10" i="616" s="1"/>
  <c r="U14" i="616"/>
  <c r="H8" i="616"/>
  <c r="P15" i="616" l="1"/>
  <c r="U11" i="616"/>
  <c r="K14" i="616"/>
  <c r="U3" i="616" l="1"/>
  <c r="L14" i="616"/>
  <c r="M14" i="616" s="1"/>
  <c r="U15" i="616" l="1"/>
  <c r="U16" i="616"/>
  <c r="E11" i="88" l="1"/>
  <c r="E9" i="88" l="1"/>
  <c r="F4" i="473" l="1" a="1"/>
  <c r="F7" i="473" s="1"/>
  <c r="G7" i="473" s="1"/>
  <c r="F14" i="473" l="1"/>
  <c r="G14" i="473" s="1"/>
  <c r="F10" i="473"/>
  <c r="G10" i="473" s="1"/>
  <c r="F6" i="473"/>
  <c r="G6" i="473" s="1"/>
  <c r="F13" i="473"/>
  <c r="G13" i="473" s="1"/>
  <c r="F9" i="473"/>
  <c r="G9" i="473" s="1"/>
  <c r="F5" i="473"/>
  <c r="G5" i="473" s="1"/>
  <c r="F12" i="473"/>
  <c r="G12" i="473" s="1"/>
  <c r="F8" i="473"/>
  <c r="G8" i="473" s="1"/>
  <c r="F4" i="473"/>
  <c r="G4" i="473" s="1"/>
  <c r="F11" i="473"/>
  <c r="G11" i="473" s="1"/>
  <c r="J3" i="473" l="1"/>
  <c r="J6" i="473" l="1"/>
  <c r="O8" i="473"/>
  <c r="Z31" i="459" l="1"/>
  <c r="AC13" i="459" s="1"/>
  <c r="Z31" i="458"/>
  <c r="AC13" i="458" s="1"/>
  <c r="W19" i="459" l="1"/>
  <c r="W12" i="459"/>
  <c r="W10" i="459"/>
  <c r="W18" i="459"/>
  <c r="V16" i="459"/>
  <c r="V27" i="459"/>
  <c r="V28" i="459"/>
  <c r="V29" i="459"/>
  <c r="V26" i="459"/>
  <c r="V12" i="459"/>
  <c r="V17" i="459"/>
  <c r="V13" i="459"/>
  <c r="X21" i="459"/>
  <c r="X25" i="459" s="1"/>
  <c r="X29" i="459" s="1"/>
  <c r="X19" i="459"/>
  <c r="X23" i="459" s="1"/>
  <c r="X27" i="459" s="1"/>
  <c r="X17" i="459"/>
  <c r="X15" i="459"/>
  <c r="V22" i="459"/>
  <c r="V10" i="459"/>
  <c r="V23" i="459"/>
  <c r="V15" i="459"/>
  <c r="V11" i="459"/>
  <c r="V24" i="459"/>
  <c r="V25" i="459"/>
  <c r="V14" i="459"/>
  <c r="X20" i="459"/>
  <c r="X24" i="459" s="1"/>
  <c r="X28" i="459" s="1"/>
  <c r="X18" i="459"/>
  <c r="X22" i="459" s="1"/>
  <c r="X26" i="459" s="1"/>
  <c r="X16" i="459"/>
  <c r="X14" i="459"/>
  <c r="W13" i="459"/>
  <c r="W11" i="459"/>
  <c r="W20" i="459"/>
  <c r="W21" i="459"/>
  <c r="W13" i="458"/>
  <c r="W20" i="458"/>
  <c r="W21" i="458"/>
  <c r="W11" i="458"/>
  <c r="W12" i="458"/>
  <c r="W10" i="458"/>
  <c r="W18" i="458"/>
  <c r="W19" i="458"/>
  <c r="X21" i="458"/>
  <c r="X25" i="458" s="1"/>
  <c r="X29" i="458" s="1"/>
  <c r="X17" i="458"/>
  <c r="X19" i="458"/>
  <c r="X23" i="458" s="1"/>
  <c r="X27" i="458" s="1"/>
  <c r="X15" i="458"/>
  <c r="V25" i="458"/>
  <c r="V22" i="458"/>
  <c r="V14" i="458"/>
  <c r="V10" i="458"/>
  <c r="V23" i="458"/>
  <c r="V15" i="458"/>
  <c r="V11" i="458"/>
  <c r="V24" i="458"/>
  <c r="X20" i="458"/>
  <c r="X24" i="458" s="1"/>
  <c r="X28" i="458" s="1"/>
  <c r="X18" i="458"/>
  <c r="X22" i="458" s="1"/>
  <c r="X26" i="458" s="1"/>
  <c r="X16" i="458"/>
  <c r="X14" i="458"/>
  <c r="V29" i="458"/>
  <c r="V28" i="458"/>
  <c r="V26" i="458"/>
  <c r="V16" i="458"/>
  <c r="V12" i="458"/>
  <c r="V27" i="458"/>
  <c r="V17" i="458"/>
  <c r="V13" i="458"/>
  <c r="W23" i="459" l="1"/>
  <c r="W27" i="459" s="1"/>
  <c r="Y27" i="459" s="1"/>
  <c r="W24" i="459"/>
  <c r="W28" i="459" s="1"/>
  <c r="Y28" i="459" s="1"/>
  <c r="Z28" i="459" s="1"/>
  <c r="W22" i="459"/>
  <c r="W25" i="459"/>
  <c r="W29" i="459" s="1"/>
  <c r="Y29" i="459" s="1"/>
  <c r="Z29" i="459" s="1"/>
  <c r="W22" i="458"/>
  <c r="W24" i="458"/>
  <c r="W28" i="458" s="1"/>
  <c r="Y28" i="458" s="1"/>
  <c r="Z28" i="458" s="1"/>
  <c r="W23" i="458"/>
  <c r="W27" i="458" s="1"/>
  <c r="Y27" i="458" s="1"/>
  <c r="Z27" i="458" s="1"/>
  <c r="W25" i="458"/>
  <c r="W29" i="458" s="1"/>
  <c r="Y29" i="458" s="1"/>
  <c r="Z29" i="458" s="1"/>
  <c r="Y24" i="458" l="1"/>
  <c r="Z24" i="458" s="1"/>
  <c r="Y23" i="459"/>
  <c r="Z23" i="459" s="1"/>
  <c r="Z27" i="459"/>
  <c r="Y25" i="459"/>
  <c r="Z25" i="459" s="1"/>
  <c r="W26" i="459"/>
  <c r="Y24" i="459"/>
  <c r="Z24" i="459" s="1"/>
  <c r="Y22" i="459"/>
  <c r="W26" i="458"/>
  <c r="Y22" i="458"/>
  <c r="Y23" i="458"/>
  <c r="Y25" i="458"/>
  <c r="Z22" i="459" l="1"/>
  <c r="Y26" i="459"/>
  <c r="Y17" i="459" s="1"/>
  <c r="Y26" i="458"/>
  <c r="Y8" i="458" s="1"/>
  <c r="Z22" i="458"/>
  <c r="Z25" i="458"/>
  <c r="Z23" i="458"/>
  <c r="Y19" i="458" l="1"/>
  <c r="Z19" i="458" s="1"/>
  <c r="Y4" i="458"/>
  <c r="Z4" i="458" s="1"/>
  <c r="Y20" i="459"/>
  <c r="Z20" i="459" s="1"/>
  <c r="Y13" i="459"/>
  <c r="Z13" i="459" s="1"/>
  <c r="Y11" i="458"/>
  <c r="Z11" i="458" s="1"/>
  <c r="Y13" i="458"/>
  <c r="Z13" i="458" s="1"/>
  <c r="Z17" i="459"/>
  <c r="Y14" i="459"/>
  <c r="Z14" i="459" s="1"/>
  <c r="Y15" i="459"/>
  <c r="Z15" i="459" s="1"/>
  <c r="Y15" i="458"/>
  <c r="Z15" i="458" s="1"/>
  <c r="Y7" i="458"/>
  <c r="Z7" i="458" s="1"/>
  <c r="Y10" i="459"/>
  <c r="Z10" i="459" s="1"/>
  <c r="Y21" i="459"/>
  <c r="Z21" i="459" s="1"/>
  <c r="Y19" i="459"/>
  <c r="Z19" i="459" s="1"/>
  <c r="Y17" i="458"/>
  <c r="Z17" i="458" s="1"/>
  <c r="Y9" i="458"/>
  <c r="Z9" i="458" s="1"/>
  <c r="Y14" i="458"/>
  <c r="Z14" i="458" s="1"/>
  <c r="Y4" i="459"/>
  <c r="Z4" i="459" s="1"/>
  <c r="Y20" i="458"/>
  <c r="Z20" i="458" s="1"/>
  <c r="Y21" i="458"/>
  <c r="Z21" i="458" s="1"/>
  <c r="Y9" i="459"/>
  <c r="Z9" i="459" s="1"/>
  <c r="Y11" i="459"/>
  <c r="Z11" i="459" s="1"/>
  <c r="Y7" i="459"/>
  <c r="Z7" i="459" s="1"/>
  <c r="Y10" i="458"/>
  <c r="Z10" i="458" s="1"/>
  <c r="Y18" i="458"/>
  <c r="Y12" i="458"/>
  <c r="Y30" i="458"/>
  <c r="AD13" i="458" s="1"/>
  <c r="AE13" i="458" s="1"/>
  <c r="Y6" i="458"/>
  <c r="Z26" i="459"/>
  <c r="Z30" i="459" s="1"/>
  <c r="Y5" i="459"/>
  <c r="Y16" i="459"/>
  <c r="Y8" i="459"/>
  <c r="Y12" i="459"/>
  <c r="Y6" i="459"/>
  <c r="Y18" i="459"/>
  <c r="Y30" i="459"/>
  <c r="Z26" i="458"/>
  <c r="Z8" i="458" s="1"/>
  <c r="Y16" i="458"/>
  <c r="Y5" i="458"/>
  <c r="Z15" i="448"/>
  <c r="Z16" i="448"/>
  <c r="Z17" i="448"/>
  <c r="Z18" i="448"/>
  <c r="Z14" i="448"/>
  <c r="Y15" i="448"/>
  <c r="Y16" i="448"/>
  <c r="Y17" i="448"/>
  <c r="Y18" i="448"/>
  <c r="Y14" i="448"/>
  <c r="Z10" i="448"/>
  <c r="Z11" i="448"/>
  <c r="Z12" i="448"/>
  <c r="Z13" i="448"/>
  <c r="Z9" i="448"/>
  <c r="Y10" i="448"/>
  <c r="Y11" i="448"/>
  <c r="Y12" i="448"/>
  <c r="Y13" i="448"/>
  <c r="Y9" i="448"/>
  <c r="Z5" i="448"/>
  <c r="Z6" i="448"/>
  <c r="Z7" i="448"/>
  <c r="Z8" i="448"/>
  <c r="Z4" i="448"/>
  <c r="Y5" i="448"/>
  <c r="Y6" i="448"/>
  <c r="Y7" i="448"/>
  <c r="Y8" i="448"/>
  <c r="Y4" i="448"/>
  <c r="Z3" i="448"/>
  <c r="Y3" i="448"/>
  <c r="X14" i="448"/>
  <c r="X9" i="448"/>
  <c r="X4" i="448"/>
  <c r="Z12" i="459" l="1"/>
  <c r="Z6" i="458"/>
  <c r="AD6" i="458" s="1"/>
  <c r="AE6" i="458" s="1"/>
  <c r="Z16" i="458"/>
  <c r="Z16" i="459"/>
  <c r="AD13" i="459"/>
  <c r="AE13" i="459" s="1"/>
  <c r="Z5" i="459"/>
  <c r="AD5" i="459" s="1"/>
  <c r="AE5" i="459" s="1"/>
  <c r="Z18" i="459"/>
  <c r="Z6" i="459"/>
  <c r="AD6" i="459" s="1"/>
  <c r="Z8" i="459"/>
  <c r="AD7" i="459" s="1"/>
  <c r="AD7" i="458"/>
  <c r="Z30" i="458"/>
  <c r="Z18" i="458"/>
  <c r="Z5" i="458"/>
  <c r="AD5" i="458" s="1"/>
  <c r="Z12" i="458"/>
  <c r="AD8" i="458" l="1"/>
  <c r="AE8" i="458" s="1"/>
  <c r="AD10" i="458"/>
  <c r="AE10" i="458" s="1"/>
  <c r="AD9" i="458"/>
  <c r="AE9" i="458" s="1"/>
  <c r="AD11" i="459"/>
  <c r="AE11" i="459" s="1"/>
  <c r="AD9" i="459"/>
  <c r="AE9" i="459" s="1"/>
  <c r="AD10" i="459"/>
  <c r="AE10" i="459" s="1"/>
  <c r="AE7" i="459"/>
  <c r="AD12" i="459"/>
  <c r="AE12" i="459" s="1"/>
  <c r="AF5" i="459" s="1"/>
  <c r="AG5" i="459" s="1"/>
  <c r="AH5" i="459" s="1"/>
  <c r="AD8" i="459"/>
  <c r="AE8" i="459" s="1"/>
  <c r="AE6" i="459"/>
  <c r="AE7" i="458"/>
  <c r="AE5" i="458"/>
  <c r="AD12" i="458"/>
  <c r="AE12" i="458" s="1"/>
  <c r="AD11" i="458"/>
  <c r="AE11" i="458" s="1"/>
  <c r="L19" i="448" a="1"/>
  <c r="L19" i="448" s="1"/>
  <c r="M19" i="448" a="1"/>
  <c r="M19" i="448" s="1"/>
  <c r="K19" i="448" a="1"/>
  <c r="K19" i="448" s="1"/>
  <c r="K18" i="448" a="1"/>
  <c r="K18" i="448" s="1"/>
  <c r="N19" i="448"/>
  <c r="S9" i="448" s="1"/>
  <c r="X40" i="179" a="1"/>
  <c r="Y41" i="179" s="1"/>
  <c r="L6" i="448" l="1" a="1"/>
  <c r="L6" i="448" s="1"/>
  <c r="M6" i="448" a="1"/>
  <c r="M6" i="448" s="1"/>
  <c r="K6" i="448" a="1"/>
  <c r="K6" i="448" s="1"/>
  <c r="L12" i="448" a="1"/>
  <c r="L12" i="448" s="1"/>
  <c r="M12" i="448" a="1"/>
  <c r="M12" i="448" s="1"/>
  <c r="K12" i="448" a="1"/>
  <c r="K12" i="448" s="1"/>
  <c r="K5" i="448" a="1"/>
  <c r="K5" i="448" s="1"/>
  <c r="M5" i="448" a="1"/>
  <c r="M5" i="448" s="1"/>
  <c r="L5" i="448" a="1"/>
  <c r="L5" i="448" s="1"/>
  <c r="K11" i="448" a="1"/>
  <c r="K11" i="448" s="1"/>
  <c r="M11" i="448" a="1"/>
  <c r="M11" i="448" s="1"/>
  <c r="L11" i="448" a="1"/>
  <c r="L11" i="448" s="1"/>
  <c r="AF9" i="458"/>
  <c r="AG9" i="458" s="1"/>
  <c r="AH9" i="458" s="1"/>
  <c r="AF6" i="459"/>
  <c r="AG6" i="459" s="1"/>
  <c r="AH6" i="459" s="1"/>
  <c r="AF10" i="459"/>
  <c r="AG10" i="459" s="1"/>
  <c r="AH10" i="459" s="1"/>
  <c r="AF8" i="459"/>
  <c r="AG8" i="459" s="1"/>
  <c r="AH8" i="459" s="1"/>
  <c r="AF9" i="459"/>
  <c r="AG9" i="459" s="1"/>
  <c r="AH9" i="459" s="1"/>
  <c r="AF11" i="459"/>
  <c r="AG11" i="459" s="1"/>
  <c r="AH11" i="459" s="1"/>
  <c r="AF7" i="459"/>
  <c r="AG7" i="459" s="1"/>
  <c r="AH7" i="459" s="1"/>
  <c r="AF8" i="458"/>
  <c r="AG8" i="458" s="1"/>
  <c r="AH8" i="458" s="1"/>
  <c r="AF10" i="458"/>
  <c r="AG10" i="458" s="1"/>
  <c r="AH10" i="458" s="1"/>
  <c r="AF5" i="458"/>
  <c r="AG5" i="458" s="1"/>
  <c r="AH5" i="458" s="1"/>
  <c r="AF6" i="458"/>
  <c r="AG6" i="458" s="1"/>
  <c r="AH6" i="458" s="1"/>
  <c r="AF7" i="458"/>
  <c r="AG7" i="458" s="1"/>
  <c r="AH7" i="458" s="1"/>
  <c r="AF11" i="458"/>
  <c r="AG11" i="458" s="1"/>
  <c r="AH11" i="458" s="1"/>
  <c r="L17" i="448" a="1"/>
  <c r="L17" i="448" s="1"/>
  <c r="N17" i="448" a="1"/>
  <c r="N17" i="448" s="1"/>
  <c r="N18" i="448" a="1"/>
  <c r="N18" i="448" s="1"/>
  <c r="M18" i="448" a="1"/>
  <c r="M18" i="448" s="1"/>
  <c r="L18" i="448" a="1"/>
  <c r="L18" i="448" s="1"/>
  <c r="K17" i="448" a="1"/>
  <c r="K17" i="448" s="1"/>
  <c r="M17" i="448" a="1"/>
  <c r="M17" i="448" s="1"/>
  <c r="X43" i="179"/>
  <c r="X41" i="179"/>
  <c r="Y44" i="179"/>
  <c r="Y42" i="179"/>
  <c r="Y40" i="179"/>
  <c r="X44" i="179"/>
  <c r="X42" i="179"/>
  <c r="X40" i="179"/>
  <c r="Y43" i="179"/>
  <c r="K3" i="448" l="1"/>
  <c r="L7" i="448" a="1"/>
  <c r="L7" i="448" s="1"/>
  <c r="M7" i="448" a="1"/>
  <c r="M7" i="448" s="1"/>
  <c r="N6" i="448" a="1"/>
  <c r="N6" i="448" s="1"/>
  <c r="N12" i="448" a="1"/>
  <c r="N12" i="448" s="1"/>
  <c r="L13" i="448" a="1"/>
  <c r="L13" i="448" s="1"/>
  <c r="K13" i="448" a="1"/>
  <c r="K13" i="448" s="1"/>
  <c r="N11" i="448" a="1"/>
  <c r="N11" i="448" s="1"/>
  <c r="M13" i="448" a="1"/>
  <c r="M13" i="448" s="1"/>
  <c r="K7" i="448" a="1"/>
  <c r="K7" i="448" s="1"/>
  <c r="N5" i="448" a="1"/>
  <c r="N5" i="448" s="1"/>
  <c r="N13" i="448" l="1" a="1"/>
  <c r="N13" i="448" s="1"/>
  <c r="N7" i="448" a="1"/>
  <c r="N7" i="448" s="1"/>
  <c r="R9" i="448" s="1"/>
  <c r="R5" i="448"/>
  <c r="S5" i="448" s="1"/>
  <c r="R6" i="448"/>
  <c r="R7" i="448" l="1"/>
  <c r="S7" i="448" s="1"/>
  <c r="S6" i="448"/>
  <c r="Q9" i="448"/>
  <c r="R8" i="448" l="1"/>
  <c r="S8" i="448" s="1"/>
  <c r="T5" i="448" s="1"/>
  <c r="U5" i="448" s="1"/>
  <c r="V5" i="448" s="1"/>
  <c r="AT9" i="251"/>
  <c r="AT7" i="251" s="1"/>
  <c r="AI6" i="251" a="1"/>
  <c r="AI6" i="251" s="1"/>
  <c r="AH5" i="251"/>
  <c r="AH6" i="251"/>
  <c r="AH7" i="251"/>
  <c r="AH8" i="251"/>
  <c r="AH9" i="251"/>
  <c r="AH10" i="251"/>
  <c r="AH11" i="251"/>
  <c r="AH12" i="251"/>
  <c r="AH13" i="251"/>
  <c r="AH14" i="251"/>
  <c r="AH15" i="251"/>
  <c r="AH16" i="251"/>
  <c r="AF6" i="251"/>
  <c r="AG6" i="251"/>
  <c r="AF7" i="251"/>
  <c r="AG7" i="251"/>
  <c r="AF8" i="251"/>
  <c r="AG8" i="251"/>
  <c r="AF9" i="251"/>
  <c r="AG9" i="251"/>
  <c r="AF10" i="251"/>
  <c r="AG10" i="251"/>
  <c r="AF11" i="251"/>
  <c r="AG11" i="251"/>
  <c r="AF12" i="251"/>
  <c r="AG12" i="251"/>
  <c r="AF13" i="251"/>
  <c r="AG13" i="251"/>
  <c r="AF14" i="251"/>
  <c r="AG14" i="251"/>
  <c r="AF15" i="251"/>
  <c r="AG15" i="251"/>
  <c r="AF16" i="251"/>
  <c r="AG16" i="251"/>
  <c r="AG5" i="251"/>
  <c r="AF5" i="251"/>
  <c r="AE7" i="251"/>
  <c r="AE8" i="251" s="1"/>
  <c r="AE9" i="251" s="1"/>
  <c r="AE10" i="251" s="1"/>
  <c r="AE11" i="251" s="1"/>
  <c r="AE12" i="251" s="1"/>
  <c r="AE13" i="251" s="1"/>
  <c r="AE14" i="251" s="1"/>
  <c r="AE15" i="251" s="1"/>
  <c r="AE16" i="251" s="1"/>
  <c r="AJ6" i="251" l="1"/>
  <c r="T7" i="448"/>
  <c r="U7" i="448" s="1"/>
  <c r="V7" i="448" s="1"/>
  <c r="T6" i="448"/>
  <c r="U6" i="448" s="1"/>
  <c r="V6" i="448" s="1"/>
  <c r="AI13" i="251"/>
  <c r="AJ13" i="251" s="1"/>
  <c r="AI9" i="251"/>
  <c r="AJ9" i="251" s="1"/>
  <c r="AI16" i="251"/>
  <c r="AJ16" i="251" s="1"/>
  <c r="AI12" i="251"/>
  <c r="AJ12" i="251" s="1"/>
  <c r="AI8" i="251"/>
  <c r="AJ8" i="251" s="1"/>
  <c r="AI15" i="251"/>
  <c r="AJ15" i="251" s="1"/>
  <c r="AI11" i="251"/>
  <c r="AJ11" i="251" s="1"/>
  <c r="AI7" i="251"/>
  <c r="AJ7" i="251" s="1"/>
  <c r="AI14" i="251"/>
  <c r="AJ14" i="251" s="1"/>
  <c r="AI10" i="251"/>
  <c r="AJ10" i="251" s="1"/>
  <c r="Y44" i="431" a="1"/>
  <c r="Y44" i="431" s="1"/>
  <c r="Y20" i="431" a="1"/>
  <c r="Y20" i="431" s="1"/>
  <c r="I52" i="431" a="1"/>
  <c r="I52" i="431" s="1"/>
  <c r="E37" i="431"/>
  <c r="F37" i="431"/>
  <c r="G37" i="431"/>
  <c r="E38" i="431"/>
  <c r="F38" i="431"/>
  <c r="G38" i="431"/>
  <c r="E39" i="431"/>
  <c r="F39" i="431"/>
  <c r="G39" i="431"/>
  <c r="E40" i="431"/>
  <c r="F40" i="431"/>
  <c r="G40" i="431"/>
  <c r="E41" i="431"/>
  <c r="F41" i="431"/>
  <c r="G41" i="431"/>
  <c r="E42" i="431"/>
  <c r="F42" i="431"/>
  <c r="G42" i="431"/>
  <c r="E43" i="431"/>
  <c r="F43" i="431"/>
  <c r="G43" i="431"/>
  <c r="E44" i="431"/>
  <c r="F44" i="431"/>
  <c r="G44" i="431"/>
  <c r="E45" i="431"/>
  <c r="F45" i="431"/>
  <c r="G45" i="431"/>
  <c r="E46" i="431"/>
  <c r="F46" i="431"/>
  <c r="G46" i="431"/>
  <c r="F36" i="431"/>
  <c r="G36" i="431"/>
  <c r="E36" i="431"/>
  <c r="Y8" i="431" a="1"/>
  <c r="Y8" i="431" s="1"/>
  <c r="I26" i="431"/>
  <c r="R7" i="431" a="1"/>
  <c r="S7" i="431" s="1"/>
  <c r="G7" i="431"/>
  <c r="G8" i="431"/>
  <c r="G9" i="431"/>
  <c r="G10" i="431"/>
  <c r="G11" i="431"/>
  <c r="G12" i="431"/>
  <c r="G13" i="431"/>
  <c r="G14" i="431"/>
  <c r="G15" i="431"/>
  <c r="G16" i="431"/>
  <c r="G6" i="431"/>
  <c r="E7" i="431"/>
  <c r="F7" i="431"/>
  <c r="E8" i="431"/>
  <c r="F8" i="431"/>
  <c r="E9" i="431"/>
  <c r="F9" i="431"/>
  <c r="E10" i="431"/>
  <c r="F10" i="431"/>
  <c r="E11" i="431"/>
  <c r="F11" i="431"/>
  <c r="E12" i="431"/>
  <c r="F12" i="431"/>
  <c r="E13" i="431"/>
  <c r="F13" i="431"/>
  <c r="E14" i="431"/>
  <c r="F14" i="431"/>
  <c r="E15" i="431"/>
  <c r="F15" i="431"/>
  <c r="E16" i="431"/>
  <c r="F16" i="431"/>
  <c r="F6" i="431"/>
  <c r="E6" i="431"/>
  <c r="I22" i="431" a="1"/>
  <c r="I22" i="431" s="1"/>
  <c r="I27" i="431" s="1"/>
  <c r="J26" i="431" l="1"/>
  <c r="J28" i="431"/>
  <c r="J27" i="431"/>
  <c r="J16" i="431"/>
  <c r="J46" i="431"/>
  <c r="S9" i="431"/>
  <c r="T10" i="431"/>
  <c r="R8" i="431"/>
  <c r="AT6" i="251"/>
  <c r="AT8" i="251" s="1"/>
  <c r="AL6" i="251" s="1"/>
  <c r="T9" i="431"/>
  <c r="R7" i="431"/>
  <c r="K48" i="431"/>
  <c r="R11" i="431"/>
  <c r="S8" i="431"/>
  <c r="T11" i="431"/>
  <c r="S10" i="431"/>
  <c r="R9" i="431"/>
  <c r="T7" i="431"/>
  <c r="Y45" i="431"/>
  <c r="S11" i="431"/>
  <c r="R10" i="431"/>
  <c r="T8" i="431"/>
  <c r="J42" i="431"/>
  <c r="J48" i="431" s="1"/>
  <c r="Y21" i="431"/>
  <c r="I53" i="431"/>
  <c r="K18" i="431"/>
  <c r="Y9" i="431"/>
  <c r="J12" i="431"/>
  <c r="J18" i="431" s="1"/>
  <c r="I23" i="431"/>
  <c r="I28" i="431" s="1"/>
  <c r="J47" i="431" l="1"/>
  <c r="AP6" i="251"/>
  <c r="J17" i="431"/>
  <c r="N22" i="431" s="1"/>
  <c r="AM12" i="251"/>
  <c r="AN12" i="251" s="1"/>
  <c r="AQ12" i="251" s="1"/>
  <c r="AM7" i="251"/>
  <c r="AN7" i="251" s="1"/>
  <c r="AO7" i="251" s="1"/>
  <c r="AM14" i="251"/>
  <c r="AN14" i="251" s="1"/>
  <c r="AO14" i="251" s="1"/>
  <c r="AM9" i="251"/>
  <c r="AN9" i="251" s="1"/>
  <c r="AO9" i="251" s="1"/>
  <c r="AM6" i="251"/>
  <c r="AN6" i="251" s="1"/>
  <c r="AQ6" i="251" s="1"/>
  <c r="AP14" i="251"/>
  <c r="AL12" i="251"/>
  <c r="AL14" i="251"/>
  <c r="AM15" i="251"/>
  <c r="AN15" i="251" s="1"/>
  <c r="AQ15" i="251" s="1"/>
  <c r="AM11" i="251"/>
  <c r="AN11" i="251" s="1"/>
  <c r="AQ11" i="251" s="1"/>
  <c r="AM8" i="251"/>
  <c r="AN8" i="251" s="1"/>
  <c r="AO8" i="251" s="1"/>
  <c r="AM10" i="251"/>
  <c r="AN10" i="251" s="1"/>
  <c r="AQ10" i="251" s="1"/>
  <c r="AM13" i="251"/>
  <c r="AN13" i="251" s="1"/>
  <c r="AQ13" i="251" s="1"/>
  <c r="AM16" i="251"/>
  <c r="AN16" i="251" s="1"/>
  <c r="AQ16" i="251" s="1"/>
  <c r="AL16" i="251"/>
  <c r="AL9" i="251"/>
  <c r="AL8" i="251"/>
  <c r="AL13" i="251"/>
  <c r="AL10" i="251"/>
  <c r="AP7" i="251"/>
  <c r="AP9" i="251"/>
  <c r="AP12" i="251"/>
  <c r="Y15" i="431"/>
  <c r="AP15" i="251"/>
  <c r="AP11" i="251"/>
  <c r="AP8" i="251"/>
  <c r="AP10" i="251"/>
  <c r="AP13" i="251"/>
  <c r="AP16" i="251"/>
  <c r="AL11" i="251"/>
  <c r="AL15" i="251"/>
  <c r="AL7" i="251"/>
  <c r="Y14" i="431"/>
  <c r="N52" i="431"/>
  <c r="L52" i="431"/>
  <c r="M52" i="431" s="1"/>
  <c r="O52" i="431"/>
  <c r="L51" i="431"/>
  <c r="M51" i="431" s="1"/>
  <c r="O51" i="431"/>
  <c r="N51" i="431"/>
  <c r="O53" i="431"/>
  <c r="L53" i="431"/>
  <c r="M53" i="431" s="1"/>
  <c r="N53" i="431"/>
  <c r="J58" i="431"/>
  <c r="J56" i="431"/>
  <c r="J57" i="431"/>
  <c r="L23" i="431"/>
  <c r="L21" i="431"/>
  <c r="L22" i="431"/>
  <c r="P15" i="426"/>
  <c r="P12" i="426" a="1"/>
  <c r="P12" i="426" s="1"/>
  <c r="P27" i="89" a="1"/>
  <c r="P27" i="89" s="1"/>
  <c r="H23" i="426"/>
  <c r="H22" i="426"/>
  <c r="D7" i="426"/>
  <c r="D8" i="426"/>
  <c r="D9" i="426"/>
  <c r="D10" i="426"/>
  <c r="D11" i="426"/>
  <c r="D12" i="426"/>
  <c r="D13" i="426"/>
  <c r="D14" i="426"/>
  <c r="D15" i="426"/>
  <c r="D16" i="426"/>
  <c r="D6" i="426"/>
  <c r="E16" i="426"/>
  <c r="E15" i="426"/>
  <c r="E14" i="426"/>
  <c r="E13" i="426"/>
  <c r="E12" i="426"/>
  <c r="E11" i="426"/>
  <c r="E10" i="426"/>
  <c r="E9" i="426"/>
  <c r="E8" i="426"/>
  <c r="E7" i="426"/>
  <c r="E6" i="426"/>
  <c r="O22" i="431" l="1"/>
  <c r="M22" i="431"/>
  <c r="N23" i="431"/>
  <c r="N21" i="431"/>
  <c r="O21" i="431"/>
  <c r="O23" i="431"/>
  <c r="M21" i="431"/>
  <c r="M23" i="431"/>
  <c r="AQ7" i="251"/>
  <c r="AO12" i="251"/>
  <c r="AQ14" i="251"/>
  <c r="AQ9" i="251"/>
  <c r="AO16" i="251"/>
  <c r="AO11" i="251"/>
  <c r="AO15" i="251"/>
  <c r="AO13" i="251"/>
  <c r="AO6" i="251"/>
  <c r="AO10" i="251"/>
  <c r="P7" i="426"/>
  <c r="AQ8" i="251"/>
  <c r="K23" i="426"/>
  <c r="P6" i="426"/>
  <c r="Y39" i="431"/>
  <c r="Y38" i="431"/>
  <c r="P13" i="426"/>
  <c r="P28" i="89"/>
  <c r="B19" i="426"/>
  <c r="H4" i="395" l="1"/>
  <c r="J4" i="395" s="1"/>
  <c r="H5" i="395"/>
  <c r="J5" i="395" s="1"/>
  <c r="H6" i="395"/>
  <c r="J6" i="395" s="1"/>
  <c r="H7" i="395"/>
  <c r="J7" i="395" s="1"/>
  <c r="H8" i="395"/>
  <c r="J8" i="395" s="1"/>
  <c r="H9" i="395"/>
  <c r="J9" i="395" s="1"/>
  <c r="H10" i="395"/>
  <c r="J10" i="395" s="1"/>
  <c r="H11" i="395"/>
  <c r="J11" i="395" s="1"/>
  <c r="H12" i="395"/>
  <c r="J12" i="395" s="1"/>
  <c r="H13" i="395"/>
  <c r="J13" i="395" s="1"/>
  <c r="H14" i="395"/>
  <c r="J14" i="395" s="1"/>
  <c r="F8" i="395" l="1"/>
  <c r="E22" i="392" l="1"/>
  <c r="E23" i="392" s="1"/>
  <c r="E24" i="392" s="1"/>
  <c r="D18" i="392"/>
  <c r="E18" i="392"/>
  <c r="F18" i="392"/>
  <c r="G18" i="392"/>
  <c r="H18" i="392"/>
  <c r="I18" i="392"/>
  <c r="J18" i="392"/>
  <c r="C18" i="392"/>
  <c r="D17" i="392"/>
  <c r="E17" i="392" l="1"/>
  <c r="F17" i="392" l="1"/>
  <c r="G17" i="392" l="1"/>
  <c r="H17" i="392" l="1"/>
  <c r="I17" i="392" l="1"/>
  <c r="J17" i="392" l="1"/>
  <c r="C23" i="392" l="1"/>
  <c r="C24" i="392" s="1"/>
  <c r="O42" i="219" l="1"/>
  <c r="F10" i="342" l="1"/>
  <c r="I14" i="341" l="1"/>
  <c r="I13" i="341"/>
  <c r="I12" i="341"/>
  <c r="I11" i="341"/>
  <c r="I10" i="341"/>
  <c r="I9" i="341"/>
  <c r="I8" i="341"/>
  <c r="I7" i="341"/>
  <c r="I6" i="341"/>
  <c r="AB5" i="341"/>
  <c r="AB6" i="341" s="1"/>
  <c r="AB7" i="341" s="1"/>
  <c r="AB8" i="341" s="1"/>
  <c r="AB9" i="341" s="1"/>
  <c r="AB10" i="341" s="1"/>
  <c r="AB11" i="341" s="1"/>
  <c r="AB12" i="341" s="1"/>
  <c r="AB13" i="341" s="1"/>
  <c r="AB14" i="341" s="1"/>
  <c r="I5" i="341"/>
  <c r="I4" i="341"/>
  <c r="Q17" i="341" l="1" a="1"/>
  <c r="Q17" i="341" s="1"/>
  <c r="H20" i="342" l="1"/>
  <c r="I20" i="342" s="1"/>
  <c r="H19" i="342"/>
  <c r="I19" i="342" s="1"/>
  <c r="K20" i="342"/>
  <c r="H21" i="342"/>
  <c r="I21" i="342" s="1"/>
  <c r="J21" i="342"/>
  <c r="K21" i="342"/>
  <c r="J20" i="342"/>
  <c r="J19" i="342" l="1"/>
  <c r="K19" i="342"/>
  <c r="AL6" i="101" l="1"/>
  <c r="AK6" i="101"/>
  <c r="AL5" i="101"/>
  <c r="AK5" i="101"/>
  <c r="AK4" i="101"/>
  <c r="AD29" i="101"/>
  <c r="AE27" i="101"/>
  <c r="AE26" i="101"/>
  <c r="AD28" i="101"/>
  <c r="AD27" i="101"/>
  <c r="AD26" i="101"/>
  <c r="AE15" i="101"/>
  <c r="AD15" i="101"/>
  <c r="AE14" i="101"/>
  <c r="AD14" i="101"/>
  <c r="AE5" i="101"/>
  <c r="AD5" i="101"/>
  <c r="AE4" i="101"/>
  <c r="AD4" i="101"/>
  <c r="R23" i="251"/>
  <c r="S23" i="251"/>
  <c r="T23" i="251"/>
  <c r="R24" i="251"/>
  <c r="S24" i="251"/>
  <c r="T24" i="251"/>
  <c r="R25" i="251"/>
  <c r="S25" i="251"/>
  <c r="T25" i="251"/>
  <c r="R26" i="251"/>
  <c r="S26" i="251"/>
  <c r="T26" i="251"/>
  <c r="R27" i="251"/>
  <c r="S27" i="251"/>
  <c r="T27" i="251"/>
  <c r="R28" i="251"/>
  <c r="S28" i="251"/>
  <c r="T28" i="251"/>
  <c r="R29" i="251"/>
  <c r="S29" i="251"/>
  <c r="T29" i="251"/>
  <c r="R30" i="251"/>
  <c r="S30" i="251"/>
  <c r="T30" i="251"/>
  <c r="R31" i="251"/>
  <c r="S31" i="251"/>
  <c r="T31" i="251"/>
  <c r="R32" i="251"/>
  <c r="S32" i="251"/>
  <c r="T32" i="251"/>
  <c r="S22" i="251"/>
  <c r="T22" i="251"/>
  <c r="R22" i="251"/>
  <c r="Q23" i="251"/>
  <c r="Q24" i="251" s="1"/>
  <c r="Q25" i="251" s="1"/>
  <c r="Q26" i="251" s="1"/>
  <c r="Q27" i="251" s="1"/>
  <c r="Q28" i="251" s="1"/>
  <c r="Q29" i="251" s="1"/>
  <c r="Q30" i="251" s="1"/>
  <c r="Q31" i="251" s="1"/>
  <c r="Q32" i="251" s="1"/>
  <c r="O20" i="251"/>
  <c r="AK9" i="101" l="1"/>
  <c r="AK7" i="101"/>
  <c r="AK8" i="101" s="1"/>
  <c r="AF27" i="101"/>
  <c r="AF4" i="101"/>
  <c r="AD6" i="101"/>
  <c r="AF14" i="101"/>
  <c r="AL4" i="101"/>
  <c r="AF15" i="101"/>
  <c r="AF26" i="101"/>
  <c r="AF5" i="101"/>
  <c r="G43" i="252"/>
  <c r="F43" i="252"/>
  <c r="V81" i="252" s="1"/>
  <c r="G42" i="252"/>
  <c r="F42" i="252"/>
  <c r="V80" i="252" s="1"/>
  <c r="G41" i="252"/>
  <c r="F41" i="252"/>
  <c r="V79" i="252" s="1"/>
  <c r="G40" i="252"/>
  <c r="F40" i="252"/>
  <c r="V78" i="252" s="1"/>
  <c r="G39" i="252"/>
  <c r="F39" i="252"/>
  <c r="V77" i="252" s="1"/>
  <c r="G38" i="252"/>
  <c r="F38" i="252"/>
  <c r="V76" i="252" s="1"/>
  <c r="G37" i="252"/>
  <c r="F37" i="252"/>
  <c r="V75" i="252" s="1"/>
  <c r="G36" i="252"/>
  <c r="F36" i="252"/>
  <c r="V74" i="252" s="1"/>
  <c r="G35" i="252"/>
  <c r="F35" i="252"/>
  <c r="V73" i="252" s="1"/>
  <c r="G34" i="252"/>
  <c r="F34" i="252"/>
  <c r="G33" i="252"/>
  <c r="F33" i="252"/>
  <c r="V71" i="252" s="1"/>
  <c r="G32" i="252"/>
  <c r="F32" i="252"/>
  <c r="V70" i="252" s="1"/>
  <c r="G31" i="252"/>
  <c r="F31" i="252"/>
  <c r="V69" i="252" s="1"/>
  <c r="G30" i="252"/>
  <c r="F30" i="252"/>
  <c r="V68" i="252" s="1"/>
  <c r="E30" i="252"/>
  <c r="E31" i="252" s="1"/>
  <c r="E32" i="252" s="1"/>
  <c r="E33" i="252" s="1"/>
  <c r="E34" i="252" s="1"/>
  <c r="E35" i="252" s="1"/>
  <c r="E36" i="252" s="1"/>
  <c r="E37" i="252" s="1"/>
  <c r="E38" i="252" s="1"/>
  <c r="E39" i="252" s="1"/>
  <c r="E40" i="252" s="1"/>
  <c r="E41" i="252" s="1"/>
  <c r="E42" i="252" s="1"/>
  <c r="E43" i="252" s="1"/>
  <c r="I47" i="252" s="1"/>
  <c r="G29" i="252"/>
  <c r="F29" i="252"/>
  <c r="F18" i="252"/>
  <c r="S79" i="252" s="1"/>
  <c r="G18" i="252"/>
  <c r="F19" i="252"/>
  <c r="S80" i="252" s="1"/>
  <c r="G19" i="252"/>
  <c r="F20" i="252"/>
  <c r="S81" i="252" s="1"/>
  <c r="G20" i="252"/>
  <c r="F7" i="252"/>
  <c r="S68" i="252" s="1"/>
  <c r="G7" i="252"/>
  <c r="F8" i="252"/>
  <c r="S69" i="252" s="1"/>
  <c r="G8" i="252"/>
  <c r="F9" i="252"/>
  <c r="S70" i="252" s="1"/>
  <c r="G9" i="252"/>
  <c r="F10" i="252"/>
  <c r="S71" i="252" s="1"/>
  <c r="G10" i="252"/>
  <c r="F11" i="252"/>
  <c r="S72" i="252" s="1"/>
  <c r="G11" i="252"/>
  <c r="F12" i="252"/>
  <c r="S73" i="252" s="1"/>
  <c r="G12" i="252"/>
  <c r="F13" i="252"/>
  <c r="S74" i="252" s="1"/>
  <c r="G13" i="252"/>
  <c r="F14" i="252"/>
  <c r="S75" i="252" s="1"/>
  <c r="G14" i="252"/>
  <c r="F15" i="252"/>
  <c r="S76" i="252" s="1"/>
  <c r="G15" i="252"/>
  <c r="F16" i="252"/>
  <c r="S77" i="252" s="1"/>
  <c r="G16" i="252"/>
  <c r="F17" i="252"/>
  <c r="S78" i="252" s="1"/>
  <c r="G17" i="252"/>
  <c r="G6" i="252"/>
  <c r="F6" i="252"/>
  <c r="E7" i="252"/>
  <c r="E8" i="252" s="1"/>
  <c r="E9" i="252" s="1"/>
  <c r="E10" i="252" s="1"/>
  <c r="E11" i="252" s="1"/>
  <c r="E12" i="252" s="1"/>
  <c r="E13" i="252" s="1"/>
  <c r="E14" i="252" s="1"/>
  <c r="E15" i="252" s="1"/>
  <c r="E16" i="252" s="1"/>
  <c r="E17" i="252" s="1"/>
  <c r="E18" i="252" s="1"/>
  <c r="E19" i="252" s="1"/>
  <c r="E20" i="252" s="1"/>
  <c r="I24" i="252" s="1"/>
  <c r="O18" i="251"/>
  <c r="I14" i="251"/>
  <c r="G14" i="251"/>
  <c r="F14" i="251"/>
  <c r="I13" i="251"/>
  <c r="G13" i="251"/>
  <c r="F13" i="251"/>
  <c r="I12" i="251"/>
  <c r="G12" i="251"/>
  <c r="F12" i="251"/>
  <c r="I11" i="251"/>
  <c r="G11" i="251"/>
  <c r="F11" i="251"/>
  <c r="I10" i="251"/>
  <c r="G10" i="251"/>
  <c r="F10" i="251"/>
  <c r="I9" i="251"/>
  <c r="G9" i="251"/>
  <c r="F9" i="251"/>
  <c r="I8" i="251"/>
  <c r="G8" i="251"/>
  <c r="F8" i="251"/>
  <c r="I7" i="251"/>
  <c r="G7" i="251"/>
  <c r="F7" i="251"/>
  <c r="I6" i="251"/>
  <c r="G6" i="251"/>
  <c r="F6" i="251"/>
  <c r="AB5" i="251"/>
  <c r="AB6" i="251" s="1"/>
  <c r="AB7" i="251" s="1"/>
  <c r="AB8" i="251" s="1"/>
  <c r="AB9" i="251" s="1"/>
  <c r="AB10" i="251" s="1"/>
  <c r="AB11" i="251" s="1"/>
  <c r="AB12" i="251" s="1"/>
  <c r="AB13" i="251" s="1"/>
  <c r="AB14" i="251" s="1"/>
  <c r="I5" i="251"/>
  <c r="G5" i="251"/>
  <c r="F5" i="251"/>
  <c r="I4" i="251"/>
  <c r="G4" i="251"/>
  <c r="F4" i="251"/>
  <c r="AL7" i="101" l="1"/>
  <c r="AL8" i="101" s="1"/>
  <c r="AL9" i="101"/>
  <c r="AF16" i="101"/>
  <c r="AF18" i="101" s="1"/>
  <c r="AF19" i="101" s="1"/>
  <c r="AF6" i="101"/>
  <c r="AF7" i="101" s="1"/>
  <c r="AF30" i="101"/>
  <c r="AF32" i="101" s="1"/>
  <c r="AF33" i="101" s="1"/>
  <c r="F22" i="252"/>
  <c r="H34" i="252"/>
  <c r="I34" i="252" s="1"/>
  <c r="F46" i="252"/>
  <c r="H30" i="252"/>
  <c r="I30" i="252" s="1"/>
  <c r="V72" i="252"/>
  <c r="F23" i="252"/>
  <c r="H40" i="252"/>
  <c r="I40" i="252" s="1"/>
  <c r="S67" i="252"/>
  <c r="H37" i="252"/>
  <c r="I37" i="252" s="1"/>
  <c r="H7" i="252"/>
  <c r="I7" i="252" s="1"/>
  <c r="H13" i="252"/>
  <c r="I13" i="252" s="1"/>
  <c r="H29" i="252"/>
  <c r="I29" i="252" s="1"/>
  <c r="V67" i="252"/>
  <c r="H42" i="252"/>
  <c r="I42" i="252" s="1"/>
  <c r="H36" i="252"/>
  <c r="I36" i="252" s="1"/>
  <c r="H32" i="252"/>
  <c r="I32" i="252" s="1"/>
  <c r="H41" i="252"/>
  <c r="I41" i="252" s="1"/>
  <c r="H38" i="252"/>
  <c r="I38" i="252" s="1"/>
  <c r="H35" i="252"/>
  <c r="I35" i="252" s="1"/>
  <c r="H31" i="252"/>
  <c r="I31" i="252" s="1"/>
  <c r="H43" i="252"/>
  <c r="I43" i="252" s="1"/>
  <c r="H39" i="252"/>
  <c r="I39" i="252" s="1"/>
  <c r="H33" i="252"/>
  <c r="I33" i="252" s="1"/>
  <c r="F45" i="252"/>
  <c r="H9" i="252"/>
  <c r="I9" i="252" s="1"/>
  <c r="H6" i="252"/>
  <c r="I6" i="252" s="1"/>
  <c r="H17" i="252"/>
  <c r="I17" i="252" s="1"/>
  <c r="H18" i="252"/>
  <c r="I18" i="252" s="1"/>
  <c r="H14" i="252"/>
  <c r="I14" i="252" s="1"/>
  <c r="H10" i="252"/>
  <c r="I10" i="252" s="1"/>
  <c r="H20" i="252"/>
  <c r="I20" i="252" s="1"/>
  <c r="H16" i="252"/>
  <c r="I16" i="252" s="1"/>
  <c r="H12" i="252"/>
  <c r="I12" i="252" s="1"/>
  <c r="H8" i="252"/>
  <c r="I8" i="252" s="1"/>
  <c r="H19" i="252"/>
  <c r="I19" i="252" s="1"/>
  <c r="H15" i="252"/>
  <c r="I15" i="252" s="1"/>
  <c r="H11" i="252"/>
  <c r="I11" i="252" s="1"/>
  <c r="E17" i="251" a="1"/>
  <c r="AF9" i="101" l="1"/>
  <c r="AF10" i="101" s="1"/>
  <c r="J20" i="252"/>
  <c r="J41" i="252"/>
  <c r="J10" i="252"/>
  <c r="J17" i="252"/>
  <c r="J12" i="252"/>
  <c r="J15" i="252"/>
  <c r="J19" i="252"/>
  <c r="J13" i="252"/>
  <c r="J16" i="252"/>
  <c r="J14" i="252"/>
  <c r="J6" i="252"/>
  <c r="J11" i="252"/>
  <c r="J8" i="252"/>
  <c r="J18" i="252"/>
  <c r="J7" i="252"/>
  <c r="J9" i="252"/>
  <c r="J34" i="252"/>
  <c r="J39" i="252"/>
  <c r="J40" i="252"/>
  <c r="J38" i="252"/>
  <c r="J42" i="252"/>
  <c r="J36" i="252"/>
  <c r="J37" i="252"/>
  <c r="J31" i="252"/>
  <c r="J35" i="252"/>
  <c r="J33" i="252"/>
  <c r="J29" i="252"/>
  <c r="J43" i="252"/>
  <c r="J32" i="252"/>
  <c r="J30" i="252"/>
  <c r="I46" i="252"/>
  <c r="I48" i="252" s="1"/>
  <c r="I23" i="252"/>
  <c r="F19" i="251"/>
  <c r="E18" i="251"/>
  <c r="G18" i="251"/>
  <c r="F17" i="251"/>
  <c r="G19" i="251"/>
  <c r="F18" i="251"/>
  <c r="E17" i="251"/>
  <c r="E19" i="251"/>
  <c r="G17" i="251"/>
  <c r="I25" i="252" l="1"/>
  <c r="N18" i="252" s="1"/>
  <c r="N29" i="252"/>
  <c r="N39" i="252"/>
  <c r="N43" i="252"/>
  <c r="N31" i="252"/>
  <c r="N35" i="252"/>
  <c r="N42" i="252"/>
  <c r="N34" i="252"/>
  <c r="N33" i="252"/>
  <c r="N37" i="252"/>
  <c r="N41" i="252"/>
  <c r="N38" i="252"/>
  <c r="N30" i="252"/>
  <c r="N36" i="252"/>
  <c r="N40" i="252"/>
  <c r="N32" i="252"/>
  <c r="N10" i="252"/>
  <c r="K4" i="251" a="1"/>
  <c r="Q4" i="251" a="1"/>
  <c r="K31" i="252" l="1"/>
  <c r="L31" i="252" s="1"/>
  <c r="O31" i="252" s="1"/>
  <c r="K35" i="252"/>
  <c r="L35" i="252" s="1"/>
  <c r="O35" i="252" s="1"/>
  <c r="K39" i="252"/>
  <c r="L39" i="252" s="1"/>
  <c r="K43" i="252"/>
  <c r="L43" i="252" s="1"/>
  <c r="K33" i="252"/>
  <c r="L33" i="252" s="1"/>
  <c r="K37" i="252"/>
  <c r="L37" i="252" s="1"/>
  <c r="K41" i="252"/>
  <c r="L41" i="252" s="1"/>
  <c r="K30" i="252"/>
  <c r="L30" i="252" s="1"/>
  <c r="K34" i="252"/>
  <c r="L34" i="252" s="1"/>
  <c r="K38" i="252"/>
  <c r="L38" i="252" s="1"/>
  <c r="K42" i="252"/>
  <c r="L42" i="252" s="1"/>
  <c r="K32" i="252"/>
  <c r="L32" i="252" s="1"/>
  <c r="O32" i="252" s="1"/>
  <c r="K36" i="252"/>
  <c r="L36" i="252" s="1"/>
  <c r="K40" i="252"/>
  <c r="L40" i="252" s="1"/>
  <c r="K29" i="252"/>
  <c r="L29" i="252" s="1"/>
  <c r="N20" i="252"/>
  <c r="N13" i="252"/>
  <c r="N6" i="252"/>
  <c r="N15" i="252"/>
  <c r="N8" i="252"/>
  <c r="K9" i="252"/>
  <c r="L9" i="252" s="1"/>
  <c r="K13" i="252"/>
  <c r="L13" i="252" s="1"/>
  <c r="K17" i="252"/>
  <c r="L17" i="252" s="1"/>
  <c r="K6" i="252"/>
  <c r="L6" i="252" s="1"/>
  <c r="K10" i="252"/>
  <c r="L10" i="252" s="1"/>
  <c r="K14" i="252"/>
  <c r="L14" i="252" s="1"/>
  <c r="K18" i="252"/>
  <c r="L18" i="252" s="1"/>
  <c r="K7" i="252"/>
  <c r="L7" i="252" s="1"/>
  <c r="K11" i="252"/>
  <c r="L11" i="252" s="1"/>
  <c r="K15" i="252"/>
  <c r="L15" i="252" s="1"/>
  <c r="K19" i="252"/>
  <c r="L19" i="252" s="1"/>
  <c r="K8" i="252"/>
  <c r="L8" i="252" s="1"/>
  <c r="K12" i="252"/>
  <c r="L12" i="252" s="1"/>
  <c r="K16" i="252"/>
  <c r="L16" i="252" s="1"/>
  <c r="K20" i="252"/>
  <c r="L20" i="252" s="1"/>
  <c r="N11" i="252"/>
  <c r="N9" i="252"/>
  <c r="N19" i="252"/>
  <c r="N17" i="252"/>
  <c r="N7" i="252"/>
  <c r="N12" i="252"/>
  <c r="N14" i="252"/>
  <c r="N16" i="252"/>
  <c r="Y14" i="251"/>
  <c r="U14" i="251"/>
  <c r="Q14" i="251"/>
  <c r="X13" i="251"/>
  <c r="T13" i="251"/>
  <c r="AA12" i="251"/>
  <c r="W12" i="251"/>
  <c r="S12" i="251"/>
  <c r="Z11" i="251"/>
  <c r="V11" i="251"/>
  <c r="R11" i="251"/>
  <c r="Y10" i="251"/>
  <c r="U10" i="251"/>
  <c r="Q10" i="251"/>
  <c r="X9" i="251"/>
  <c r="T9" i="251"/>
  <c r="AA8" i="251"/>
  <c r="W8" i="251"/>
  <c r="S8" i="251"/>
  <c r="Z7" i="251"/>
  <c r="V7" i="251"/>
  <c r="R7" i="251"/>
  <c r="Y6" i="251"/>
  <c r="U6" i="251"/>
  <c r="Q6" i="251"/>
  <c r="X5" i="251"/>
  <c r="T5" i="251"/>
  <c r="AA4" i="251"/>
  <c r="W4" i="251"/>
  <c r="S4" i="251"/>
  <c r="AA14" i="251"/>
  <c r="X32" i="251" s="1"/>
  <c r="W14" i="251"/>
  <c r="S14" i="251"/>
  <c r="Z13" i="251"/>
  <c r="X31" i="251" s="1"/>
  <c r="V13" i="251"/>
  <c r="R13" i="251"/>
  <c r="Y12" i="251"/>
  <c r="X30" i="251" s="1"/>
  <c r="U12" i="251"/>
  <c r="Q12" i="251"/>
  <c r="X11" i="251"/>
  <c r="X29" i="251" s="1"/>
  <c r="T11" i="251"/>
  <c r="AA10" i="251"/>
  <c r="W10" i="251"/>
  <c r="X28" i="251" s="1"/>
  <c r="S10" i="251"/>
  <c r="Z9" i="251"/>
  <c r="V9" i="251"/>
  <c r="X27" i="251" s="1"/>
  <c r="R9" i="251"/>
  <c r="Y8" i="251"/>
  <c r="U8" i="251"/>
  <c r="X26" i="251" s="1"/>
  <c r="Q8" i="251"/>
  <c r="X7" i="251"/>
  <c r="T7" i="251"/>
  <c r="X25" i="251" s="1"/>
  <c r="AA6" i="251"/>
  <c r="W6" i="251"/>
  <c r="S6" i="251"/>
  <c r="X24" i="251" s="1"/>
  <c r="Z5" i="251"/>
  <c r="V5" i="251"/>
  <c r="R5" i="251"/>
  <c r="X23" i="251" s="1"/>
  <c r="Y4" i="251"/>
  <c r="U4" i="251"/>
  <c r="Q4" i="251"/>
  <c r="X22" i="251" s="1"/>
  <c r="Z14" i="251"/>
  <c r="V14" i="251"/>
  <c r="R14" i="251"/>
  <c r="Y13" i="251"/>
  <c r="U13" i="251"/>
  <c r="Q13" i="251"/>
  <c r="X12" i="251"/>
  <c r="T12" i="251"/>
  <c r="AA11" i="251"/>
  <c r="W11" i="251"/>
  <c r="S11" i="251"/>
  <c r="Z10" i="251"/>
  <c r="V10" i="251"/>
  <c r="R10" i="251"/>
  <c r="Y9" i="251"/>
  <c r="U9" i="251"/>
  <c r="Q9" i="251"/>
  <c r="X8" i="251"/>
  <c r="T8" i="251"/>
  <c r="AA7" i="251"/>
  <c r="W7" i="251"/>
  <c r="S7" i="251"/>
  <c r="Z6" i="251"/>
  <c r="V6" i="251"/>
  <c r="R6" i="251"/>
  <c r="Y5" i="251"/>
  <c r="U5" i="251"/>
  <c r="Q5" i="251"/>
  <c r="X4" i="251"/>
  <c r="T4" i="251"/>
  <c r="AA13" i="251"/>
  <c r="V12" i="251"/>
  <c r="Q11" i="251"/>
  <c r="W9" i="251"/>
  <c r="R8" i="251"/>
  <c r="X6" i="251"/>
  <c r="S5" i="251"/>
  <c r="W13" i="251"/>
  <c r="R12" i="251"/>
  <c r="X10" i="251"/>
  <c r="S9" i="251"/>
  <c r="Y7" i="251"/>
  <c r="T6" i="251"/>
  <c r="Z4" i="251"/>
  <c r="X14" i="251"/>
  <c r="S13" i="251"/>
  <c r="Y11" i="251"/>
  <c r="T10" i="251"/>
  <c r="Z8" i="251"/>
  <c r="U7" i="251"/>
  <c r="AA5" i="251"/>
  <c r="V4" i="251"/>
  <c r="T14" i="251"/>
  <c r="Z12" i="251"/>
  <c r="U11" i="251"/>
  <c r="AA9" i="251"/>
  <c r="V8" i="251"/>
  <c r="Q7" i="251"/>
  <c r="W5" i="251"/>
  <c r="R4" i="251"/>
  <c r="K5" i="251"/>
  <c r="K4" i="251"/>
  <c r="K6" i="251"/>
  <c r="M7" i="252" l="1"/>
  <c r="O7" i="252"/>
  <c r="M42" i="252"/>
  <c r="O42" i="252"/>
  <c r="M39" i="252"/>
  <c r="O39" i="252"/>
  <c r="M20" i="252"/>
  <c r="O20" i="252"/>
  <c r="M19" i="252"/>
  <c r="O19" i="252"/>
  <c r="M18" i="252"/>
  <c r="O18" i="252"/>
  <c r="M17" i="252"/>
  <c r="O17" i="252"/>
  <c r="M40" i="252"/>
  <c r="O40" i="252"/>
  <c r="M38" i="252"/>
  <c r="O38" i="252"/>
  <c r="M37" i="252"/>
  <c r="O37" i="252"/>
  <c r="M8" i="252"/>
  <c r="O8" i="252"/>
  <c r="M29" i="252"/>
  <c r="O29" i="252"/>
  <c r="M41" i="252"/>
  <c r="O41" i="252"/>
  <c r="M16" i="252"/>
  <c r="O16" i="252"/>
  <c r="M15" i="252"/>
  <c r="O15" i="252"/>
  <c r="M14" i="252"/>
  <c r="O14" i="252"/>
  <c r="M13" i="252"/>
  <c r="O13" i="252"/>
  <c r="M36" i="252"/>
  <c r="O36" i="252"/>
  <c r="M34" i="252"/>
  <c r="O34" i="252"/>
  <c r="M33" i="252"/>
  <c r="O33" i="252"/>
  <c r="M6" i="252"/>
  <c r="O6" i="252"/>
  <c r="M12" i="252"/>
  <c r="O12" i="252"/>
  <c r="M11" i="252"/>
  <c r="O11" i="252"/>
  <c r="M10" i="252"/>
  <c r="O10" i="252"/>
  <c r="M9" i="252"/>
  <c r="O9" i="252"/>
  <c r="M30" i="252"/>
  <c r="O30" i="252"/>
  <c r="M43" i="252"/>
  <c r="O43" i="252"/>
  <c r="T71" i="252"/>
  <c r="W72" i="252"/>
  <c r="W74" i="252"/>
  <c r="M32" i="252"/>
  <c r="W70" i="252"/>
  <c r="T74" i="252"/>
  <c r="T70" i="252"/>
  <c r="T73" i="252"/>
  <c r="T75" i="252"/>
  <c r="T76" i="252"/>
  <c r="T79" i="252"/>
  <c r="T77" i="252"/>
  <c r="W78" i="252"/>
  <c r="M35" i="252"/>
  <c r="W73" i="252"/>
  <c r="T81" i="252"/>
  <c r="T78" i="252"/>
  <c r="W77" i="252"/>
  <c r="W80" i="252"/>
  <c r="W75" i="252"/>
  <c r="M31" i="252"/>
  <c r="W69" i="252"/>
  <c r="M4" i="251" a="1"/>
  <c r="M11" i="251" s="1"/>
  <c r="U29" i="251" s="1"/>
  <c r="V29" i="251" s="1"/>
  <c r="T67" i="252"/>
  <c r="T69" i="252"/>
  <c r="W68" i="252"/>
  <c r="T72" i="252"/>
  <c r="T80" i="252"/>
  <c r="W81" i="252"/>
  <c r="W71" i="252"/>
  <c r="W76" i="252"/>
  <c r="W79" i="252"/>
  <c r="T68" i="252"/>
  <c r="W67" i="252"/>
  <c r="M7" i="251" l="1"/>
  <c r="U25" i="251" s="1"/>
  <c r="V25" i="251" s="1"/>
  <c r="M10" i="251"/>
  <c r="U28" i="251" s="1"/>
  <c r="V28" i="251" s="1"/>
  <c r="M12" i="251"/>
  <c r="U30" i="251" s="1"/>
  <c r="V30" i="251" s="1"/>
  <c r="M4" i="251"/>
  <c r="U22" i="251" s="1"/>
  <c r="V22" i="251" s="1"/>
  <c r="M9" i="251"/>
  <c r="U27" i="251" s="1"/>
  <c r="V27" i="251" s="1"/>
  <c r="M6" i="251"/>
  <c r="U24" i="251" s="1"/>
  <c r="V24" i="251" s="1"/>
  <c r="M8" i="251"/>
  <c r="U26" i="251" s="1"/>
  <c r="V26" i="251" s="1"/>
  <c r="M13" i="251"/>
  <c r="U31" i="251" s="1"/>
  <c r="V31" i="251" s="1"/>
  <c r="M14" i="251"/>
  <c r="U32" i="251" s="1"/>
  <c r="V32" i="251" s="1"/>
  <c r="M5" i="251"/>
  <c r="U23" i="251" s="1"/>
  <c r="V23" i="251" s="1"/>
  <c r="O11" i="251"/>
  <c r="O7" i="251" l="1"/>
  <c r="O4" i="251"/>
  <c r="O14" i="251"/>
  <c r="O10" i="251"/>
  <c r="O5" i="251"/>
  <c r="O12" i="251"/>
  <c r="O9" i="251"/>
  <c r="O6" i="251"/>
  <c r="O8" i="251"/>
  <c r="O13" i="251"/>
  <c r="O17" i="251" l="1"/>
  <c r="O19" i="251" s="1"/>
  <c r="W29" i="251" l="1"/>
  <c r="W23" i="251"/>
  <c r="W27" i="251"/>
  <c r="W22" i="251"/>
  <c r="W30" i="251"/>
  <c r="W31" i="251"/>
  <c r="W26" i="251"/>
  <c r="W24" i="251"/>
  <c r="W28" i="251"/>
  <c r="W25" i="251"/>
  <c r="W32" i="251"/>
  <c r="AC4" i="251" a="1"/>
  <c r="AC8" i="251" s="1"/>
  <c r="Y22" i="251"/>
  <c r="Z22" i="251" s="1"/>
  <c r="AB22" i="251"/>
  <c r="AB24" i="251"/>
  <c r="Y28" i="251"/>
  <c r="Z28" i="251" s="1"/>
  <c r="AB32" i="251"/>
  <c r="Y24" i="251"/>
  <c r="Z24" i="251" s="1"/>
  <c r="AB31" i="251"/>
  <c r="AB27" i="251"/>
  <c r="Y29" i="251"/>
  <c r="Z29" i="251" s="1"/>
  <c r="AB29" i="251"/>
  <c r="Y25" i="251"/>
  <c r="Z25" i="251" s="1"/>
  <c r="Y27" i="251"/>
  <c r="Z27" i="251" s="1"/>
  <c r="AB25" i="251"/>
  <c r="Y23" i="251"/>
  <c r="Z23" i="251" s="1"/>
  <c r="Y26" i="251"/>
  <c r="Z26" i="251" s="1"/>
  <c r="AB26" i="251"/>
  <c r="AB28" i="251"/>
  <c r="AB23" i="251"/>
  <c r="Y32" i="251"/>
  <c r="Z32" i="251" s="1"/>
  <c r="Y30" i="251"/>
  <c r="Z30" i="251" s="1"/>
  <c r="AB30" i="251"/>
  <c r="I17" i="251" a="1"/>
  <c r="K18" i="251" s="1"/>
  <c r="Y31" i="251"/>
  <c r="Z31" i="251" s="1"/>
  <c r="AC6" i="251" l="1"/>
  <c r="AC13" i="251"/>
  <c r="AC5" i="251"/>
  <c r="AC9" i="251"/>
  <c r="AC10" i="251"/>
  <c r="AC7" i="251"/>
  <c r="AC4" i="251"/>
  <c r="AA32" i="251"/>
  <c r="AC32" i="251"/>
  <c r="AA30" i="251"/>
  <c r="AC30" i="251"/>
  <c r="AA23" i="251"/>
  <c r="AC23" i="251"/>
  <c r="AA27" i="251"/>
  <c r="AC27" i="251"/>
  <c r="AA24" i="251"/>
  <c r="AC24" i="251"/>
  <c r="AA25" i="251"/>
  <c r="AC25" i="251"/>
  <c r="AA31" i="251"/>
  <c r="AC31" i="251"/>
  <c r="AA28" i="251"/>
  <c r="AC28" i="251"/>
  <c r="AA22" i="251"/>
  <c r="AC22" i="251"/>
  <c r="AA26" i="251"/>
  <c r="AC26" i="251"/>
  <c r="AA29" i="251"/>
  <c r="AC29" i="251"/>
  <c r="AC11" i="251"/>
  <c r="AC14" i="251"/>
  <c r="AC12" i="251"/>
  <c r="K17" i="251"/>
  <c r="J18" i="251"/>
  <c r="K10" i="251" s="1"/>
  <c r="I19" i="251"/>
  <c r="I17" i="251"/>
  <c r="K9" i="251" s="1"/>
  <c r="K19" i="251"/>
  <c r="K11" i="251" s="1"/>
  <c r="I18" i="251"/>
  <c r="J17" i="251"/>
  <c r="J19" i="251"/>
  <c r="J59" i="107" l="1"/>
  <c r="K59" i="107"/>
  <c r="J60" i="107"/>
  <c r="K60" i="107"/>
  <c r="J61" i="107"/>
  <c r="K61" i="107"/>
  <c r="J62" i="107"/>
  <c r="K62" i="107"/>
  <c r="J63" i="107"/>
  <c r="K63" i="107"/>
  <c r="J64" i="107"/>
  <c r="K64" i="107"/>
  <c r="J65" i="107"/>
  <c r="K65" i="107"/>
  <c r="J66" i="107"/>
  <c r="K66" i="107"/>
  <c r="J67" i="107"/>
  <c r="K67" i="107"/>
  <c r="J68" i="107"/>
  <c r="K68" i="107"/>
  <c r="F59" i="107"/>
  <c r="G59" i="107"/>
  <c r="F60" i="107"/>
  <c r="G60" i="107"/>
  <c r="F61" i="107"/>
  <c r="G61" i="107"/>
  <c r="F62" i="107"/>
  <c r="G62" i="107"/>
  <c r="F63" i="107"/>
  <c r="G63" i="107"/>
  <c r="F64" i="107"/>
  <c r="G64" i="107"/>
  <c r="F65" i="107"/>
  <c r="G65" i="107"/>
  <c r="F66" i="107"/>
  <c r="G66" i="107"/>
  <c r="F67" i="107"/>
  <c r="G67" i="107"/>
  <c r="F68" i="107"/>
  <c r="G68" i="107"/>
  <c r="K58" i="107"/>
  <c r="J58" i="107"/>
  <c r="G58" i="107"/>
  <c r="F58" i="107"/>
  <c r="N83" i="105"/>
  <c r="N84" i="105" s="1"/>
  <c r="N85" i="105" s="1"/>
  <c r="N86" i="105" s="1"/>
  <c r="N87" i="105" s="1"/>
  <c r="N88" i="105" s="1"/>
  <c r="N89" i="105" s="1"/>
  <c r="N90" i="105" s="1"/>
  <c r="N91" i="105" s="1"/>
  <c r="N92" i="105" s="1"/>
  <c r="N93" i="105" s="1"/>
  <c r="N94" i="105" s="1"/>
  <c r="N95" i="105" s="1"/>
  <c r="N96" i="105" s="1"/>
  <c r="N97" i="105" s="1"/>
  <c r="N98" i="105" s="1"/>
  <c r="N99" i="105" s="1"/>
  <c r="N100" i="105" s="1"/>
  <c r="N101" i="105" s="1"/>
  <c r="O76" i="105"/>
  <c r="O78" i="105"/>
  <c r="O79" i="105"/>
  <c r="O80" i="105"/>
  <c r="O75" i="105"/>
  <c r="O96" i="105" s="1"/>
  <c r="O68" i="105"/>
  <c r="O69" i="105"/>
  <c r="O90" i="105" s="1"/>
  <c r="O70" i="105"/>
  <c r="O91" i="105" s="1"/>
  <c r="O71" i="105"/>
  <c r="O92" i="105" s="1"/>
  <c r="O72" i="105"/>
  <c r="O93" i="105" s="1"/>
  <c r="O73" i="105"/>
  <c r="O94" i="105" s="1"/>
  <c r="O74" i="105"/>
  <c r="O95" i="105" s="1"/>
  <c r="O65" i="105"/>
  <c r="O66" i="105"/>
  <c r="O61" i="105"/>
  <c r="O82" i="105" s="1"/>
  <c r="N62" i="105"/>
  <c r="N63" i="105" s="1"/>
  <c r="N64" i="105" s="1"/>
  <c r="N65" i="105" s="1"/>
  <c r="N66" i="105" s="1"/>
  <c r="N67" i="105" s="1"/>
  <c r="N68" i="105" s="1"/>
  <c r="N69" i="105" s="1"/>
  <c r="N70" i="105" s="1"/>
  <c r="N71" i="105" s="1"/>
  <c r="N72" i="105" s="1"/>
  <c r="N73" i="105" s="1"/>
  <c r="N74" i="105" s="1"/>
  <c r="N75" i="105" s="1"/>
  <c r="N76" i="105" s="1"/>
  <c r="N77" i="105" s="1"/>
  <c r="N78" i="105" s="1"/>
  <c r="N79" i="105" s="1"/>
  <c r="N80" i="105" s="1"/>
  <c r="N41" i="105"/>
  <c r="N42" i="105" s="1"/>
  <c r="N43" i="105" s="1"/>
  <c r="N44" i="105" s="1"/>
  <c r="N45" i="105" s="1"/>
  <c r="N46" i="105" s="1"/>
  <c r="N47" i="105" s="1"/>
  <c r="N48" i="105" s="1"/>
  <c r="N49" i="105" s="1"/>
  <c r="N50" i="105" s="1"/>
  <c r="N51" i="105" s="1"/>
  <c r="N52" i="105" s="1"/>
  <c r="N53" i="105" s="1"/>
  <c r="N54" i="105" s="1"/>
  <c r="N55" i="105" s="1"/>
  <c r="N56" i="105" s="1"/>
  <c r="N57" i="105" s="1"/>
  <c r="N58" i="105" s="1"/>
  <c r="N59" i="105" s="1"/>
  <c r="AQ31" i="107"/>
  <c r="AQ32" i="107"/>
  <c r="AQ33" i="107"/>
  <c r="AQ34" i="107"/>
  <c r="AQ35" i="107"/>
  <c r="AQ36" i="107"/>
  <c r="AQ37" i="107"/>
  <c r="AQ38" i="107"/>
  <c r="AQ39" i="107"/>
  <c r="AQ40" i="107"/>
  <c r="AQ30" i="107"/>
  <c r="AC31" i="107"/>
  <c r="AC32" i="107" s="1"/>
  <c r="AD27" i="107"/>
  <c r="AD26" i="107"/>
  <c r="AD25" i="107"/>
  <c r="AE25" i="107" s="1"/>
  <c r="AE30" i="107" s="1"/>
  <c r="AP30" i="107" s="1"/>
  <c r="I43" i="107"/>
  <c r="I44" i="107"/>
  <c r="I45" i="107"/>
  <c r="I46" i="107"/>
  <c r="I47" i="107"/>
  <c r="I48" i="107"/>
  <c r="I49" i="107"/>
  <c r="I50" i="107"/>
  <c r="I51" i="107"/>
  <c r="I52" i="107"/>
  <c r="I42" i="107"/>
  <c r="F43" i="107"/>
  <c r="F44" i="107"/>
  <c r="F45" i="107"/>
  <c r="F46" i="107"/>
  <c r="F47" i="107"/>
  <c r="F48" i="107"/>
  <c r="F49" i="107"/>
  <c r="F50" i="107"/>
  <c r="F51" i="107"/>
  <c r="F52" i="107"/>
  <c r="F42" i="107"/>
  <c r="AF33" i="107" l="1"/>
  <c r="AF31" i="107"/>
  <c r="AF37" i="107"/>
  <c r="AF30" i="107"/>
  <c r="AF40" i="107"/>
  <c r="AF36" i="107"/>
  <c r="AF32" i="107"/>
  <c r="AF38" i="107"/>
  <c r="AF34" i="107"/>
  <c r="AF39" i="107"/>
  <c r="AF35" i="107"/>
  <c r="AE32" i="107"/>
  <c r="AP32" i="107" s="1"/>
  <c r="AC33" i="107"/>
  <c r="AE31" i="107"/>
  <c r="AP31" i="107" s="1"/>
  <c r="R31" i="99"/>
  <c r="R32" i="99" s="1"/>
  <c r="A31" i="99"/>
  <c r="A32" i="99" s="1"/>
  <c r="A33" i="99" s="1"/>
  <c r="A34" i="99" s="1"/>
  <c r="A35" i="99" s="1"/>
  <c r="A36" i="99" s="1"/>
  <c r="A37" i="99" s="1"/>
  <c r="A38" i="99" s="1"/>
  <c r="A39" i="99" s="1"/>
  <c r="A40" i="99" s="1"/>
  <c r="AB5" i="99"/>
  <c r="AB6" i="99" s="1"/>
  <c r="AB7" i="99" s="1"/>
  <c r="AB8" i="99" s="1"/>
  <c r="AB9" i="99" s="1"/>
  <c r="AB10" i="99" s="1"/>
  <c r="AB11" i="99" s="1"/>
  <c r="AB12" i="99" s="1"/>
  <c r="AB13" i="99" s="1"/>
  <c r="AB14" i="99" s="1"/>
  <c r="S61" i="224"/>
  <c r="V61" i="224" s="1"/>
  <c r="Y61" i="224" s="1"/>
  <c r="S62" i="224"/>
  <c r="V62" i="224" s="1"/>
  <c r="Y62" i="224" s="1"/>
  <c r="S63" i="224"/>
  <c r="V63" i="224" s="1"/>
  <c r="Y63" i="224" s="1"/>
  <c r="S64" i="224"/>
  <c r="V64" i="224" s="1"/>
  <c r="Y64" i="224" s="1"/>
  <c r="S65" i="224"/>
  <c r="V65" i="224" s="1"/>
  <c r="Y65" i="224" s="1"/>
  <c r="S66" i="224"/>
  <c r="V66" i="224" s="1"/>
  <c r="Y66" i="224" s="1"/>
  <c r="S67" i="224"/>
  <c r="V67" i="224" s="1"/>
  <c r="Y67" i="224" s="1"/>
  <c r="S68" i="224"/>
  <c r="V68" i="224" s="1"/>
  <c r="Y68" i="224" s="1"/>
  <c r="S69" i="224"/>
  <c r="V69" i="224" s="1"/>
  <c r="Y69" i="224" s="1"/>
  <c r="S70" i="224"/>
  <c r="V70" i="224" s="1"/>
  <c r="Y70" i="224" s="1"/>
  <c r="S60" i="224"/>
  <c r="V60" i="224" s="1"/>
  <c r="Y60" i="224" s="1"/>
  <c r="P5" i="225"/>
  <c r="P6" i="225" s="1"/>
  <c r="P7" i="225" s="1"/>
  <c r="L5" i="225"/>
  <c r="L6" i="225"/>
  <c r="L7" i="225"/>
  <c r="L8" i="225"/>
  <c r="L9" i="225"/>
  <c r="L10" i="225"/>
  <c r="L11" i="225"/>
  <c r="L12" i="225"/>
  <c r="L13" i="225"/>
  <c r="L14" i="225"/>
  <c r="L15" i="225"/>
  <c r="L16" i="225"/>
  <c r="L17" i="225"/>
  <c r="L18" i="225"/>
  <c r="L19" i="225"/>
  <c r="L20" i="225"/>
  <c r="L21" i="225"/>
  <c r="L22" i="225"/>
  <c r="L23" i="225"/>
  <c r="L24" i="225"/>
  <c r="L25" i="225"/>
  <c r="L26" i="225"/>
  <c r="L27" i="225"/>
  <c r="L28" i="225"/>
  <c r="L29" i="225"/>
  <c r="L30" i="225"/>
  <c r="L31" i="225"/>
  <c r="L32" i="225"/>
  <c r="L33" i="225"/>
  <c r="L34" i="225"/>
  <c r="L35" i="225"/>
  <c r="L36" i="225"/>
  <c r="L37" i="225"/>
  <c r="L38" i="225"/>
  <c r="L39" i="225"/>
  <c r="L40" i="225"/>
  <c r="L41" i="225"/>
  <c r="L42" i="225"/>
  <c r="L43" i="225"/>
  <c r="L44" i="225"/>
  <c r="L45" i="225"/>
  <c r="L46" i="225"/>
  <c r="L47" i="225"/>
  <c r="L48" i="225"/>
  <c r="L49" i="225"/>
  <c r="L50" i="225"/>
  <c r="L51" i="225"/>
  <c r="L52" i="225"/>
  <c r="L53" i="225"/>
  <c r="L4" i="225"/>
  <c r="H4" i="225"/>
  <c r="I4" i="225"/>
  <c r="J4" i="225"/>
  <c r="H5" i="225"/>
  <c r="I5" i="225"/>
  <c r="J5" i="225"/>
  <c r="H6" i="225"/>
  <c r="I6" i="225"/>
  <c r="J6" i="225"/>
  <c r="H7" i="225"/>
  <c r="I7" i="225"/>
  <c r="J7" i="225"/>
  <c r="H8" i="225"/>
  <c r="I8" i="225"/>
  <c r="J8" i="225"/>
  <c r="H9" i="225"/>
  <c r="I9" i="225"/>
  <c r="J9" i="225"/>
  <c r="H10" i="225"/>
  <c r="I10" i="225"/>
  <c r="J10" i="225"/>
  <c r="H11" i="225"/>
  <c r="I11" i="225"/>
  <c r="J11" i="225"/>
  <c r="H12" i="225"/>
  <c r="I12" i="225"/>
  <c r="J12" i="225"/>
  <c r="H13" i="225"/>
  <c r="I13" i="225"/>
  <c r="J13" i="225"/>
  <c r="H14" i="225"/>
  <c r="I14" i="225"/>
  <c r="J14" i="225"/>
  <c r="H15" i="225"/>
  <c r="I15" i="225"/>
  <c r="J15" i="225"/>
  <c r="H16" i="225"/>
  <c r="I16" i="225"/>
  <c r="J16" i="225"/>
  <c r="H17" i="225"/>
  <c r="I17" i="225"/>
  <c r="J17" i="225"/>
  <c r="H18" i="225"/>
  <c r="I18" i="225"/>
  <c r="J18" i="225"/>
  <c r="H19" i="225"/>
  <c r="I19" i="225"/>
  <c r="J19" i="225"/>
  <c r="H20" i="225"/>
  <c r="I20" i="225"/>
  <c r="J20" i="225"/>
  <c r="H21" i="225"/>
  <c r="I21" i="225"/>
  <c r="J21" i="225"/>
  <c r="H22" i="225"/>
  <c r="I22" i="225"/>
  <c r="J22" i="225"/>
  <c r="H23" i="225"/>
  <c r="I23" i="225"/>
  <c r="J23" i="225"/>
  <c r="H24" i="225"/>
  <c r="I24" i="225"/>
  <c r="J24" i="225"/>
  <c r="H25" i="225"/>
  <c r="I25" i="225"/>
  <c r="J25" i="225"/>
  <c r="H26" i="225"/>
  <c r="I26" i="225"/>
  <c r="J26" i="225"/>
  <c r="H27" i="225"/>
  <c r="I27" i="225"/>
  <c r="J27" i="225"/>
  <c r="H28" i="225"/>
  <c r="I28" i="225"/>
  <c r="J28" i="225"/>
  <c r="H29" i="225"/>
  <c r="I29" i="225"/>
  <c r="J29" i="225"/>
  <c r="H30" i="225"/>
  <c r="I30" i="225"/>
  <c r="J30" i="225"/>
  <c r="H31" i="225"/>
  <c r="I31" i="225"/>
  <c r="J31" i="225"/>
  <c r="H32" i="225"/>
  <c r="I32" i="225"/>
  <c r="J32" i="225"/>
  <c r="H33" i="225"/>
  <c r="I33" i="225"/>
  <c r="J33" i="225"/>
  <c r="H34" i="225"/>
  <c r="I34" i="225"/>
  <c r="J34" i="225"/>
  <c r="H35" i="225"/>
  <c r="I35" i="225"/>
  <c r="J35" i="225"/>
  <c r="H36" i="225"/>
  <c r="I36" i="225"/>
  <c r="J36" i="225"/>
  <c r="H37" i="225"/>
  <c r="I37" i="225"/>
  <c r="J37" i="225"/>
  <c r="H38" i="225"/>
  <c r="I38" i="225"/>
  <c r="J38" i="225"/>
  <c r="H39" i="225"/>
  <c r="I39" i="225"/>
  <c r="J39" i="225"/>
  <c r="H40" i="225"/>
  <c r="I40" i="225"/>
  <c r="J40" i="225"/>
  <c r="H41" i="225"/>
  <c r="I41" i="225"/>
  <c r="J41" i="225"/>
  <c r="H42" i="225"/>
  <c r="I42" i="225"/>
  <c r="J42" i="225"/>
  <c r="H43" i="225"/>
  <c r="I43" i="225"/>
  <c r="J43" i="225"/>
  <c r="H44" i="225"/>
  <c r="I44" i="225"/>
  <c r="J44" i="225"/>
  <c r="H45" i="225"/>
  <c r="I45" i="225"/>
  <c r="J45" i="225"/>
  <c r="H46" i="225"/>
  <c r="I46" i="225"/>
  <c r="J46" i="225"/>
  <c r="H47" i="225"/>
  <c r="I47" i="225"/>
  <c r="J47" i="225"/>
  <c r="H48" i="225"/>
  <c r="I48" i="225"/>
  <c r="J48" i="225"/>
  <c r="H49" i="225"/>
  <c r="I49" i="225"/>
  <c r="J49" i="225"/>
  <c r="H50" i="225"/>
  <c r="I50" i="225"/>
  <c r="J50" i="225"/>
  <c r="H51" i="225"/>
  <c r="I51" i="225"/>
  <c r="J51" i="225"/>
  <c r="H52" i="225"/>
  <c r="I52" i="225"/>
  <c r="J52" i="225"/>
  <c r="H53" i="225"/>
  <c r="I53" i="225"/>
  <c r="J53" i="225"/>
  <c r="N11" i="102"/>
  <c r="N12" i="102" s="1"/>
  <c r="O7" i="102"/>
  <c r="O6" i="102"/>
  <c r="O5" i="102"/>
  <c r="P5" i="102" s="1"/>
  <c r="Q10" i="102" l="1"/>
  <c r="N10" i="225" a="1"/>
  <c r="P10" i="225" s="1"/>
  <c r="O22" i="225"/>
  <c r="P11" i="102"/>
  <c r="P10" i="102"/>
  <c r="P12" i="102"/>
  <c r="Q58" i="102"/>
  <c r="Q56" i="102"/>
  <c r="Q54" i="102"/>
  <c r="Q52" i="102"/>
  <c r="Q50" i="102"/>
  <c r="Q48" i="102"/>
  <c r="Q46" i="102"/>
  <c r="Q44" i="102"/>
  <c r="Q42" i="102"/>
  <c r="Q40" i="102"/>
  <c r="Q38" i="102"/>
  <c r="Q36" i="102"/>
  <c r="Q34" i="102"/>
  <c r="Q32" i="102"/>
  <c r="Q30" i="102"/>
  <c r="Q28" i="102"/>
  <c r="Q26" i="102"/>
  <c r="Q24" i="102"/>
  <c r="Q22" i="102"/>
  <c r="Q20" i="102"/>
  <c r="Q18" i="102"/>
  <c r="Q16" i="102"/>
  <c r="Q14" i="102"/>
  <c r="Q12" i="102"/>
  <c r="N13" i="102"/>
  <c r="Q59" i="102"/>
  <c r="Q57" i="102"/>
  <c r="Q55" i="102"/>
  <c r="Q53" i="102"/>
  <c r="Q51" i="102"/>
  <c r="Q49" i="102"/>
  <c r="Q47" i="102"/>
  <c r="Q45" i="102"/>
  <c r="Q43" i="102"/>
  <c r="Q41" i="102"/>
  <c r="Q39" i="102"/>
  <c r="Q37" i="102"/>
  <c r="Q35" i="102"/>
  <c r="Q33" i="102"/>
  <c r="Q31" i="102"/>
  <c r="Q29" i="102"/>
  <c r="Q27" i="102"/>
  <c r="Q25" i="102"/>
  <c r="Q23" i="102"/>
  <c r="Q21" i="102"/>
  <c r="Q19" i="102"/>
  <c r="Q17" i="102"/>
  <c r="Q15" i="102"/>
  <c r="Q13" i="102"/>
  <c r="Q11" i="102"/>
  <c r="R33" i="99"/>
  <c r="AC34" i="107"/>
  <c r="AE33" i="107"/>
  <c r="AP33" i="107" s="1"/>
  <c r="L7" i="224"/>
  <c r="L8" i="224" s="1"/>
  <c r="Q19" i="224"/>
  <c r="A32" i="224"/>
  <c r="A33" i="224" s="1"/>
  <c r="A34" i="224" s="1"/>
  <c r="B28" i="224"/>
  <c r="B27" i="224"/>
  <c r="B26" i="224"/>
  <c r="C26" i="224" s="1"/>
  <c r="C31" i="224" s="1"/>
  <c r="I7" i="224"/>
  <c r="Z28" i="224" s="1"/>
  <c r="I8" i="224"/>
  <c r="I9" i="224"/>
  <c r="Z30" i="224" s="1"/>
  <c r="I10" i="224"/>
  <c r="I11" i="224"/>
  <c r="Z32" i="224" s="1"/>
  <c r="I12" i="224"/>
  <c r="Z33" i="224" s="1"/>
  <c r="I13" i="224"/>
  <c r="Z34" i="224" s="1"/>
  <c r="I14" i="224"/>
  <c r="I15" i="224"/>
  <c r="Z36" i="224" s="1"/>
  <c r="I16" i="224"/>
  <c r="I6" i="224"/>
  <c r="Z27" i="224" s="1"/>
  <c r="F7" i="224"/>
  <c r="S28" i="224" s="1"/>
  <c r="V28" i="224" s="1"/>
  <c r="G7" i="224"/>
  <c r="F8" i="224"/>
  <c r="S29" i="224" s="1"/>
  <c r="V29" i="224" s="1"/>
  <c r="G8" i="224"/>
  <c r="F9" i="224"/>
  <c r="S30" i="224" s="1"/>
  <c r="V30" i="224" s="1"/>
  <c r="G9" i="224"/>
  <c r="F10" i="224"/>
  <c r="S31" i="224" s="1"/>
  <c r="V31" i="224" s="1"/>
  <c r="G10" i="224"/>
  <c r="F11" i="224"/>
  <c r="S32" i="224" s="1"/>
  <c r="V32" i="224" s="1"/>
  <c r="G11" i="224"/>
  <c r="F12" i="224"/>
  <c r="S33" i="224" s="1"/>
  <c r="V33" i="224" s="1"/>
  <c r="G12" i="224"/>
  <c r="F13" i="224"/>
  <c r="S34" i="224" s="1"/>
  <c r="V34" i="224" s="1"/>
  <c r="G13" i="224"/>
  <c r="F14" i="224"/>
  <c r="S35" i="224" s="1"/>
  <c r="V35" i="224" s="1"/>
  <c r="G14" i="224"/>
  <c r="F15" i="224"/>
  <c r="S36" i="224" s="1"/>
  <c r="V36" i="224" s="1"/>
  <c r="G15" i="224"/>
  <c r="F16" i="224"/>
  <c r="S37" i="224" s="1"/>
  <c r="V37" i="224" s="1"/>
  <c r="G16" i="224"/>
  <c r="G6" i="224"/>
  <c r="F6" i="224"/>
  <c r="S27" i="224" s="1"/>
  <c r="V27" i="224" s="1"/>
  <c r="N105" i="223"/>
  <c r="N106" i="223" s="1"/>
  <c r="N107" i="223" s="1"/>
  <c r="N108" i="223" s="1"/>
  <c r="N109" i="223" s="1"/>
  <c r="N110" i="223" s="1"/>
  <c r="N111" i="223" s="1"/>
  <c r="N112" i="223" s="1"/>
  <c r="N113" i="223" s="1"/>
  <c r="N114" i="223" s="1"/>
  <c r="N115" i="223" s="1"/>
  <c r="N116" i="223" s="1"/>
  <c r="N117" i="223" s="1"/>
  <c r="N118" i="223" s="1"/>
  <c r="N81" i="223"/>
  <c r="N82" i="223" s="1"/>
  <c r="N57" i="223"/>
  <c r="N58" i="223" s="1"/>
  <c r="N59" i="223" s="1"/>
  <c r="N60" i="223" s="1"/>
  <c r="N61" i="223" s="1"/>
  <c r="N62" i="223" s="1"/>
  <c r="N63" i="223" s="1"/>
  <c r="N64" i="223" s="1"/>
  <c r="N65" i="223" s="1"/>
  <c r="N66" i="223" s="1"/>
  <c r="N67" i="223" s="1"/>
  <c r="N68" i="223" s="1"/>
  <c r="N69" i="223" s="1"/>
  <c r="N70" i="223" s="1"/>
  <c r="S33" i="223"/>
  <c r="S34" i="223" s="1"/>
  <c r="S35" i="223" s="1"/>
  <c r="S36" i="223" s="1"/>
  <c r="S37" i="223" s="1"/>
  <c r="S38" i="223" s="1"/>
  <c r="S39" i="223" s="1"/>
  <c r="S40" i="223" s="1"/>
  <c r="S41" i="223" s="1"/>
  <c r="S42" i="223" s="1"/>
  <c r="S43" i="223" s="1"/>
  <c r="S44" i="223" s="1"/>
  <c r="S45" i="223" s="1"/>
  <c r="S46" i="223" s="1"/>
  <c r="M23" i="223"/>
  <c r="E17" i="223"/>
  <c r="N43" i="223" s="1"/>
  <c r="Q43" i="223" s="1"/>
  <c r="T43" i="223" s="1"/>
  <c r="E18" i="223"/>
  <c r="N44" i="223" s="1"/>
  <c r="Q44" i="223" s="1"/>
  <c r="T44" i="223" s="1"/>
  <c r="E19" i="223"/>
  <c r="N45" i="223" s="1"/>
  <c r="Q45" i="223" s="1"/>
  <c r="T45" i="223" s="1"/>
  <c r="E20" i="223"/>
  <c r="N46" i="223" s="1"/>
  <c r="Q46" i="223" s="1"/>
  <c r="T46" i="223" s="1"/>
  <c r="G17" i="223"/>
  <c r="G18" i="223"/>
  <c r="G19" i="223"/>
  <c r="G20" i="223"/>
  <c r="G16" i="223"/>
  <c r="E16" i="223"/>
  <c r="N42" i="223" s="1"/>
  <c r="Q42" i="223" s="1"/>
  <c r="T42" i="223" s="1"/>
  <c r="G15" i="223"/>
  <c r="E15" i="223"/>
  <c r="N41" i="223" s="1"/>
  <c r="Q41" i="223" s="1"/>
  <c r="T41" i="223" s="1"/>
  <c r="G14" i="223"/>
  <c r="E14" i="223"/>
  <c r="N40" i="223" s="1"/>
  <c r="Q40" i="223" s="1"/>
  <c r="T40" i="223" s="1"/>
  <c r="G13" i="223"/>
  <c r="E13" i="223"/>
  <c r="N39" i="223" s="1"/>
  <c r="Q39" i="223" s="1"/>
  <c r="T39" i="223" s="1"/>
  <c r="G12" i="223"/>
  <c r="E12" i="223"/>
  <c r="N38" i="223" s="1"/>
  <c r="Q38" i="223" s="1"/>
  <c r="T38" i="223" s="1"/>
  <c r="G11" i="223"/>
  <c r="E11" i="223"/>
  <c r="N37" i="223" s="1"/>
  <c r="Q37" i="223" s="1"/>
  <c r="T37" i="223" s="1"/>
  <c r="G10" i="223"/>
  <c r="E10" i="223"/>
  <c r="N36" i="223" s="1"/>
  <c r="Q36" i="223" s="1"/>
  <c r="T36" i="223" s="1"/>
  <c r="G9" i="223"/>
  <c r="E9" i="223"/>
  <c r="N35" i="223" s="1"/>
  <c r="Q35" i="223" s="1"/>
  <c r="T35" i="223" s="1"/>
  <c r="G8" i="223"/>
  <c r="E8" i="223"/>
  <c r="N34" i="223" s="1"/>
  <c r="Q34" i="223" s="1"/>
  <c r="T34" i="223" s="1"/>
  <c r="G7" i="223"/>
  <c r="E7" i="223"/>
  <c r="N33" i="223" s="1"/>
  <c r="Q33" i="223" s="1"/>
  <c r="T33" i="223" s="1"/>
  <c r="G6" i="223"/>
  <c r="E6" i="223"/>
  <c r="N32" i="223" s="1"/>
  <c r="Q32" i="223" s="1"/>
  <c r="T32" i="223" s="1"/>
  <c r="D34" i="224" l="1"/>
  <c r="O77" i="223"/>
  <c r="O12" i="225"/>
  <c r="P12" i="225"/>
  <c r="Q13" i="225"/>
  <c r="N13" i="225"/>
  <c r="P11" i="225"/>
  <c r="Q11" i="225"/>
  <c r="N12" i="225"/>
  <c r="O13" i="225"/>
  <c r="N11" i="225"/>
  <c r="Q12" i="225"/>
  <c r="O11" i="225"/>
  <c r="P13" i="225"/>
  <c r="D23" i="223" a="1"/>
  <c r="E24" i="223" s="1"/>
  <c r="Q10" i="225"/>
  <c r="O10" i="225"/>
  <c r="N10" i="225"/>
  <c r="Z29" i="224"/>
  <c r="N83" i="223"/>
  <c r="O76" i="223"/>
  <c r="O75" i="223"/>
  <c r="P75" i="223" s="1"/>
  <c r="P82" i="223" s="1"/>
  <c r="Z37" i="224"/>
  <c r="D31" i="224"/>
  <c r="D32" i="224"/>
  <c r="D37" i="224"/>
  <c r="D40" i="224"/>
  <c r="D36" i="224"/>
  <c r="D41" i="224"/>
  <c r="D35" i="224"/>
  <c r="D38" i="224"/>
  <c r="D33" i="224"/>
  <c r="D39" i="224"/>
  <c r="Z35" i="224"/>
  <c r="Z31" i="224"/>
  <c r="C32" i="224"/>
  <c r="C33" i="224"/>
  <c r="A35" i="224"/>
  <c r="C34" i="224"/>
  <c r="N14" i="102"/>
  <c r="P13" i="102"/>
  <c r="R34" i="99"/>
  <c r="AC35" i="107"/>
  <c r="AE34" i="107"/>
  <c r="AP34" i="107" s="1"/>
  <c r="K11" i="224" a="1"/>
  <c r="M13" i="224" s="1"/>
  <c r="W4" i="225" l="1" a="1"/>
  <c r="AI15" i="225" s="1"/>
  <c r="D24" i="223"/>
  <c r="N4" i="225" a="1"/>
  <c r="N6" i="225" s="1"/>
  <c r="E23" i="223"/>
  <c r="D23" i="223"/>
  <c r="N84" i="223"/>
  <c r="P83" i="223"/>
  <c r="Q81" i="223"/>
  <c r="Q83" i="223"/>
  <c r="Q85" i="223"/>
  <c r="Q87" i="223"/>
  <c r="Q89" i="223"/>
  <c r="Q91" i="223"/>
  <c r="Q93" i="223"/>
  <c r="Q82" i="223"/>
  <c r="Q86" i="223"/>
  <c r="Q88" i="223"/>
  <c r="Q92" i="223"/>
  <c r="Q84" i="223"/>
  <c r="Q90" i="223"/>
  <c r="Q94" i="223"/>
  <c r="Q80" i="223"/>
  <c r="N15" i="102"/>
  <c r="P14" i="102"/>
  <c r="A36" i="224"/>
  <c r="C35" i="224"/>
  <c r="R35" i="99"/>
  <c r="P80" i="223"/>
  <c r="P81" i="223"/>
  <c r="AC36" i="107"/>
  <c r="AE35" i="107"/>
  <c r="AP35" i="107" s="1"/>
  <c r="M11" i="224"/>
  <c r="M12" i="224"/>
  <c r="K11" i="224"/>
  <c r="L11" i="224"/>
  <c r="L13" i="224"/>
  <c r="K13" i="224"/>
  <c r="K12" i="224"/>
  <c r="L12" i="224"/>
  <c r="AM33" i="225" l="1"/>
  <c r="W14" i="225"/>
  <c r="BL15" i="225"/>
  <c r="AJ21" i="225"/>
  <c r="BI33" i="225"/>
  <c r="Y7" i="225"/>
  <c r="AF14" i="225"/>
  <c r="AU18" i="225"/>
  <c r="AB14" i="225"/>
  <c r="AU9" i="225"/>
  <c r="AG4" i="225"/>
  <c r="AO52" i="225"/>
  <c r="AU29" i="225"/>
  <c r="BT52" i="225"/>
  <c r="AX5" i="225"/>
  <c r="AB7" i="225"/>
  <c r="AE9" i="225"/>
  <c r="BH52" i="225"/>
  <c r="AM14" i="225"/>
  <c r="BE6" i="225"/>
  <c r="AX20" i="225"/>
  <c r="BD6" i="225"/>
  <c r="AA42" i="225"/>
  <c r="BG53" i="225"/>
  <c r="AZ17" i="225"/>
  <c r="AC50" i="225"/>
  <c r="AH23" i="225"/>
  <c r="AH19" i="225"/>
  <c r="AM21" i="225"/>
  <c r="BN46" i="225"/>
  <c r="AA25" i="225"/>
  <c r="Z40" i="225"/>
  <c r="BI21" i="225"/>
  <c r="AP19" i="225"/>
  <c r="AK34" i="225"/>
  <c r="AV33" i="225"/>
  <c r="BD15" i="225"/>
  <c r="AJ38" i="225"/>
  <c r="BQ29" i="225"/>
  <c r="AN33" i="225"/>
  <c r="AD30" i="225"/>
  <c r="BC19" i="225"/>
  <c r="AW18" i="225"/>
  <c r="AP4" i="225"/>
  <c r="AP34" i="225"/>
  <c r="AH38" i="225"/>
  <c r="BM15" i="225"/>
  <c r="BO35" i="225"/>
  <c r="BM39" i="225"/>
  <c r="AA44" i="225"/>
  <c r="BM5" i="225"/>
  <c r="BE15" i="225"/>
  <c r="X33" i="225"/>
  <c r="AK14" i="225"/>
  <c r="BG38" i="225"/>
  <c r="BT24" i="225"/>
  <c r="AL52" i="225"/>
  <c r="AX11" i="225"/>
  <c r="AX10" i="225"/>
  <c r="BK19" i="225"/>
  <c r="BE7" i="225"/>
  <c r="BI30" i="225"/>
  <c r="AB10" i="225"/>
  <c r="AW41" i="225"/>
  <c r="BS9" i="225"/>
  <c r="AS35" i="225"/>
  <c r="AS41" i="225"/>
  <c r="AW6" i="225"/>
  <c r="AQ18" i="225"/>
  <c r="AI49" i="225"/>
  <c r="AI48" i="225"/>
  <c r="AZ29" i="225"/>
  <c r="BK25" i="225"/>
  <c r="AC39" i="225"/>
  <c r="BQ5" i="225"/>
  <c r="Y20" i="225"/>
  <c r="AF11" i="225"/>
  <c r="AT30" i="225"/>
  <c r="X5" i="225"/>
  <c r="AT25" i="225"/>
  <c r="AI27" i="225"/>
  <c r="BH41" i="225"/>
  <c r="BG44" i="225"/>
  <c r="AK25" i="225"/>
  <c r="AX22" i="225"/>
  <c r="BB47" i="225"/>
  <c r="AQ44" i="225"/>
  <c r="BQ27" i="225"/>
  <c r="W24" i="225"/>
  <c r="BI10" i="225"/>
  <c r="BP21" i="225"/>
  <c r="AM10" i="225"/>
  <c r="BQ40" i="225"/>
  <c r="AG29" i="225"/>
  <c r="AG13" i="225"/>
  <c r="AR23" i="225"/>
  <c r="AJ26" i="225"/>
  <c r="BQ48" i="225"/>
  <c r="AO25" i="225"/>
  <c r="BK5" i="225"/>
  <c r="BK6" i="225"/>
  <c r="AG15" i="225"/>
  <c r="BT38" i="225"/>
  <c r="BA13" i="225"/>
  <c r="AC53" i="225"/>
  <c r="AD42" i="225"/>
  <c r="AE48" i="225"/>
  <c r="AR17" i="225"/>
  <c r="AM44" i="225"/>
  <c r="BC14" i="225"/>
  <c r="AV4" i="225"/>
  <c r="AI46" i="225"/>
  <c r="BA25" i="225"/>
  <c r="BJ30" i="225"/>
  <c r="Y35" i="225"/>
  <c r="BD16" i="225"/>
  <c r="BC26" i="225"/>
  <c r="BB34" i="225"/>
  <c r="BQ20" i="225"/>
  <c r="BG25" i="225"/>
  <c r="BG34" i="225"/>
  <c r="BG22" i="225"/>
  <c r="AL36" i="225"/>
  <c r="AX13" i="225"/>
  <c r="Z49" i="225"/>
  <c r="AP9" i="225"/>
  <c r="AI38" i="225"/>
  <c r="BQ24" i="225"/>
  <c r="AS29" i="225"/>
  <c r="AY13" i="225"/>
  <c r="AI5" i="225"/>
  <c r="AF29" i="225"/>
  <c r="BH14" i="225"/>
  <c r="BA35" i="225"/>
  <c r="BI36" i="225"/>
  <c r="BB53" i="225"/>
  <c r="BA39" i="225"/>
  <c r="AE18" i="225"/>
  <c r="BG9" i="225"/>
  <c r="BT20" i="225"/>
  <c r="BM41" i="225"/>
  <c r="AP23" i="225"/>
  <c r="AZ20" i="225"/>
  <c r="BE4" i="225"/>
  <c r="BS15" i="225"/>
  <c r="AG5" i="225"/>
  <c r="W53" i="225"/>
  <c r="BD24" i="225"/>
  <c r="BP5" i="225"/>
  <c r="BT17" i="225"/>
  <c r="AE36" i="225"/>
  <c r="AR4" i="225"/>
  <c r="AA19" i="225"/>
  <c r="BP33" i="225"/>
  <c r="AA29" i="225"/>
  <c r="AZ7" i="225"/>
  <c r="BK45" i="225"/>
  <c r="BT14" i="225"/>
  <c r="AQ26" i="225"/>
  <c r="AN37" i="225"/>
  <c r="AW33" i="225"/>
  <c r="BE46" i="225"/>
  <c r="BO21" i="225"/>
  <c r="AJ25" i="225"/>
  <c r="AA17" i="225"/>
  <c r="BH30" i="225"/>
  <c r="Z11" i="225"/>
  <c r="AN21" i="225"/>
  <c r="AN13" i="225"/>
  <c r="Z8" i="225"/>
  <c r="AR25" i="225"/>
  <c r="AM13" i="225"/>
  <c r="AN26" i="225"/>
  <c r="BD30" i="225"/>
  <c r="AI44" i="225"/>
  <c r="AL42" i="225"/>
  <c r="AT49" i="225"/>
  <c r="AV10" i="225"/>
  <c r="AJ18" i="225"/>
  <c r="AL28" i="225"/>
  <c r="AQ9" i="225"/>
  <c r="BO18" i="225"/>
  <c r="AC13" i="225"/>
  <c r="BE32" i="225"/>
  <c r="BM43" i="225"/>
  <c r="AU22" i="225"/>
  <c r="BI23" i="225"/>
  <c r="AA5" i="225"/>
  <c r="AL6" i="225"/>
  <c r="AT24" i="225"/>
  <c r="BJ32" i="225"/>
  <c r="BO11" i="225"/>
  <c r="AW14" i="225"/>
  <c r="BM24" i="225"/>
  <c r="BR16" i="225"/>
  <c r="X30" i="225"/>
  <c r="W38" i="225"/>
  <c r="Y45" i="225"/>
  <c r="BJ41" i="225"/>
  <c r="AG44" i="225"/>
  <c r="AN9" i="225"/>
  <c r="BD27" i="225"/>
  <c r="AZ13" i="225"/>
  <c r="BT26" i="225"/>
  <c r="AE32" i="225"/>
  <c r="BC46" i="225"/>
  <c r="BB37" i="225"/>
  <c r="AS34" i="225"/>
  <c r="W47" i="225"/>
  <c r="AF24" i="225"/>
  <c r="AL44" i="225"/>
  <c r="AS22" i="225"/>
  <c r="AX7" i="225"/>
  <c r="AZ9" i="225"/>
  <c r="X25" i="225"/>
  <c r="BD33" i="225"/>
  <c r="AS13" i="225"/>
  <c r="AA15" i="225"/>
  <c r="X26" i="225"/>
  <c r="AI19" i="225"/>
  <c r="AN30" i="225"/>
  <c r="BO38" i="225"/>
  <c r="BQ45" i="225"/>
  <c r="AU34" i="225"/>
  <c r="BP30" i="225"/>
  <c r="BD18" i="225"/>
  <c r="AF31" i="225"/>
  <c r="BE10" i="225"/>
  <c r="BP13" i="225"/>
  <c r="AQ36" i="225"/>
  <c r="AD46" i="225"/>
  <c r="Y40" i="225"/>
  <c r="AP15" i="225"/>
  <c r="BT5" i="225"/>
  <c r="BL7" i="225"/>
  <c r="AQ42" i="225"/>
  <c r="AJ35" i="225"/>
  <c r="AU40" i="225"/>
  <c r="AY17" i="225"/>
  <c r="AP5" i="225"/>
  <c r="AO24" i="225"/>
  <c r="AB5" i="225"/>
  <c r="BN28" i="225"/>
  <c r="BB19" i="225"/>
  <c r="BE36" i="225"/>
  <c r="AR28" i="225"/>
  <c r="BO47" i="225"/>
  <c r="BQ31" i="225"/>
  <c r="BM9" i="225"/>
  <c r="BI48" i="225"/>
  <c r="AX51" i="225"/>
  <c r="BS18" i="225"/>
  <c r="AF16" i="225"/>
  <c r="AT26" i="225"/>
  <c r="BB44" i="225"/>
  <c r="AD15" i="225"/>
  <c r="AP30" i="225"/>
  <c r="AF7" i="225"/>
  <c r="AY7" i="225"/>
  <c r="AO35" i="225"/>
  <c r="BK46" i="225"/>
  <c r="AG35" i="225"/>
  <c r="X43" i="225"/>
  <c r="W8" i="225"/>
  <c r="AE11" i="225"/>
  <c r="BR30" i="225"/>
  <c r="AL14" i="225"/>
  <c r="AQ22" i="225"/>
  <c r="AB20" i="225"/>
  <c r="AB36" i="225"/>
  <c r="AQ46" i="225"/>
  <c r="AR48" i="225"/>
  <c r="BF4" i="225"/>
  <c r="BB11" i="225"/>
  <c r="AI14" i="225"/>
  <c r="BR28" i="225"/>
  <c r="AN35" i="225"/>
  <c r="AS16" i="225"/>
  <c r="BG19" i="225"/>
  <c r="AJ28" i="225"/>
  <c r="AI22" i="225"/>
  <c r="AS33" i="225"/>
  <c r="AY40" i="225"/>
  <c r="BA47" i="225"/>
  <c r="Y27" i="225"/>
  <c r="AM28" i="225"/>
  <c r="AE5" i="225"/>
  <c r="AB33" i="225"/>
  <c r="AI12" i="225"/>
  <c r="BQ15" i="225"/>
  <c r="AM38" i="225"/>
  <c r="BK51" i="225"/>
  <c r="Y15" i="225"/>
  <c r="BL9" i="225"/>
  <c r="AF40" i="225"/>
  <c r="BF5" i="225"/>
  <c r="AU37" i="225"/>
  <c r="AU4" i="225"/>
  <c r="AT13" i="225"/>
  <c r="BF16" i="225"/>
  <c r="Y43" i="225"/>
  <c r="AV7" i="225"/>
  <c r="BI41" i="225"/>
  <c r="AH5" i="225"/>
  <c r="AP24" i="225"/>
  <c r="AY38" i="225"/>
  <c r="AF22" i="225"/>
  <c r="BF10" i="225"/>
  <c r="AE28" i="225"/>
  <c r="BT4" i="225"/>
  <c r="AL27" i="225"/>
  <c r="BD25" i="225"/>
  <c r="W27" i="225"/>
  <c r="BJ12" i="225"/>
  <c r="AO27" i="225"/>
  <c r="W21" i="225"/>
  <c r="BP29" i="225"/>
  <c r="AQ8" i="225"/>
  <c r="AJ5" i="225"/>
  <c r="BC44" i="225"/>
  <c r="AT35" i="225"/>
  <c r="BK23" i="225"/>
  <c r="AE25" i="225"/>
  <c r="AR6" i="225"/>
  <c r="AH36" i="225"/>
  <c r="BH23" i="225"/>
  <c r="BL5" i="225"/>
  <c r="BG47" i="225"/>
  <c r="BA48" i="225"/>
  <c r="X41" i="225"/>
  <c r="AV28" i="225"/>
  <c r="AM11" i="225"/>
  <c r="BR5" i="225"/>
  <c r="AW48" i="225"/>
  <c r="AO37" i="225"/>
  <c r="BR14" i="225"/>
  <c r="AV11" i="225"/>
  <c r="AD32" i="225"/>
  <c r="Y4" i="225"/>
  <c r="BI29" i="225"/>
  <c r="AK41" i="225"/>
  <c r="AH29" i="225"/>
  <c r="Z36" i="225"/>
  <c r="AD13" i="225"/>
  <c r="AU7" i="225"/>
  <c r="BE41" i="225"/>
  <c r="BC21" i="225"/>
  <c r="BR18" i="225"/>
  <c r="AA37" i="225"/>
  <c r="AN4" i="225"/>
  <c r="BJ29" i="225"/>
  <c r="AZ40" i="225"/>
  <c r="BO48" i="225"/>
  <c r="AN6" i="225"/>
  <c r="BM12" i="225"/>
  <c r="BM16" i="225"/>
  <c r="AB19" i="225"/>
  <c r="BC20" i="225"/>
  <c r="AE22" i="225"/>
  <c r="BF23" i="225"/>
  <c r="AG25" i="225"/>
  <c r="BG26" i="225"/>
  <c r="AI28" i="225"/>
  <c r="BE29" i="225"/>
  <c r="BL30" i="225"/>
  <c r="BS31" i="225"/>
  <c r="AA33" i="225"/>
  <c r="AI34" i="225"/>
  <c r="AP35" i="225"/>
  <c r="AT36" i="225"/>
  <c r="AM37" i="225"/>
  <c r="AF38" i="225"/>
  <c r="X39" i="225"/>
  <c r="BO39" i="225"/>
  <c r="BH40" i="225"/>
  <c r="AZ41" i="225"/>
  <c r="AS42" i="225"/>
  <c r="AL43" i="225"/>
  <c r="AD44" i="225"/>
  <c r="W45" i="225"/>
  <c r="BN45" i="225"/>
  <c r="BF46" i="225"/>
  <c r="AY47" i="225"/>
  <c r="AP48" i="225"/>
  <c r="X49" i="225"/>
  <c r="BD49" i="225"/>
  <c r="AL50" i="225"/>
  <c r="BR50" i="225"/>
  <c r="AZ51" i="225"/>
  <c r="BS5" i="225"/>
  <c r="AW12" i="225"/>
  <c r="AX16" i="225"/>
  <c r="BQ18" i="225"/>
  <c r="AV20" i="225"/>
  <c r="X22" i="225"/>
  <c r="AX23" i="225"/>
  <c r="Y25" i="225"/>
  <c r="AZ26" i="225"/>
  <c r="AB28" i="225"/>
  <c r="AY29" i="225"/>
  <c r="BG30" i="225"/>
  <c r="BN31" i="225"/>
  <c r="BT32" i="225"/>
  <c r="AC34" i="225"/>
  <c r="AK35" i="225"/>
  <c r="AP36" i="225"/>
  <c r="AI37" i="225"/>
  <c r="AB38" i="225"/>
  <c r="BR38" i="225"/>
  <c r="BK39" i="225"/>
  <c r="BD40" i="225"/>
  <c r="AV41" i="225"/>
  <c r="AO42" i="225"/>
  <c r="AH43" i="225"/>
  <c r="Z44" i="225"/>
  <c r="BQ44" i="225"/>
  <c r="BJ45" i="225"/>
  <c r="BB46" i="225"/>
  <c r="AU47" i="225"/>
  <c r="AM48" i="225"/>
  <c r="BS48" i="225"/>
  <c r="BA49" i="225"/>
  <c r="AI50" i="225"/>
  <c r="BO50" i="225"/>
  <c r="AW51" i="225"/>
  <c r="AP10" i="225"/>
  <c r="AD18" i="225"/>
  <c r="AT21" i="225"/>
  <c r="AU24" i="225"/>
  <c r="AX27" i="225"/>
  <c r="AK30" i="225"/>
  <c r="AY32" i="225"/>
  <c r="BM34" i="225"/>
  <c r="BQ36" i="225"/>
  <c r="BB38" i="225"/>
  <c r="AN40" i="225"/>
  <c r="Y42" i="225"/>
  <c r="BH43" i="225"/>
  <c r="AC8" i="225"/>
  <c r="AH14" i="225"/>
  <c r="AV17" i="225"/>
  <c r="AU19" i="225"/>
  <c r="Y21" i="225"/>
  <c r="AY22" i="225"/>
  <c r="Y24" i="225"/>
  <c r="AY25" i="225"/>
  <c r="AW11" i="225"/>
  <c r="AY18" i="225"/>
  <c r="BJ21" i="225"/>
  <c r="BL24" i="225"/>
  <c r="AT27" i="225"/>
  <c r="AP29" i="225"/>
  <c r="AC31" i="225"/>
  <c r="AW32" i="225"/>
  <c r="BR33" i="225"/>
  <c r="BC35" i="225"/>
  <c r="BP36" i="225"/>
  <c r="BS37" i="225"/>
  <c r="AI39" i="225"/>
  <c r="AL40" i="225"/>
  <c r="AP41" i="225"/>
  <c r="BD42" i="225"/>
  <c r="BG43" i="225"/>
  <c r="BJ44" i="225"/>
  <c r="Z46" i="225"/>
  <c r="AD47" i="225"/>
  <c r="AG48" i="225"/>
  <c r="AF49" i="225"/>
  <c r="BT49" i="225"/>
  <c r="BJ50" i="225"/>
  <c r="BH51" i="225"/>
  <c r="AV9" i="225"/>
  <c r="BP15" i="225"/>
  <c r="AO19" i="225"/>
  <c r="AK21" i="225"/>
  <c r="AE23" i="225"/>
  <c r="AS25" i="225"/>
  <c r="AM27" i="225"/>
  <c r="AI29" i="225"/>
  <c r="W31" i="225"/>
  <c r="AR32" i="225"/>
  <c r="BM33" i="225"/>
  <c r="AX35" i="225"/>
  <c r="BL36" i="225"/>
  <c r="BO37" i="225"/>
  <c r="AE39" i="225"/>
  <c r="AH40" i="225"/>
  <c r="AL41" i="225"/>
  <c r="AZ42" i="225"/>
  <c r="BC43" i="225"/>
  <c r="BF44" i="225"/>
  <c r="BT45" i="225"/>
  <c r="Z47" i="225"/>
  <c r="AC48" i="225"/>
  <c r="AC49" i="225"/>
  <c r="BQ49" i="225"/>
  <c r="BG50" i="225"/>
  <c r="BE51" i="225"/>
  <c r="AY15" i="225"/>
  <c r="BG20" i="225"/>
  <c r="AI25" i="225"/>
  <c r="Y29" i="225"/>
  <c r="W32" i="225"/>
  <c r="AQ35" i="225"/>
  <c r="BJ37" i="225"/>
  <c r="BP39" i="225"/>
  <c r="AT42" i="225"/>
  <c r="BA44" i="225"/>
  <c r="AL46" i="225"/>
  <c r="X48" i="225"/>
  <c r="AO49" i="225"/>
  <c r="BC50" i="225"/>
  <c r="BQ51" i="225"/>
  <c r="AY52" i="225"/>
  <c r="AG53" i="225"/>
  <c r="BM53" i="225"/>
  <c r="BK15" i="225"/>
  <c r="AA20" i="225"/>
  <c r="AC23" i="225"/>
  <c r="AE26" i="225"/>
  <c r="AE29" i="225"/>
  <c r="AX31" i="225"/>
  <c r="BK33" i="225"/>
  <c r="AA36" i="225"/>
  <c r="BN37" i="225"/>
  <c r="AY39" i="225"/>
  <c r="AJ41" i="225"/>
  <c r="BT42" i="225"/>
  <c r="BE44" i="225"/>
  <c r="AP46" i="225"/>
  <c r="AB48" i="225"/>
  <c r="AR49" i="225"/>
  <c r="BF50" i="225"/>
  <c r="BT51" i="225"/>
  <c r="BB52" i="225"/>
  <c r="AJ53" i="225"/>
  <c r="BP53" i="225"/>
  <c r="AI16" i="225"/>
  <c r="AZ22" i="225"/>
  <c r="BD28" i="225"/>
  <c r="BM32" i="225"/>
  <c r="AD37" i="225"/>
  <c r="BT40" i="225"/>
  <c r="AI45" i="225"/>
  <c r="AH48" i="225"/>
  <c r="BK50" i="225"/>
  <c r="BC52" i="225"/>
  <c r="AU5" i="225"/>
  <c r="AW16" i="225"/>
  <c r="AS20" i="225"/>
  <c r="AU23" i="225"/>
  <c r="AJ4" i="225"/>
  <c r="AV15" i="225"/>
  <c r="BO19" i="225"/>
  <c r="BP22" i="225"/>
  <c r="BS25" i="225"/>
  <c r="BN27" i="225"/>
  <c r="BS29" i="225"/>
  <c r="AP31" i="225"/>
  <c r="BL32" i="225"/>
  <c r="AW34" i="225"/>
  <c r="BR35" i="225"/>
  <c r="AB37" i="225"/>
  <c r="AP38" i="225"/>
  <c r="AT39" i="225"/>
  <c r="AW40" i="225"/>
  <c r="BK41" i="225"/>
  <c r="BN42" i="225"/>
  <c r="BR43" i="225"/>
  <c r="AH45" i="225"/>
  <c r="AK46" i="225"/>
  <c r="AN47" i="225"/>
  <c r="AX48" i="225"/>
  <c r="AN49" i="225"/>
  <c r="AD50" i="225"/>
  <c r="AB51" i="225"/>
  <c r="BP51" i="225"/>
  <c r="AG11" i="225"/>
  <c r="AJ17" i="225"/>
  <c r="BI19" i="225"/>
  <c r="BB21" i="225"/>
  <c r="BQ23" i="225"/>
  <c r="BM25" i="225"/>
  <c r="BF27" i="225"/>
  <c r="BN29" i="225"/>
  <c r="AK31" i="225"/>
  <c r="BG32" i="225"/>
  <c r="AR34" i="225"/>
  <c r="BM35" i="225"/>
  <c r="X37" i="225"/>
  <c r="AL38" i="225"/>
  <c r="AP39" i="225"/>
  <c r="AS40" i="225"/>
  <c r="BG41" i="225"/>
  <c r="BJ42" i="225"/>
  <c r="BN43" i="225"/>
  <c r="AD45" i="225"/>
  <c r="AG46" i="225"/>
  <c r="AJ47" i="225"/>
  <c r="AU48" i="225"/>
  <c r="AK49" i="225"/>
  <c r="AA50" i="225"/>
  <c r="Y51" i="225"/>
  <c r="BM51" i="225"/>
  <c r="BO16" i="225"/>
  <c r="AG22" i="225"/>
  <c r="W26" i="225"/>
  <c r="BG29" i="225"/>
  <c r="AD33" i="225"/>
  <c r="BS35" i="225"/>
  <c r="AG38" i="225"/>
  <c r="BI40" i="225"/>
  <c r="BP42" i="225"/>
  <c r="X45" i="225"/>
  <c r="BH46" i="225"/>
  <c r="AQ48" i="225"/>
  <c r="BE49" i="225"/>
  <c r="BS50" i="225"/>
  <c r="AA52" i="225"/>
  <c r="BG52" i="225"/>
  <c r="AO53" i="225"/>
  <c r="AJ7" i="225"/>
  <c r="AB17" i="225"/>
  <c r="BM20" i="225"/>
  <c r="BN23" i="225"/>
  <c r="BP26" i="225"/>
  <c r="BM29" i="225"/>
  <c r="AB32" i="225"/>
  <c r="AO34" i="225"/>
  <c r="AZ36" i="225"/>
  <c r="AK38" i="225"/>
  <c r="BT39" i="225"/>
  <c r="BF41" i="225"/>
  <c r="AQ43" i="225"/>
  <c r="AB45" i="225"/>
  <c r="Z18" i="225"/>
  <c r="AS24" i="225"/>
  <c r="BT28" i="225"/>
  <c r="AI32" i="225"/>
  <c r="AA35" i="225"/>
  <c r="BH37" i="225"/>
  <c r="AB40" i="225"/>
  <c r="AH42" i="225"/>
  <c r="AZ44" i="225"/>
  <c r="BQ46" i="225"/>
  <c r="BN48" i="225"/>
  <c r="BB50" i="225"/>
  <c r="BJ7" i="225"/>
  <c r="AP18" i="225"/>
  <c r="BI22" i="225"/>
  <c r="BS26" i="225"/>
  <c r="AR30" i="225"/>
  <c r="AY33" i="225"/>
  <c r="BA36" i="225"/>
  <c r="BH38" i="225"/>
  <c r="AA41" i="225"/>
  <c r="AR43" i="225"/>
  <c r="AY45" i="225"/>
  <c r="BP47" i="225"/>
  <c r="BI49" i="225"/>
  <c r="AO51" i="225"/>
  <c r="BQ19" i="225"/>
  <c r="AK28" i="225"/>
  <c r="AJ34" i="225"/>
  <c r="AU39" i="225"/>
  <c r="AF44" i="225"/>
  <c r="AZ47" i="225"/>
  <c r="AM50" i="225"/>
  <c r="AQ52" i="225"/>
  <c r="BE53" i="225"/>
  <c r="AM19" i="225"/>
  <c r="AQ25" i="225"/>
  <c r="BS30" i="225"/>
  <c r="AW35" i="225"/>
  <c r="AD39" i="225"/>
  <c r="AX42" i="225"/>
  <c r="BS45" i="225"/>
  <c r="AT48" i="225"/>
  <c r="Z50" i="225"/>
  <c r="BD51" i="225"/>
  <c r="BJ52" i="225"/>
  <c r="AZ53" i="225"/>
  <c r="BL11" i="225"/>
  <c r="AC24" i="225"/>
  <c r="AD31" i="225"/>
  <c r="AJ36" i="225"/>
  <c r="BL41" i="225"/>
  <c r="AW46" i="225"/>
  <c r="AE50" i="225"/>
  <c r="BS52" i="225"/>
  <c r="AG12" i="225"/>
  <c r="BF19" i="225"/>
  <c r="AJ24" i="225"/>
  <c r="AK27" i="225"/>
  <c r="AB30" i="225"/>
  <c r="AQ32" i="225"/>
  <c r="BD34" i="225"/>
  <c r="BJ36" i="225"/>
  <c r="AV38" i="225"/>
  <c r="AG40" i="225"/>
  <c r="BP41" i="225"/>
  <c r="BB43" i="225"/>
  <c r="AM45" i="225"/>
  <c r="X47" i="225"/>
  <c r="BB48" i="225"/>
  <c r="BP49" i="225"/>
  <c r="AF51" i="225"/>
  <c r="AH52" i="225"/>
  <c r="BN52" i="225"/>
  <c r="AV53" i="225"/>
  <c r="AX14" i="225"/>
  <c r="AM23" i="225"/>
  <c r="AQ29" i="225"/>
  <c r="AY34" i="225"/>
  <c r="AR38" i="225"/>
  <c r="AQ41" i="225"/>
  <c r="BS43" i="225"/>
  <c r="BK47" i="225"/>
  <c r="AU50" i="225"/>
  <c r="AU52" i="225"/>
  <c r="BI53" i="225"/>
  <c r="BI11" i="225"/>
  <c r="BR4" i="225"/>
  <c r="BM52" i="225"/>
  <c r="AY51" i="225"/>
  <c r="AK50" i="225"/>
  <c r="W49" i="225"/>
  <c r="AX47" i="225"/>
  <c r="BL45" i="225"/>
  <c r="AC44" i="225"/>
  <c r="AR42" i="225"/>
  <c r="BF40" i="225"/>
  <c r="W39" i="225"/>
  <c r="AL37" i="225"/>
  <c r="AM35" i="225"/>
  <c r="Z33" i="225"/>
  <c r="BK30" i="225"/>
  <c r="AF28" i="225"/>
  <c r="AD25" i="225"/>
  <c r="AC22" i="225"/>
  <c r="W19" i="225"/>
  <c r="Z14" i="225"/>
  <c r="BT7" i="225"/>
  <c r="AP53" i="225"/>
  <c r="AB52" i="225"/>
  <c r="BL50" i="225"/>
  <c r="AX49" i="225"/>
  <c r="AJ48" i="225"/>
  <c r="AX46" i="225"/>
  <c r="BM44" i="225"/>
  <c r="AD43" i="225"/>
  <c r="AR41" i="225"/>
  <c r="BG39" i="225"/>
  <c r="X38" i="225"/>
  <c r="AK36" i="225"/>
  <c r="X34" i="225"/>
  <c r="BI31" i="225"/>
  <c r="AT29" i="225"/>
  <c r="AR26" i="225"/>
  <c r="AQ23" i="225"/>
  <c r="AN20" i="225"/>
  <c r="AM16" i="225"/>
  <c r="BS10" i="225"/>
  <c r="AA4" i="225"/>
  <c r="AO5" i="225"/>
  <c r="BC6" i="225"/>
  <c r="BQ7" i="225"/>
  <c r="AG9" i="225"/>
  <c r="AU10" i="225"/>
  <c r="AL5" i="225"/>
  <c r="W7" i="225"/>
  <c r="BF8" i="225"/>
  <c r="AR10" i="225"/>
  <c r="BJ11" i="225"/>
  <c r="Z13" i="225"/>
  <c r="AN14" i="225"/>
  <c r="BB15" i="225"/>
  <c r="BP16" i="225"/>
  <c r="AF18" i="225"/>
  <c r="AL4" i="225"/>
  <c r="BA6" i="225"/>
  <c r="BN8" i="225"/>
  <c r="Y11" i="225"/>
  <c r="BI12" i="225"/>
  <c r="AT14" i="225"/>
  <c r="AE16" i="225"/>
  <c r="BO17" i="225"/>
  <c r="AV19" i="225"/>
  <c r="BJ20" i="225"/>
  <c r="Z22" i="225"/>
  <c r="AN23" i="225"/>
  <c r="BB24" i="225"/>
  <c r="BP25" i="225"/>
  <c r="AF27" i="225"/>
  <c r="AU13" i="225"/>
  <c r="AA7" i="225"/>
  <c r="AI53" i="225"/>
  <c r="BS51" i="225"/>
  <c r="BE50" i="225"/>
  <c r="AQ49" i="225"/>
  <c r="Z48" i="225"/>
  <c r="AO46" i="225"/>
  <c r="BD44" i="225"/>
  <c r="BR42" i="225"/>
  <c r="AI41" i="225"/>
  <c r="AZ4" i="225"/>
  <c r="AK20" i="225"/>
  <c r="AM26" i="225"/>
  <c r="AJ30" i="225"/>
  <c r="AP33" i="225"/>
  <c r="AI36" i="225"/>
  <c r="BA38" i="225"/>
  <c r="BR40" i="225"/>
  <c r="AA43" i="225"/>
  <c r="AR45" i="225"/>
  <c r="BJ47" i="225"/>
  <c r="AV49" i="225"/>
  <c r="AJ51" i="225"/>
  <c r="BM13" i="225"/>
  <c r="AC20" i="225"/>
  <c r="AK24" i="225"/>
  <c r="AS28" i="225"/>
  <c r="AY31" i="225"/>
  <c r="BE34" i="225"/>
  <c r="AT37" i="225"/>
  <c r="AZ39" i="225"/>
  <c r="BR41" i="225"/>
  <c r="AK44" i="225"/>
  <c r="AR46" i="225"/>
  <c r="BC48" i="225"/>
  <c r="AQ50" i="225"/>
  <c r="BL6" i="225"/>
  <c r="BT22" i="225"/>
  <c r="BM30" i="225"/>
  <c r="AV36" i="225"/>
  <c r="AF41" i="225"/>
  <c r="AT45" i="225"/>
  <c r="BG48" i="225"/>
  <c r="AK51" i="225"/>
  <c r="BO52" i="225"/>
  <c r="BK10" i="225"/>
  <c r="BA21" i="225"/>
  <c r="BE27" i="225"/>
  <c r="BD32" i="225"/>
  <c r="W37" i="225"/>
  <c r="AR40" i="225"/>
  <c r="BL43" i="225"/>
  <c r="BL46" i="225"/>
  <c r="BJ48" i="225"/>
  <c r="AP50" i="225"/>
  <c r="AD52" i="225"/>
  <c r="BR52" i="225"/>
  <c r="BH53" i="225"/>
  <c r="BA17" i="225"/>
  <c r="BB25" i="225"/>
  <c r="BF31" i="225"/>
  <c r="BT37" i="225"/>
  <c r="AB43" i="225"/>
  <c r="AP47" i="225"/>
  <c r="AS51" i="225"/>
  <c r="AK53" i="225"/>
  <c r="BM14" i="225"/>
  <c r="AG21" i="225"/>
  <c r="W25" i="225"/>
  <c r="X28" i="225"/>
  <c r="BE30" i="225"/>
  <c r="BS32" i="225"/>
  <c r="AH35" i="225"/>
  <c r="AH37" i="225"/>
  <c r="BQ38" i="225"/>
  <c r="BB40" i="225"/>
  <c r="AN42" i="225"/>
  <c r="Y44" i="225"/>
  <c r="BH45" i="225"/>
  <c r="AT47" i="225"/>
  <c r="BR48" i="225"/>
  <c r="AH50" i="225"/>
  <c r="AV51" i="225"/>
  <c r="AP52" i="225"/>
  <c r="X53" i="225"/>
  <c r="BD53" i="225"/>
  <c r="BC18" i="225"/>
  <c r="BO24" i="225"/>
  <c r="AZ30" i="225"/>
  <c r="BF35" i="225"/>
  <c r="AJ39" i="225"/>
  <c r="AJ42" i="225"/>
  <c r="BL44" i="225"/>
  <c r="AY48" i="225"/>
  <c r="AC51" i="225"/>
  <c r="BK52" i="225"/>
  <c r="BQ53" i="225"/>
  <c r="AN10" i="225"/>
  <c r="BK53" i="225"/>
  <c r="AW52" i="225"/>
  <c r="AI51" i="225"/>
  <c r="BS49" i="225"/>
  <c r="BE48" i="225"/>
  <c r="AB47" i="225"/>
  <c r="AQ45" i="225"/>
  <c r="BF43" i="225"/>
  <c r="BT41" i="225"/>
  <c r="AK40" i="225"/>
  <c r="AZ38" i="225"/>
  <c r="BN36" i="225"/>
  <c r="BI34" i="225"/>
  <c r="AV32" i="225"/>
  <c r="AG30" i="225"/>
  <c r="AS27" i="225"/>
  <c r="AQ24" i="225"/>
  <c r="AO21" i="225"/>
  <c r="W18" i="225"/>
  <c r="BF12" i="225"/>
  <c r="AB6" i="225"/>
  <c r="Z53" i="225"/>
  <c r="BJ51" i="225"/>
  <c r="AV50" i="225"/>
  <c r="AH49" i="225"/>
  <c r="BL47" i="225"/>
  <c r="AC46" i="225"/>
  <c r="AR44" i="225"/>
  <c r="BF42" i="225"/>
  <c r="W41" i="225"/>
  <c r="AL39" i="225"/>
  <c r="AZ37" i="225"/>
  <c r="BG35" i="225"/>
  <c r="AT33" i="225"/>
  <c r="AE31" i="225"/>
  <c r="BG28" i="225"/>
  <c r="BE25" i="225"/>
  <c r="BC22" i="225"/>
  <c r="BA19" i="225"/>
  <c r="BS14" i="225"/>
  <c r="AB9" i="225"/>
  <c r="AQ4" i="225"/>
  <c r="BE5" i="225"/>
  <c r="BS6" i="225"/>
  <c r="AI8" i="225"/>
  <c r="AW9" i="225"/>
  <c r="X4" i="225"/>
  <c r="BG5" i="225"/>
  <c r="AR7" i="225"/>
  <c r="AD9" i="225"/>
  <c r="BL10" i="225"/>
  <c r="AB12" i="225"/>
  <c r="AP13" i="225"/>
  <c r="BD14" i="225"/>
  <c r="BR15" i="225"/>
  <c r="AH17" i="225"/>
  <c r="AV18" i="225"/>
  <c r="BP4" i="225"/>
  <c r="AE7" i="225"/>
  <c r="AR9" i="225"/>
  <c r="AU11" i="225"/>
  <c r="AF13" i="225"/>
  <c r="BO14" i="225"/>
  <c r="BA16" i="225"/>
  <c r="AL18" i="225"/>
  <c r="BL19" i="225"/>
  <c r="AB21" i="225"/>
  <c r="AP22" i="225"/>
  <c r="BD23" i="225"/>
  <c r="BR24" i="225"/>
  <c r="AH26" i="225"/>
  <c r="AV27" i="225"/>
  <c r="AA12" i="225"/>
  <c r="AN5" i="225"/>
  <c r="BQ52" i="225"/>
  <c r="BC51" i="225"/>
  <c r="AO50" i="225"/>
  <c r="AA49" i="225"/>
  <c r="BC47" i="225"/>
  <c r="BR45" i="225"/>
  <c r="AH44" i="225"/>
  <c r="AW42" i="225"/>
  <c r="AL23" i="225"/>
  <c r="BE31" i="225"/>
  <c r="AX37" i="225"/>
  <c r="X42" i="225"/>
  <c r="AV46" i="225"/>
  <c r="AT50" i="225"/>
  <c r="BM17" i="225"/>
  <c r="AF26" i="225"/>
  <c r="AK33" i="225"/>
  <c r="AW38" i="225"/>
  <c r="W43" i="225"/>
  <c r="BF47" i="225"/>
  <c r="AG51" i="225"/>
  <c r="BH26" i="225"/>
  <c r="Z39" i="225"/>
  <c r="AE47" i="225"/>
  <c r="AI52" i="225"/>
  <c r="AO18" i="225"/>
  <c r="AQ30" i="225"/>
  <c r="BF38" i="225"/>
  <c r="AX45" i="225"/>
  <c r="BH49" i="225"/>
  <c r="AT52" i="225"/>
  <c r="BB8" i="225"/>
  <c r="W30" i="225"/>
  <c r="BF39" i="225"/>
  <c r="AW49" i="225"/>
  <c r="AA9" i="225"/>
  <c r="BH22" i="225"/>
  <c r="AX29" i="225"/>
  <c r="AB34" i="225"/>
  <c r="Z38" i="225"/>
  <c r="AU41" i="225"/>
  <c r="BP44" i="225"/>
  <c r="AL48" i="225"/>
  <c r="BN50" i="225"/>
  <c r="BF52" i="225"/>
  <c r="BT53" i="225"/>
  <c r="BO27" i="225"/>
  <c r="AY37" i="225"/>
  <c r="AX43" i="225"/>
  <c r="BM49" i="225"/>
  <c r="AS53" i="225"/>
  <c r="BF6" i="225"/>
  <c r="BO51" i="225"/>
  <c r="AM49" i="225"/>
  <c r="AJ46" i="225"/>
  <c r="BM42" i="225"/>
  <c r="AR39" i="225"/>
  <c r="BQ35" i="225"/>
  <c r="AO31" i="225"/>
  <c r="BO25" i="225"/>
  <c r="BN19" i="225"/>
  <c r="BH9" i="225"/>
  <c r="AR52" i="225"/>
  <c r="BN49" i="225"/>
  <c r="BT46" i="225"/>
  <c r="AY43" i="225"/>
  <c r="AD40" i="225"/>
  <c r="BH36" i="225"/>
  <c r="AM32" i="225"/>
  <c r="AE27" i="225"/>
  <c r="AD21" i="225"/>
  <c r="AK12" i="225"/>
  <c r="Y5" i="225"/>
  <c r="BA7" i="225"/>
  <c r="AE10" i="225"/>
  <c r="AZ6" i="225"/>
  <c r="BT9" i="225"/>
  <c r="BH12" i="225"/>
  <c r="AL15" i="225"/>
  <c r="BN17" i="225"/>
  <c r="X6" i="225"/>
  <c r="AZ10" i="225"/>
  <c r="Y14" i="225"/>
  <c r="AS17" i="225"/>
  <c r="AT20" i="225"/>
  <c r="X23" i="225"/>
  <c r="AZ25" i="225"/>
  <c r="BK14" i="225"/>
  <c r="AY53" i="225"/>
  <c r="W51" i="225"/>
  <c r="AS48" i="225"/>
  <c r="AA45" i="225"/>
  <c r="BD41" i="225"/>
  <c r="AX39" i="225"/>
  <c r="BL37" i="225"/>
  <c r="Y36" i="225"/>
  <c r="BJ33" i="225"/>
  <c r="AU31" i="225"/>
  <c r="AD29" i="225"/>
  <c r="AB26" i="225"/>
  <c r="Z23" i="225"/>
  <c r="X20" i="225"/>
  <c r="BI15" i="225"/>
  <c r="AC10" i="225"/>
  <c r="BJ53" i="225"/>
  <c r="AV52" i="225"/>
  <c r="AH51" i="225"/>
  <c r="BR49" i="225"/>
  <c r="BD48" i="225"/>
  <c r="AA47" i="225"/>
  <c r="AP45" i="225"/>
  <c r="BD43" i="225"/>
  <c r="BS41" i="225"/>
  <c r="AJ40" i="225"/>
  <c r="AX38" i="225"/>
  <c r="BM36" i="225"/>
  <c r="BH34" i="225"/>
  <c r="AS32" i="225"/>
  <c r="AF30" i="225"/>
  <c r="AP27" i="225"/>
  <c r="AN24" i="225"/>
  <c r="AL21" i="225"/>
  <c r="BS17" i="225"/>
  <c r="AY12" i="225"/>
  <c r="Z6" i="225"/>
  <c r="BS4" i="225"/>
  <c r="AI6" i="225"/>
  <c r="AW7" i="225"/>
  <c r="BK8" i="225"/>
  <c r="AA10" i="225"/>
  <c r="BI4" i="225"/>
  <c r="AT6" i="225"/>
  <c r="AF8" i="225"/>
  <c r="BO9" i="225"/>
  <c r="AP11" i="225"/>
  <c r="BD12" i="225"/>
  <c r="BR13" i="225"/>
  <c r="AH15" i="225"/>
  <c r="AV16" i="225"/>
  <c r="BJ17" i="225"/>
  <c r="Z19" i="225"/>
  <c r="BO5" i="225"/>
  <c r="AD8" i="225"/>
  <c r="AS10" i="225"/>
  <c r="AH12" i="225"/>
  <c r="BQ13" i="225"/>
  <c r="BC15" i="225"/>
  <c r="AN17" i="225"/>
  <c r="Y19" i="225"/>
  <c r="AP20" i="225"/>
  <c r="BD21" i="225"/>
  <c r="BR22" i="225"/>
  <c r="AH24" i="225"/>
  <c r="AV25" i="225"/>
  <c r="BJ26" i="225"/>
  <c r="Z28" i="225"/>
  <c r="BB7" i="225"/>
  <c r="Y52" i="225"/>
  <c r="AU49" i="225"/>
  <c r="AT46" i="225"/>
  <c r="Z43" i="225"/>
  <c r="BC39" i="225"/>
  <c r="AF36" i="225"/>
  <c r="BC31" i="225"/>
  <c r="AK26" i="225"/>
  <c r="AG20" i="225"/>
  <c r="BD10" i="225"/>
  <c r="AZ52" i="225"/>
  <c r="X50" i="225"/>
  <c r="AF47" i="225"/>
  <c r="BJ43" i="225"/>
  <c r="AO40" i="225"/>
  <c r="BR36" i="225"/>
  <c r="BA32" i="225"/>
  <c r="AY27" i="225"/>
  <c r="AU21" i="225"/>
  <c r="BR12" i="225"/>
  <c r="BO4" i="225"/>
  <c r="Y10" i="225"/>
  <c r="AC27" i="225"/>
  <c r="BE33" i="225"/>
  <c r="BL38" i="225"/>
  <c r="AV43" i="225"/>
  <c r="BT47" i="225"/>
  <c r="AR51" i="225"/>
  <c r="BO20" i="225"/>
  <c r="BM28" i="225"/>
  <c r="BT34" i="225"/>
  <c r="X40" i="225"/>
  <c r="AV44" i="225"/>
  <c r="BK48" i="225"/>
  <c r="AI13" i="225"/>
  <c r="AS31" i="225"/>
  <c r="BB41" i="225"/>
  <c r="Y49" i="225"/>
  <c r="Y53" i="225"/>
  <c r="AN22" i="225"/>
  <c r="AI33" i="225"/>
  <c r="BM40" i="225"/>
  <c r="AI47" i="225"/>
  <c r="X51" i="225"/>
  <c r="AB53" i="225"/>
  <c r="AY19" i="225"/>
  <c r="W34" i="225"/>
  <c r="AP44" i="225"/>
  <c r="W52" i="225"/>
  <c r="BL17" i="225"/>
  <c r="BI25" i="225"/>
  <c r="AI31" i="225"/>
  <c r="BK35" i="225"/>
  <c r="AN39" i="225"/>
  <c r="BI42" i="225"/>
  <c r="AF46" i="225"/>
  <c r="AJ49" i="225"/>
  <c r="BL51" i="225"/>
  <c r="AF53" i="225"/>
  <c r="AM20" i="225"/>
  <c r="AK32" i="225"/>
  <c r="AC40" i="225"/>
  <c r="BD45" i="225"/>
  <c r="BI51" i="225"/>
  <c r="AU14" i="225"/>
  <c r="AU53" i="225"/>
  <c r="BQ50" i="225"/>
  <c r="AO48" i="225"/>
  <c r="BT44" i="225"/>
  <c r="AY41" i="225"/>
  <c r="AD38" i="225"/>
  <c r="AG34" i="225"/>
  <c r="BC29" i="225"/>
  <c r="BB23" i="225"/>
  <c r="BI16" i="225"/>
  <c r="AO4" i="225"/>
  <c r="AT51" i="225"/>
  <c r="BP48" i="225"/>
  <c r="BF45" i="225"/>
  <c r="AK42" i="225"/>
  <c r="BN38" i="225"/>
  <c r="AE35" i="225"/>
  <c r="BA30" i="225"/>
  <c r="BP24" i="225"/>
  <c r="BF18" i="225"/>
  <c r="AP7" i="225"/>
  <c r="W6" i="225"/>
  <c r="AY8" i="225"/>
  <c r="AS4" i="225"/>
  <c r="BN7" i="225"/>
  <c r="AD11" i="225"/>
  <c r="BF13" i="225"/>
  <c r="AJ16" i="225"/>
  <c r="BL18" i="225"/>
  <c r="BG7" i="225"/>
  <c r="BP11" i="225"/>
  <c r="AM15" i="225"/>
  <c r="BG18" i="225"/>
  <c r="AR21" i="225"/>
  <c r="BT23" i="225"/>
  <c r="AX26" i="225"/>
  <c r="BJ10" i="225"/>
  <c r="BA52" i="225"/>
  <c r="Y50" i="225"/>
  <c r="AH47" i="225"/>
  <c r="BK43" i="225"/>
  <c r="BL40" i="225"/>
  <c r="AB39" i="225"/>
  <c r="AQ37" i="225"/>
  <c r="AU35" i="225"/>
  <c r="AG33" i="225"/>
  <c r="BQ30" i="225"/>
  <c r="AQ28" i="225"/>
  <c r="AM25" i="225"/>
  <c r="AM22" i="225"/>
  <c r="AK19" i="225"/>
  <c r="AP14" i="225"/>
  <c r="AO8" i="225"/>
  <c r="AT53" i="225"/>
  <c r="AF52" i="225"/>
  <c r="BP50" i="225"/>
  <c r="BB49" i="225"/>
  <c r="AN48" i="225"/>
  <c r="BD46" i="225"/>
  <c r="BR44" i="225"/>
  <c r="AI43" i="225"/>
  <c r="AX41" i="225"/>
  <c r="BL39" i="225"/>
  <c r="AC38" i="225"/>
  <c r="AR36" i="225"/>
  <c r="AE34" i="225"/>
  <c r="BO31" i="225"/>
  <c r="BB29" i="225"/>
  <c r="BA26" i="225"/>
  <c r="BA23" i="225"/>
  <c r="AY20" i="225"/>
  <c r="BC16" i="225"/>
  <c r="AI11" i="225"/>
  <c r="W4" i="225"/>
  <c r="AK5" i="225"/>
  <c r="AY6" i="225"/>
  <c r="BM7" i="225"/>
  <c r="AC9" i="225"/>
  <c r="AQ10" i="225"/>
  <c r="AF5" i="225"/>
  <c r="BP6" i="225"/>
  <c r="BA8" i="225"/>
  <c r="AL10" i="225"/>
  <c r="BF11" i="225"/>
  <c r="BT12" i="225"/>
  <c r="AJ14" i="225"/>
  <c r="AX15" i="225"/>
  <c r="BL16" i="225"/>
  <c r="AB18" i="225"/>
  <c r="AF4" i="225"/>
  <c r="AS6" i="225"/>
  <c r="BH8" i="225"/>
  <c r="BR10" i="225"/>
  <c r="BC12" i="225"/>
  <c r="AO14" i="225"/>
  <c r="Z16" i="225"/>
  <c r="BI17" i="225"/>
  <c r="AR19" i="225"/>
  <c r="BF20" i="225"/>
  <c r="BT21" i="225"/>
  <c r="AJ23" i="225"/>
  <c r="AX24" i="225"/>
  <c r="BL25" i="225"/>
  <c r="AB27" i="225"/>
  <c r="AP28" i="225"/>
  <c r="BS53" i="225"/>
  <c r="AQ51" i="225"/>
  <c r="BM48" i="225"/>
  <c r="BB45" i="225"/>
  <c r="AG42" i="225"/>
  <c r="BJ38" i="225"/>
  <c r="Z35" i="225"/>
  <c r="AV30" i="225"/>
  <c r="BI24" i="225"/>
  <c r="AX18" i="225"/>
  <c r="Z7" i="225"/>
  <c r="BR51" i="225"/>
  <c r="AP49" i="225"/>
  <c r="AN46" i="225"/>
  <c r="BQ42" i="225"/>
  <c r="AV39" i="225"/>
  <c r="X36" i="225"/>
  <c r="AT31" i="225"/>
  <c r="Y26" i="225"/>
  <c r="W20" i="225"/>
  <c r="Z10" i="225"/>
  <c r="AW5" i="225"/>
  <c r="AA8" i="225"/>
  <c r="BC10" i="225"/>
  <c r="AH7" i="225"/>
  <c r="BB10" i="225"/>
  <c r="AH13" i="225"/>
  <c r="BJ15" i="225"/>
  <c r="AN18" i="225"/>
  <c r="BN6" i="225"/>
  <c r="AJ11" i="225"/>
  <c r="BE14" i="225"/>
  <c r="AA18" i="225"/>
  <c r="BR20" i="225"/>
  <c r="AV23" i="225"/>
  <c r="Z26" i="225"/>
  <c r="AT28" i="225"/>
  <c r="BH29" i="225"/>
  <c r="X31" i="225"/>
  <c r="AL32" i="225"/>
  <c r="AZ33" i="225"/>
  <c r="BN34" i="225"/>
  <c r="AD36" i="225"/>
  <c r="AX6" i="225"/>
  <c r="BB9" i="225"/>
  <c r="AE12" i="225"/>
  <c r="AS14" i="225"/>
  <c r="BG16" i="225"/>
  <c r="AC6" i="225"/>
  <c r="AH10" i="225"/>
  <c r="AO13" i="225"/>
  <c r="AQ16" i="225"/>
  <c r="X19" i="225"/>
  <c r="BK20" i="225"/>
  <c r="AV22" i="225"/>
  <c r="AG24" i="225"/>
  <c r="BQ25" i="225"/>
  <c r="BB27" i="225"/>
  <c r="AM29" i="225"/>
  <c r="BP8" i="225"/>
  <c r="AR13" i="225"/>
  <c r="AU17" i="225"/>
  <c r="AI20" i="225"/>
  <c r="AW22" i="225"/>
  <c r="BK24" i="225"/>
  <c r="Z27" i="225"/>
  <c r="AO29" i="225"/>
  <c r="AA31" i="225"/>
  <c r="BK32" i="225"/>
  <c r="AV34" i="225"/>
  <c r="AG36" i="225"/>
  <c r="AW37" i="225"/>
  <c r="BK38" i="225"/>
  <c r="AW30" i="225"/>
  <c r="AE41" i="225"/>
  <c r="BL49" i="225"/>
  <c r="BE24" i="225"/>
  <c r="BD37" i="225"/>
  <c r="BM46" i="225"/>
  <c r="BG23" i="225"/>
  <c r="BO45" i="225"/>
  <c r="AW13" i="225"/>
  <c r="AR37" i="225"/>
  <c r="AB49" i="225"/>
  <c r="W5" i="225"/>
  <c r="BM38" i="225"/>
  <c r="BA53" i="225"/>
  <c r="BL28" i="225"/>
  <c r="BC37" i="225"/>
  <c r="AT44" i="225"/>
  <c r="AX50" i="225"/>
  <c r="BL53" i="225"/>
  <c r="BF36" i="225"/>
  <c r="AG49" i="225"/>
  <c r="AW8" i="225"/>
  <c r="BC49" i="225"/>
  <c r="AJ43" i="225"/>
  <c r="AS36" i="225"/>
  <c r="BE26" i="225"/>
  <c r="AN11" i="225"/>
  <c r="AF50" i="225"/>
  <c r="BT43" i="225"/>
  <c r="AE37" i="225"/>
  <c r="BS27" i="225"/>
  <c r="BC13" i="225"/>
  <c r="AK7" i="225"/>
  <c r="AD6" i="225"/>
  <c r="AR12" i="225"/>
  <c r="AX17" i="225"/>
  <c r="X10" i="225"/>
  <c r="X17" i="225"/>
  <c r="BF22" i="225"/>
  <c r="BL27" i="225"/>
  <c r="AM51" i="225"/>
  <c r="AV45" i="225"/>
  <c r="BS39" i="225"/>
  <c r="AX36" i="225"/>
  <c r="AA32" i="225"/>
  <c r="BM26" i="225"/>
  <c r="BI20" i="225"/>
  <c r="BG11" i="225"/>
  <c r="BL52" i="225"/>
  <c r="AJ50" i="225"/>
  <c r="AV47" i="225"/>
  <c r="AB44" i="225"/>
  <c r="BE40" i="225"/>
  <c r="AJ37" i="225"/>
  <c r="Y33" i="225"/>
  <c r="AC28" i="225"/>
  <c r="Y22" i="225"/>
  <c r="BT13" i="225"/>
  <c r="BC4" i="225"/>
  <c r="AG7" i="225"/>
  <c r="BI9" i="225"/>
  <c r="Y6" i="225"/>
  <c r="AT9" i="225"/>
  <c r="AN12" i="225"/>
  <c r="BP14" i="225"/>
  <c r="AT17" i="225"/>
  <c r="AM5" i="225"/>
  <c r="BN9" i="225"/>
  <c r="AV13" i="225"/>
  <c r="BQ16" i="225"/>
  <c r="Z20" i="225"/>
  <c r="BB22" i="225"/>
  <c r="AF25" i="225"/>
  <c r="BH27" i="225"/>
  <c r="BE52" i="225"/>
  <c r="AM47" i="225"/>
  <c r="AV40" i="225"/>
  <c r="BI32" i="225"/>
  <c r="BG21" i="225"/>
  <c r="AH53" i="225"/>
  <c r="Y48" i="225"/>
  <c r="AH41" i="225"/>
  <c r="BG33" i="225"/>
  <c r="W23" i="225"/>
  <c r="AI4" i="225"/>
  <c r="BG8" i="225"/>
  <c r="AV5" i="225"/>
  <c r="BJ9" i="225"/>
  <c r="BN13" i="225"/>
  <c r="Z17" i="225"/>
  <c r="BH5" i="225"/>
  <c r="AC12" i="225"/>
  <c r="AP16" i="225"/>
  <c r="AL20" i="225"/>
  <c r="AD24" i="225"/>
  <c r="AN27" i="225"/>
  <c r="AR29" i="225"/>
  <c r="AN31" i="225"/>
  <c r="BR32" i="225"/>
  <c r="AX34" i="225"/>
  <c r="AK4" i="225"/>
  <c r="AB8" i="225"/>
  <c r="BA11" i="225"/>
  <c r="X15" i="225"/>
  <c r="AD4" i="225"/>
  <c r="AF9" i="225"/>
  <c r="AC14" i="225"/>
  <c r="BP17" i="225"/>
  <c r="AO20" i="225"/>
  <c r="BQ22" i="225"/>
  <c r="Z25" i="225"/>
  <c r="AG27" i="225"/>
  <c r="BL4" i="225"/>
  <c r="AQ11" i="225"/>
  <c r="AT16" i="225"/>
  <c r="BL20" i="225"/>
  <c r="BC23" i="225"/>
  <c r="AV26" i="225"/>
  <c r="BK29" i="225"/>
  <c r="BR31" i="225"/>
  <c r="AA34" i="225"/>
  <c r="AY36" i="225"/>
  <c r="AE38" i="225"/>
  <c r="BI39" i="225"/>
  <c r="Y41" i="225"/>
  <c r="AM42" i="225"/>
  <c r="BA43" i="225"/>
  <c r="BO44" i="225"/>
  <c r="AE46" i="225"/>
  <c r="AS47" i="225"/>
  <c r="AR11" i="225"/>
  <c r="BI52" i="225"/>
  <c r="AG50" i="225"/>
  <c r="AR47" i="225"/>
  <c r="X44" i="225"/>
  <c r="BA40" i="225"/>
  <c r="AF37" i="225"/>
  <c r="BQ32" i="225"/>
  <c r="W28" i="225"/>
  <c r="BQ21" i="225"/>
  <c r="BE13" i="225"/>
  <c r="AL53" i="225"/>
  <c r="BH50" i="225"/>
  <c r="AD48" i="225"/>
  <c r="BH44" i="225"/>
  <c r="AM41" i="225"/>
  <c r="BP37" i="225"/>
  <c r="BO33" i="225"/>
  <c r="AK29" i="225"/>
  <c r="AG23" i="225"/>
  <c r="BT15" i="225"/>
  <c r="AE4" i="225"/>
  <c r="BG6" i="225"/>
  <c r="AK9" i="225"/>
  <c r="AQ5" i="225"/>
  <c r="BL8" i="225"/>
  <c r="BN11" i="225"/>
  <c r="AR14" i="225"/>
  <c r="BT16" i="225"/>
  <c r="AT4" i="225"/>
  <c r="W9" i="225"/>
  <c r="BN12" i="225"/>
  <c r="AK16" i="225"/>
  <c r="AZ19" i="225"/>
  <c r="AD22" i="225"/>
  <c r="BF24" i="225"/>
  <c r="AJ27" i="225"/>
  <c r="X29" i="225"/>
  <c r="AL30" i="225"/>
  <c r="AZ31" i="225"/>
  <c r="BN32" i="225"/>
  <c r="AD34" i="225"/>
  <c r="AR35" i="225"/>
  <c r="BM4" i="225"/>
  <c r="BP7" i="225"/>
  <c r="BO10" i="225"/>
  <c r="AE13" i="225"/>
  <c r="AS15" i="225"/>
  <c r="BG17" i="225"/>
  <c r="BR7" i="225"/>
  <c r="BD11" i="225"/>
  <c r="BF14" i="225"/>
  <c r="BH17" i="225"/>
  <c r="BM19" i="225"/>
  <c r="AX21" i="225"/>
  <c r="AI23" i="225"/>
  <c r="BS24" i="225"/>
  <c r="BD26" i="225"/>
  <c r="AO28" i="225"/>
  <c r="BN5" i="225"/>
  <c r="AC11" i="225"/>
  <c r="AF15" i="225"/>
  <c r="BN18" i="225"/>
  <c r="AI21" i="225"/>
  <c r="AW23" i="225"/>
  <c r="BJ25" i="225"/>
  <c r="AA28" i="225"/>
  <c r="AC30" i="225"/>
  <c r="BM31" i="225"/>
  <c r="AX33" i="225"/>
  <c r="AI35" i="225"/>
  <c r="BK36" i="225"/>
  <c r="AA38" i="225"/>
  <c r="AO39" i="225"/>
  <c r="BC40" i="225"/>
  <c r="BQ41" i="225"/>
  <c r="AG43" i="225"/>
  <c r="AU44" i="225"/>
  <c r="BI45" i="225"/>
  <c r="Y47" i="225"/>
  <c r="AU12" i="225"/>
  <c r="AS50" i="225"/>
  <c r="AN44" i="225"/>
  <c r="AV37" i="225"/>
  <c r="AY28" i="225"/>
  <c r="BI14" i="225"/>
  <c r="BT50" i="225"/>
  <c r="Z45" i="225"/>
  <c r="AC16" i="225"/>
  <c r="BK34" i="225"/>
  <c r="AO44" i="225"/>
  <c r="Z4" i="225"/>
  <c r="AE30" i="225"/>
  <c r="BN40" i="225"/>
  <c r="AS49" i="225"/>
  <c r="BF33" i="225"/>
  <c r="W50" i="225"/>
  <c r="BA24" i="225"/>
  <c r="AC42" i="225"/>
  <c r="AN51" i="225"/>
  <c r="Z21" i="225"/>
  <c r="AB46" i="225"/>
  <c r="BK18" i="225"/>
  <c r="BK31" i="225"/>
  <c r="BJ39" i="225"/>
  <c r="BA46" i="225"/>
  <c r="Z52" i="225"/>
  <c r="BM21" i="225"/>
  <c r="AX40" i="225"/>
  <c r="AE52" i="225"/>
  <c r="AE53" i="225"/>
  <c r="BS47" i="225"/>
  <c r="AD41" i="225"/>
  <c r="BB33" i="225"/>
  <c r="BO22" i="225"/>
  <c r="BF53" i="225"/>
  <c r="AZ48" i="225"/>
  <c r="BN41" i="225"/>
  <c r="AZ34" i="225"/>
  <c r="AE24" i="225"/>
  <c r="AY5" i="225"/>
  <c r="BO8" i="225"/>
  <c r="AK8" i="225"/>
  <c r="X14" i="225"/>
  <c r="AD19" i="225"/>
  <c r="AM12" i="225"/>
  <c r="AE19" i="225"/>
  <c r="AL24" i="225"/>
  <c r="BT8" i="225"/>
  <c r="BG49" i="225"/>
  <c r="AP43" i="225"/>
  <c r="BE38" i="225"/>
  <c r="BP34" i="225"/>
  <c r="AO30" i="225"/>
  <c r="AZ24" i="225"/>
  <c r="AI18" i="225"/>
  <c r="BB6" i="225"/>
  <c r="BN51" i="225"/>
  <c r="AL49" i="225"/>
  <c r="AH46" i="225"/>
  <c r="BL42" i="225"/>
  <c r="AQ39" i="225"/>
  <c r="BN35" i="225"/>
  <c r="AM31" i="225"/>
  <c r="BN25" i="225"/>
  <c r="BJ19" i="225"/>
  <c r="BC9" i="225"/>
  <c r="BA5" i="225"/>
  <c r="AE8" i="225"/>
  <c r="BG10" i="225"/>
  <c r="AM7" i="225"/>
  <c r="BH10" i="225"/>
  <c r="AL13" i="225"/>
  <c r="BN15" i="225"/>
  <c r="AR18" i="225"/>
  <c r="X7" i="225"/>
  <c r="AO11" i="225"/>
  <c r="BJ14" i="225"/>
  <c r="AG18" i="225"/>
  <c r="X21" i="225"/>
  <c r="AZ23" i="225"/>
  <c r="AD26" i="225"/>
  <c r="BK13" i="225"/>
  <c r="BI50" i="225"/>
  <c r="BI44" i="225"/>
  <c r="BR37" i="225"/>
  <c r="AL29" i="225"/>
  <c r="AA16" i="225"/>
  <c r="AL51" i="225"/>
  <c r="AU45" i="225"/>
  <c r="BD38" i="225"/>
  <c r="AM30" i="225"/>
  <c r="AH18" i="225"/>
  <c r="AE6" i="225"/>
  <c r="AO9" i="225"/>
  <c r="AO6" i="225"/>
  <c r="AL11" i="225"/>
  <c r="AV14" i="225"/>
  <c r="BF17" i="225"/>
  <c r="X8" i="225"/>
  <c r="BS12" i="225"/>
  <c r="AI17" i="225"/>
  <c r="AZ21" i="225"/>
  <c r="BJ24" i="225"/>
  <c r="BT27" i="225"/>
  <c r="Z30" i="225"/>
  <c r="BD31" i="225"/>
  <c r="AJ33" i="225"/>
  <c r="AF35" i="225"/>
  <c r="Z5" i="225"/>
  <c r="BM8" i="225"/>
  <c r="BG12" i="225"/>
  <c r="AZ15" i="225"/>
  <c r="AD5" i="225"/>
  <c r="AB11" i="225"/>
  <c r="BQ14" i="225"/>
  <c r="AT18" i="225"/>
  <c r="AH21" i="225"/>
  <c r="AO23" i="225"/>
  <c r="AU25" i="225"/>
  <c r="Y28" i="225"/>
  <c r="AH6" i="225"/>
  <c r="AP12" i="225"/>
  <c r="AK18" i="225"/>
  <c r="AP21" i="225"/>
  <c r="AI24" i="225"/>
  <c r="BC27" i="225"/>
  <c r="AI30" i="225"/>
  <c r="AO32" i="225"/>
  <c r="BQ34" i="225"/>
  <c r="BO36" i="225"/>
  <c r="AU38" i="225"/>
  <c r="AA40" i="225"/>
  <c r="AO41" i="225"/>
  <c r="BC42" i="225"/>
  <c r="BQ43" i="225"/>
  <c r="AG45" i="225"/>
  <c r="AU46" i="225"/>
  <c r="BI47" i="225"/>
  <c r="Y8" i="225"/>
  <c r="AC52" i="225"/>
  <c r="AY49" i="225"/>
  <c r="AZ46" i="225"/>
  <c r="AE43" i="225"/>
  <c r="BH39" i="225"/>
  <c r="AN36" i="225"/>
  <c r="BJ31" i="225"/>
  <c r="AU26" i="225"/>
  <c r="AR20" i="225"/>
  <c r="W11" i="225"/>
  <c r="BD52" i="225"/>
  <c r="AB50" i="225"/>
  <c r="AL47" i="225"/>
  <c r="BO43" i="225"/>
  <c r="AT40" i="225"/>
  <c r="Z37" i="225"/>
  <c r="BH32" i="225"/>
  <c r="BI27" i="225"/>
  <c r="BF21" i="225"/>
  <c r="AJ13" i="225"/>
  <c r="BK4" i="225"/>
  <c r="AO7" i="225"/>
  <c r="BQ9" i="225"/>
  <c r="AJ6" i="225"/>
  <c r="BD9" i="225"/>
  <c r="AV12" i="225"/>
  <c r="Z15" i="225"/>
  <c r="BB17" i="225"/>
  <c r="AZ5" i="225"/>
  <c r="AD10" i="225"/>
  <c r="BG13" i="225"/>
  <c r="AC17" i="225"/>
  <c r="AH20" i="225"/>
  <c r="BJ22" i="225"/>
  <c r="AN25" i="225"/>
  <c r="BP27" i="225"/>
  <c r="AN29" i="225"/>
  <c r="BB30" i="225"/>
  <c r="BP31" i="225"/>
  <c r="AF33" i="225"/>
  <c r="AT34" i="225"/>
  <c r="BH35" i="225"/>
  <c r="BC5" i="225"/>
  <c r="BD8" i="225"/>
  <c r="AS11" i="225"/>
  <c r="BH13" i="225"/>
  <c r="W16" i="225"/>
  <c r="BQ4" i="225"/>
  <c r="BR8" i="225"/>
  <c r="AQ12" i="225"/>
  <c r="AU15" i="225"/>
  <c r="AM18" i="225"/>
  <c r="AJ20" i="225"/>
  <c r="BS21" i="225"/>
  <c r="BE23" i="225"/>
  <c r="AP25" i="225"/>
  <c r="AA27" i="225"/>
  <c r="BK28" i="225"/>
  <c r="AI7" i="225"/>
  <c r="AD12" i="225"/>
  <c r="AG16" i="225"/>
  <c r="AX19" i="225"/>
  <c r="BK21" i="225"/>
  <c r="AA24" i="225"/>
  <c r="AO26" i="225"/>
  <c r="BC28" i="225"/>
  <c r="AY30" i="225"/>
  <c r="AJ32" i="225"/>
  <c r="BS33" i="225"/>
  <c r="BE35" i="225"/>
  <c r="AC37" i="225"/>
  <c r="AQ38" i="225"/>
  <c r="BE39" i="225"/>
  <c r="BS40" i="225"/>
  <c r="AI42" i="225"/>
  <c r="AW43" i="225"/>
  <c r="BK44" i="225"/>
  <c r="AA46" i="225"/>
  <c r="AO47" i="225"/>
  <c r="BJ5" i="225"/>
  <c r="AE49" i="225"/>
  <c r="BB42" i="225"/>
  <c r="BB35" i="225"/>
  <c r="AX25" i="225"/>
  <c r="BJ8" i="225"/>
  <c r="BF49" i="225"/>
  <c r="AN43" i="225"/>
  <c r="AW36" i="225"/>
  <c r="BL26" i="225"/>
  <c r="AY11" i="225"/>
  <c r="BI7" i="225"/>
  <c r="BJ6" i="225"/>
  <c r="BP12" i="225"/>
  <c r="X18" i="225"/>
  <c r="BM10" i="225"/>
  <c r="BD17" i="225"/>
  <c r="AF23" i="225"/>
  <c r="AH28" i="225"/>
  <c r="BN30" i="225"/>
  <c r="AR33" i="225"/>
  <c r="BT35" i="225"/>
  <c r="AH9" i="225"/>
  <c r="AE14" i="225"/>
  <c r="BD5" i="225"/>
  <c r="W13" i="225"/>
  <c r="BI18" i="225"/>
  <c r="AK22" i="225"/>
  <c r="BF25" i="225"/>
  <c r="AC29" i="225"/>
  <c r="BQ12" i="225"/>
  <c r="BS19" i="225"/>
  <c r="AV24" i="225"/>
  <c r="Z29" i="225"/>
  <c r="AZ32" i="225"/>
  <c r="W36" i="225"/>
  <c r="BC38" i="225"/>
  <c r="AG41" i="225"/>
  <c r="BI43" i="225"/>
  <c r="AM46" i="225"/>
  <c r="AC15" i="225"/>
  <c r="AF45" i="225"/>
  <c r="AG32" i="225"/>
  <c r="BP52" i="225"/>
  <c r="BJ40" i="225"/>
  <c r="AJ22" i="225"/>
  <c r="BE9" i="225"/>
  <c r="BL14" i="225"/>
  <c r="AQ13" i="225"/>
  <c r="AB25" i="225"/>
  <c r="BL31" i="225"/>
  <c r="AR5" i="225"/>
  <c r="BO15" i="225"/>
  <c r="AJ15" i="225"/>
  <c r="AY23" i="225"/>
  <c r="BM6" i="225"/>
  <c r="BE21" i="225"/>
  <c r="AS30" i="225"/>
  <c r="Y37" i="225"/>
  <c r="AE42" i="225"/>
  <c r="BQ47" i="225"/>
  <c r="AW50" i="225"/>
  <c r="BH42" i="225"/>
  <c r="BH28" i="225"/>
  <c r="Z51" i="225"/>
  <c r="AN38" i="225"/>
  <c r="AM17" i="225"/>
  <c r="AE51" i="225"/>
  <c r="AL45" i="225"/>
  <c r="AT38" i="225"/>
  <c r="AA30" i="225"/>
  <c r="BK17" i="225"/>
  <c r="BF51" i="225"/>
  <c r="X46" i="225"/>
  <c r="AF39" i="225"/>
  <c r="Y31" i="225"/>
  <c r="AS19" i="225"/>
  <c r="BI5" i="225"/>
  <c r="AC4" i="225"/>
  <c r="BP10" i="225"/>
  <c r="X16" i="225"/>
  <c r="AL7" i="225"/>
  <c r="W15" i="225"/>
  <c r="AF21" i="225"/>
  <c r="AL26" i="225"/>
  <c r="BL29" i="225"/>
  <c r="AP32" i="225"/>
  <c r="BR34" i="225"/>
  <c r="BI6" i="225"/>
  <c r="AL12" i="225"/>
  <c r="BN16" i="225"/>
  <c r="AT10" i="225"/>
  <c r="BB16" i="225"/>
  <c r="BP20" i="225"/>
  <c r="AM24" i="225"/>
  <c r="BG27" i="225"/>
  <c r="AJ9" i="225"/>
  <c r="BE17" i="225"/>
  <c r="BD22" i="225"/>
  <c r="AH27" i="225"/>
  <c r="AG31" i="225"/>
  <c r="BA34" i="225"/>
  <c r="BA37" i="225"/>
  <c r="AE40" i="225"/>
  <c r="BG42" i="225"/>
  <c r="AK45" i="225"/>
  <c r="BM47" i="225"/>
  <c r="BP46" i="225"/>
  <c r="BR29" i="225"/>
  <c r="BB51" i="225"/>
  <c r="AA39" i="225"/>
  <c r="AG19" i="225"/>
  <c r="AH4" i="225"/>
  <c r="AB16" i="225"/>
  <c r="AB15" i="225"/>
  <c r="AP26" i="225"/>
  <c r="AT32" i="225"/>
  <c r="BR6" i="225"/>
  <c r="W17" i="225"/>
  <c r="BJ16" i="225"/>
  <c r="AR24" i="225"/>
  <c r="AX9" i="225"/>
  <c r="BK22" i="225"/>
  <c r="AL31" i="225"/>
  <c r="BE37" i="225"/>
  <c r="BK42" i="225"/>
  <c r="AK47" i="225"/>
  <c r="BI35" i="225"/>
  <c r="AM9" i="225"/>
  <c r="AT43" i="225"/>
  <c r="BQ37" i="225"/>
  <c r="BH24" i="225"/>
  <c r="BF32" i="225"/>
  <c r="AQ6" i="225"/>
  <c r="AG39" i="225"/>
  <c r="AW25" i="225"/>
  <c r="AS26" i="225"/>
  <c r="AQ7" i="225"/>
  <c r="BT33" i="225"/>
  <c r="AJ19" i="225"/>
  <c r="AP8" i="225"/>
  <c r="BE43" i="225"/>
  <c r="AU32" i="225"/>
  <c r="BE12" i="225"/>
  <c r="BA18" i="225"/>
  <c r="Z9" i="225"/>
  <c r="AD28" i="225"/>
  <c r="BR17" i="225"/>
  <c r="BS11" i="225"/>
  <c r="BJ27" i="225"/>
  <c r="AK11" i="225"/>
  <c r="BL21" i="225"/>
  <c r="AW47" i="225"/>
  <c r="AK37" i="225"/>
  <c r="AB22" i="225"/>
  <c r="BO23" i="225"/>
  <c r="AL16" i="225"/>
  <c r="Z32" i="225"/>
  <c r="AD14" i="225"/>
  <c r="AI10" i="225"/>
  <c r="AF32" i="225"/>
  <c r="BJ49" i="225"/>
  <c r="AH31" i="225"/>
  <c r="W46" i="225"/>
  <c r="AI40" i="225"/>
  <c r="W33" i="225"/>
  <c r="AW20" i="225"/>
  <c r="BM27" i="225"/>
  <c r="AL19" i="225"/>
  <c r="BG14" i="225"/>
  <c r="X35" i="225"/>
  <c r="BB28" i="225"/>
  <c r="BE11" i="225"/>
  <c r="BT10" i="225"/>
  <c r="AN8" i="225"/>
  <c r="AV42" i="225"/>
  <c r="AQ17" i="225"/>
  <c r="AU43" i="225"/>
  <c r="AG47" i="225"/>
  <c r="W44" i="225"/>
  <c r="BK40" i="225"/>
  <c r="BS36" i="225"/>
  <c r="BP32" i="225"/>
  <c r="AN28" i="225"/>
  <c r="AW21" i="225"/>
  <c r="BD13" i="225"/>
  <c r="AZ28" i="225"/>
  <c r="AT23" i="225"/>
  <c r="AF19" i="225"/>
  <c r="Z12" i="225"/>
  <c r="BG15" i="225"/>
  <c r="BK9" i="225"/>
  <c r="AZ35" i="225"/>
  <c r="BH31" i="225"/>
  <c r="AX28" i="225"/>
  <c r="AT22" i="225"/>
  <c r="AK13" i="225"/>
  <c r="AZ18" i="225"/>
  <c r="AF12" i="225"/>
  <c r="BA9" i="225"/>
  <c r="BI8" i="225"/>
  <c r="AW28" i="225"/>
  <c r="BP40" i="225"/>
  <c r="AD49" i="225"/>
  <c r="AO12" i="225"/>
  <c r="AN32" i="225"/>
  <c r="BO41" i="225"/>
  <c r="BO49" i="225"/>
  <c r="BS23" i="225"/>
  <c r="AE45" i="225"/>
  <c r="BE22" i="225"/>
  <c r="AS44" i="225"/>
  <c r="AA53" i="225"/>
  <c r="AS43" i="225"/>
  <c r="AY35" i="225"/>
  <c r="AG26" i="225"/>
  <c r="BQ11" i="225"/>
  <c r="BN21" i="225"/>
  <c r="BE8" i="225"/>
  <c r="AT8" i="225"/>
  <c r="AX30" i="225"/>
  <c r="BT19" i="225"/>
  <c r="AP17" i="225"/>
  <c r="AC7" i="225"/>
  <c r="AE33" i="225"/>
  <c r="AN50" i="225"/>
  <c r="BD36" i="225"/>
  <c r="AA51" i="225"/>
  <c r="BS46" i="225"/>
  <c r="AC43" i="225"/>
  <c r="BQ39" i="225"/>
  <c r="BG36" i="225"/>
  <c r="BG31" i="225"/>
  <c r="BK26" i="225"/>
  <c r="AA21" i="225"/>
  <c r="BN10" i="225"/>
  <c r="AQ27" i="225"/>
  <c r="AD23" i="225"/>
  <c r="AW17" i="225"/>
  <c r="BF9" i="225"/>
  <c r="AK15" i="225"/>
  <c r="BF7" i="225"/>
  <c r="BF34" i="225"/>
  <c r="AV31" i="225"/>
  <c r="X27" i="225"/>
  <c r="BB20" i="225"/>
  <c r="AX12" i="225"/>
  <c r="BH16" i="225"/>
  <c r="AG10" i="225"/>
  <c r="Y9" i="225"/>
  <c r="Y17" i="225"/>
  <c r="X32" i="225"/>
  <c r="BC41" i="225"/>
  <c r="AX53" i="225"/>
  <c r="AO33" i="225"/>
  <c r="BH47" i="225"/>
  <c r="BE47" i="225"/>
  <c r="AC45" i="225"/>
  <c r="AY42" i="225"/>
  <c r="W40" i="225"/>
  <c r="AS37" i="225"/>
  <c r="AQ34" i="225"/>
  <c r="BT30" i="225"/>
  <c r="BQ26" i="225"/>
  <c r="AO22" i="225"/>
  <c r="AG17" i="225"/>
  <c r="AX8" i="225"/>
  <c r="AW27" i="225"/>
  <c r="AB24" i="225"/>
  <c r="BE20" i="225"/>
  <c r="AH16" i="225"/>
  <c r="BR9" i="225"/>
  <c r="AY16" i="225"/>
  <c r="Y12" i="225"/>
  <c r="AP6" i="225"/>
  <c r="BJ34" i="225"/>
  <c r="AH32" i="225"/>
  <c r="BD29" i="225"/>
  <c r="BT25" i="225"/>
  <c r="BN20" i="225"/>
  <c r="AY14" i="225"/>
  <c r="BH6" i="225"/>
  <c r="BF15" i="225"/>
  <c r="AW10" i="225"/>
  <c r="AY10" i="225"/>
  <c r="AS5" i="225"/>
  <c r="AF20" i="225"/>
  <c r="BA31" i="225"/>
  <c r="BB39" i="225"/>
  <c r="AS46" i="225"/>
  <c r="X52" i="225"/>
  <c r="BJ18" i="225"/>
  <c r="BC30" i="225"/>
  <c r="BP38" i="225"/>
  <c r="BG45" i="225"/>
  <c r="AU51" i="225"/>
  <c r="AA48" i="225"/>
  <c r="AW45" i="225"/>
  <c r="BS42" i="225"/>
  <c r="AQ40" i="225"/>
  <c r="AG37" i="225"/>
  <c r="AH33" i="225"/>
  <c r="AG28" i="225"/>
  <c r="BR21" i="225"/>
  <c r="AQ14" i="225"/>
  <c r="AU28" i="225"/>
  <c r="BJ23" i="225"/>
  <c r="AW19" i="225"/>
  <c r="BM11" i="225"/>
  <c r="AD16" i="225"/>
  <c r="AO10" i="225"/>
  <c r="AV35" i="225"/>
  <c r="BT31" i="225"/>
  <c r="BJ28" i="225"/>
  <c r="AH22" i="225"/>
  <c r="BL13" i="225"/>
  <c r="BT18" i="225"/>
  <c r="BR11" i="225"/>
  <c r="W10" i="225"/>
  <c r="BA15" i="225"/>
  <c r="BK37" i="225"/>
  <c r="BD50" i="225"/>
  <c r="BK27" i="225"/>
  <c r="BP43" i="225"/>
  <c r="AA11" i="225"/>
  <c r="BP23" i="225"/>
  <c r="BB18" i="225"/>
  <c r="BK11" i="225"/>
  <c r="BH18" i="225"/>
  <c r="BB13" i="225"/>
  <c r="BH7" i="225"/>
  <c r="AU8" i="225"/>
  <c r="BK7" i="225"/>
  <c r="AC25" i="225"/>
  <c r="AL35" i="225"/>
  <c r="AP42" i="225"/>
  <c r="BT48" i="225"/>
  <c r="BJ4" i="225"/>
  <c r="BM23" i="225"/>
  <c r="AN34" i="225"/>
  <c r="AB42" i="225"/>
  <c r="BO53" i="225"/>
  <c r="AD20" i="225"/>
  <c r="AT5" i="225"/>
  <c r="AY9" i="225"/>
  <c r="BG4" i="225"/>
  <c r="BO32" i="225"/>
  <c r="AQ47" i="225"/>
  <c r="BA20" i="225"/>
  <c r="BN39" i="225"/>
  <c r="AG52" i="225"/>
  <c r="BE42" i="225"/>
  <c r="AX52" i="225"/>
  <c r="Z41" i="225"/>
  <c r="W22" i="225"/>
  <c r="AD27" i="225"/>
  <c r="AJ44" i="225"/>
  <c r="BA51" i="225"/>
  <c r="AY50" i="225"/>
  <c r="AC32" i="225"/>
  <c r="BC45" i="225"/>
  <c r="AQ21" i="225"/>
  <c r="BR39" i="225"/>
  <c r="AJ52" i="225"/>
  <c r="Z31" i="225"/>
  <c r="Y46" i="225"/>
  <c r="W48" i="225"/>
  <c r="AS45" i="225"/>
  <c r="BO42" i="225"/>
  <c r="AM40" i="225"/>
  <c r="BI37" i="225"/>
  <c r="BL34" i="225"/>
  <c r="AQ31" i="225"/>
  <c r="AU27" i="225"/>
  <c r="BS22" i="225"/>
  <c r="AC18" i="225"/>
  <c r="BP9" i="225"/>
  <c r="BR27" i="225"/>
  <c r="AW24" i="225"/>
  <c r="AC21" i="225"/>
  <c r="BS16" i="225"/>
  <c r="BQ10" i="225"/>
  <c r="AE17" i="225"/>
  <c r="BA12" i="225"/>
  <c r="AD7" i="225"/>
  <c r="AB35" i="225"/>
  <c r="AX32" i="225"/>
  <c r="BT29" i="225"/>
  <c r="BB26" i="225"/>
  <c r="AV21" i="225"/>
  <c r="AR15" i="225"/>
  <c r="BO7" i="225"/>
  <c r="AN16" i="225"/>
  <c r="AH11" i="225"/>
  <c r="AX4" i="225"/>
  <c r="AA6" i="225"/>
  <c r="AS18" i="225"/>
  <c r="AU30" i="225"/>
  <c r="BI38" i="225"/>
  <c r="AZ45" i="225"/>
  <c r="AP51" i="225"/>
  <c r="AO16" i="225"/>
  <c r="AW29" i="225"/>
  <c r="Y38" i="225"/>
  <c r="BN44" i="225"/>
  <c r="BM50" i="225"/>
  <c r="AA14" i="225"/>
  <c r="BM45" i="225"/>
  <c r="AK43" i="225"/>
  <c r="BG40" i="225"/>
  <c r="BM37" i="225"/>
  <c r="BC33" i="225"/>
  <c r="BI28" i="225"/>
  <c r="AA23" i="225"/>
  <c r="AQ15" i="225"/>
  <c r="BP28" i="225"/>
  <c r="BC24" i="225"/>
  <c r="BR19" i="225"/>
  <c r="BB12" i="225"/>
  <c r="AK17" i="225"/>
  <c r="X11" i="225"/>
  <c r="BL35" i="225"/>
  <c r="BB32" i="225"/>
  <c r="AB29" i="225"/>
  <c r="BN22" i="225"/>
  <c r="AW15" i="225"/>
  <c r="BA4" i="225"/>
  <c r="AZ12" i="225"/>
  <c r="BD4" i="225"/>
  <c r="AV6" i="225"/>
  <c r="BO34" i="225"/>
  <c r="BH48" i="225"/>
  <c r="AK23" i="225"/>
  <c r="AN41" i="225"/>
  <c r="AM53" i="225"/>
  <c r="BN24" i="225"/>
  <c r="BH19" i="225"/>
  <c r="AA13" i="225"/>
  <c r="BH4" i="225"/>
  <c r="AZ14" i="225"/>
  <c r="X9" i="225"/>
  <c r="AS9" i="225"/>
  <c r="AM4" i="225"/>
  <c r="BM22" i="225"/>
  <c r="BA33" i="225"/>
  <c r="AB41" i="225"/>
  <c r="BR47" i="225"/>
  <c r="AD53" i="225"/>
  <c r="AY21" i="225"/>
  <c r="BC32" i="225"/>
  <c r="AP40" i="225"/>
  <c r="AK52" i="225"/>
  <c r="BH21" i="225"/>
  <c r="AL8" i="225"/>
  <c r="AT11" i="225"/>
  <c r="AM6" i="225"/>
  <c r="Y30" i="225"/>
  <c r="AJ45" i="225"/>
  <c r="AO15" i="225"/>
  <c r="BG37" i="225"/>
  <c r="BA50" i="225"/>
  <c r="BR46" i="225"/>
  <c r="AN53" i="225"/>
  <c r="AF43" i="225"/>
  <c r="AW26" i="225"/>
  <c r="AC35" i="225"/>
  <c r="BD47" i="225"/>
  <c r="AW53" i="225"/>
  <c r="AC19" i="225"/>
  <c r="AC36" i="225"/>
  <c r="BF48" i="225"/>
  <c r="BA28" i="225"/>
  <c r="BB31" i="225"/>
  <c r="AO17" i="225"/>
  <c r="BR26" i="225"/>
  <c r="BO46" i="225"/>
  <c r="BC36" i="225"/>
  <c r="BS20" i="225"/>
  <c r="Y23" i="225"/>
  <c r="AE15" i="225"/>
  <c r="AR31" i="225"/>
  <c r="AS12" i="225"/>
  <c r="BS8" i="225"/>
  <c r="AC41" i="225"/>
  <c r="BQ28" i="225"/>
  <c r="W29" i="225"/>
  <c r="BK12" i="225"/>
  <c r="BP35" i="225"/>
  <c r="AB23" i="225"/>
  <c r="BL12" i="225"/>
  <c r="BA45" i="225"/>
  <c r="BA10" i="225"/>
  <c r="BO12" i="225"/>
  <c r="AS8" i="225"/>
  <c r="BS44" i="225"/>
  <c r="AF34" i="225"/>
  <c r="BE16" i="225"/>
  <c r="AU20" i="225"/>
  <c r="BH11" i="225"/>
  <c r="AV29" i="225"/>
  <c r="AF6" i="225"/>
  <c r="AC5" i="225"/>
  <c r="BB36" i="225"/>
  <c r="AN52" i="225"/>
  <c r="AM39" i="225"/>
  <c r="AO45" i="225"/>
  <c r="BS38" i="225"/>
  <c r="BA29" i="225"/>
  <c r="BQ17" i="225"/>
  <c r="AC26" i="225"/>
  <c r="BI13" i="225"/>
  <c r="AT12" i="225"/>
  <c r="BH33" i="225"/>
  <c r="BL23" i="225"/>
  <c r="AT7" i="225"/>
  <c r="BC7" i="225"/>
  <c r="AL25" i="225"/>
  <c r="BP45" i="225"/>
  <c r="X24" i="225"/>
  <c r="BK49" i="225"/>
  <c r="AY46" i="225"/>
  <c r="AO43" i="225"/>
  <c r="AW39" i="225"/>
  <c r="AM36" i="225"/>
  <c r="Y32" i="225"/>
  <c r="AA26" i="225"/>
  <c r="AQ20" i="225"/>
  <c r="BC11" i="225"/>
  <c r="BO26" i="225"/>
  <c r="BA22" i="225"/>
  <c r="Y18" i="225"/>
  <c r="AR8" i="225"/>
  <c r="BA14" i="225"/>
  <c r="AJ8" i="225"/>
  <c r="AL34" i="225"/>
  <c r="AB31" i="225"/>
  <c r="AZ27" i="225"/>
  <c r="BP19" i="225"/>
  <c r="AZ11" i="225"/>
  <c r="AL17" i="225"/>
  <c r="AI9" i="225"/>
  <c r="AM8" i="225"/>
  <c r="BB14" i="225"/>
  <c r="AL33" i="225"/>
  <c r="BA42" i="225"/>
  <c r="AR50" i="225"/>
  <c r="AE21" i="225"/>
  <c r="BC34" i="225"/>
  <c r="AZ43" i="225"/>
  <c r="AS52" i="225"/>
  <c r="BO29" i="225"/>
  <c r="AV48" i="225"/>
  <c r="AU33" i="225"/>
  <c r="BN47" i="225"/>
  <c r="AK6" i="225"/>
  <c r="BO40" i="225"/>
  <c r="BN33" i="225"/>
  <c r="BR23" i="225"/>
  <c r="BE28" i="225"/>
  <c r="AE20" i="225"/>
  <c r="BB4" i="225"/>
  <c r="BD35" i="225"/>
  <c r="AJ29" i="225"/>
  <c r="BK16" i="225"/>
  <c r="AJ12" i="225"/>
  <c r="AY4" i="225"/>
  <c r="AP37" i="225"/>
  <c r="BT11" i="225"/>
  <c r="AO38" i="225"/>
  <c r="BC53" i="225"/>
  <c r="BE45" i="225"/>
  <c r="AU42" i="225"/>
  <c r="AK39" i="225"/>
  <c r="AD35" i="225"/>
  <c r="BO30" i="225"/>
  <c r="BC25" i="225"/>
  <c r="BE18" i="225"/>
  <c r="AH8" i="225"/>
  <c r="AY26" i="225"/>
  <c r="AS21" i="225"/>
  <c r="Y16" i="225"/>
  <c r="BD7" i="225"/>
  <c r="X13" i="225"/>
  <c r="AG6" i="225"/>
  <c r="Z34" i="225"/>
  <c r="AH30" i="225"/>
  <c r="BH25" i="225"/>
  <c r="AN19" i="225"/>
  <c r="AZ8" i="225"/>
  <c r="AT15" i="225"/>
  <c r="AV8" i="225"/>
  <c r="AU6" i="225"/>
  <c r="BH20" i="225"/>
  <c r="AM34" i="225"/>
  <c r="BI46" i="225"/>
  <c r="AT19" i="225"/>
  <c r="AH39" i="225"/>
  <c r="BG51" i="225"/>
  <c r="BG46" i="225"/>
  <c r="AE44" i="225"/>
  <c r="BA41" i="225"/>
  <c r="Y39" i="225"/>
  <c r="AU36" i="225"/>
  <c r="AC33" i="225"/>
  <c r="BF29" i="225"/>
  <c r="AH25" i="225"/>
  <c r="BD20" i="225"/>
  <c r="AG14" i="225"/>
  <c r="AW4" i="225"/>
  <c r="AI26" i="225"/>
  <c r="BL22" i="225"/>
  <c r="AQ19" i="225"/>
  <c r="BS13" i="225"/>
  <c r="BQ6" i="225"/>
  <c r="BN14" i="225"/>
  <c r="AF10" i="225"/>
  <c r="AB4" i="225"/>
  <c r="BL33" i="225"/>
  <c r="AJ31" i="225"/>
  <c r="BF28" i="225"/>
  <c r="Z24" i="225"/>
  <c r="BM18" i="225"/>
  <c r="W12" i="225"/>
  <c r="BP18" i="225"/>
  <c r="BJ13" i="225"/>
  <c r="BS7" i="225"/>
  <c r="BC8" i="225"/>
  <c r="BT6" i="225"/>
  <c r="BG24" i="225"/>
  <c r="W35" i="225"/>
  <c r="AF42" i="225"/>
  <c r="BL48" i="225"/>
  <c r="BR53" i="225"/>
  <c r="AS23" i="225"/>
  <c r="Y34" i="225"/>
  <c r="AT41" i="225"/>
  <c r="AK48" i="225"/>
  <c r="AQ53" i="225"/>
  <c r="AC47" i="225"/>
  <c r="AY44" i="225"/>
  <c r="W42" i="225"/>
  <c r="AS39" i="225"/>
  <c r="BJ35" i="225"/>
  <c r="AW31" i="225"/>
  <c r="BR25" i="225"/>
  <c r="BE19" i="225"/>
  <c r="AJ10" i="225"/>
  <c r="BI26" i="225"/>
  <c r="AA22" i="225"/>
  <c r="AF17" i="225"/>
  <c r="AG8" i="225"/>
  <c r="BO13" i="225"/>
  <c r="AN7" i="225"/>
  <c r="AH34" i="225"/>
  <c r="BF30" i="225"/>
  <c r="BF26" i="225"/>
  <c r="BD19" i="225"/>
  <c r="AK10" i="225"/>
  <c r="AR16" i="225"/>
  <c r="BQ8" i="225"/>
  <c r="AS7" i="225"/>
  <c r="AY24" i="225"/>
  <c r="Z42" i="225"/>
  <c r="BN53" i="225"/>
  <c r="BQ33" i="225"/>
  <c r="AF48" i="225"/>
  <c r="AR27" i="225"/>
  <c r="AL22" i="225"/>
  <c r="AU16" i="225"/>
  <c r="AL9" i="225"/>
  <c r="AD17" i="225"/>
  <c r="X12" i="225"/>
  <c r="BB5" i="225"/>
  <c r="BO6" i="225"/>
  <c r="AN15" i="225"/>
  <c r="BO28" i="225"/>
  <c r="BF37" i="225"/>
  <c r="AW44" i="225"/>
  <c r="AZ50" i="225"/>
  <c r="Y13" i="225"/>
  <c r="BA27" i="225"/>
  <c r="BT36" i="225"/>
  <c r="BJ46" i="225"/>
  <c r="BN26" i="225"/>
  <c r="BH15" i="225"/>
  <c r="AZ16" i="225"/>
  <c r="BN4" i="225"/>
  <c r="BC17" i="225"/>
  <c r="AS38" i="225"/>
  <c r="AD51" i="225"/>
  <c r="BS28" i="225"/>
  <c r="AX44" i="225"/>
  <c r="AB13" i="225"/>
  <c r="AQ33" i="225"/>
  <c r="AZ49" i="225"/>
  <c r="AO36" i="225"/>
  <c r="AM52" i="225"/>
  <c r="AR53" i="225"/>
  <c r="BS34" i="225"/>
  <c r="AM43" i="225"/>
  <c r="AN45" i="225"/>
  <c r="AR22" i="225"/>
  <c r="BD39" i="225"/>
  <c r="N5" i="225"/>
  <c r="N7" i="225"/>
  <c r="N4" i="225"/>
  <c r="I6" i="223" a="1"/>
  <c r="I7" i="223" s="1"/>
  <c r="O6" i="223" a="1"/>
  <c r="R36" i="99"/>
  <c r="A37" i="224"/>
  <c r="C36" i="224"/>
  <c r="N85" i="223"/>
  <c r="P84" i="223"/>
  <c r="N16" i="102"/>
  <c r="P15" i="102"/>
  <c r="AC37" i="107"/>
  <c r="AE36" i="107"/>
  <c r="AP36" i="107" s="1"/>
  <c r="S6" i="224" a="1"/>
  <c r="K6" i="224" a="1"/>
  <c r="K7" i="224" s="1"/>
  <c r="S4" i="225" l="1" a="1"/>
  <c r="S7" i="225" s="1"/>
  <c r="U7" i="225" s="1"/>
  <c r="I6" i="223"/>
  <c r="K6" i="223" s="1" a="1"/>
  <c r="Q6" i="223"/>
  <c r="S8" i="223"/>
  <c r="U10" i="223"/>
  <c r="W12" i="223"/>
  <c r="R14" i="223"/>
  <c r="Y15" i="223"/>
  <c r="P17" i="223"/>
  <c r="V18" i="223"/>
  <c r="AC19" i="223"/>
  <c r="R10" i="223"/>
  <c r="Q14" i="223"/>
  <c r="S7" i="223"/>
  <c r="U9" i="223"/>
  <c r="W11" i="223"/>
  <c r="X13" i="223"/>
  <c r="O15" i="223"/>
  <c r="V16" i="223"/>
  <c r="AB17" i="223"/>
  <c r="S19" i="223"/>
  <c r="Z20" i="223"/>
  <c r="O8" i="223"/>
  <c r="Q10" i="223"/>
  <c r="S12" i="223"/>
  <c r="P14" i="223"/>
  <c r="V15" i="223"/>
  <c r="AB16" i="223"/>
  <c r="T18" i="223"/>
  <c r="Z19" i="223"/>
  <c r="O7" i="223"/>
  <c r="Q9" i="223"/>
  <c r="AB12" i="223"/>
  <c r="O17" i="223"/>
  <c r="T17" i="223"/>
  <c r="Y17" i="223"/>
  <c r="X16" i="223"/>
  <c r="AA6" i="223"/>
  <c r="P11" i="223"/>
  <c r="T15" i="223"/>
  <c r="X19" i="223"/>
  <c r="Z8" i="223"/>
  <c r="O13" i="223"/>
  <c r="S10" i="223"/>
  <c r="W14" i="223"/>
  <c r="AA18" i="223"/>
  <c r="AC7" i="223"/>
  <c r="R12" i="223"/>
  <c r="U8" i="223"/>
  <c r="Y12" i="223"/>
  <c r="AC16" i="223"/>
  <c r="P6" i="223"/>
  <c r="T10" i="223"/>
  <c r="X7" i="223"/>
  <c r="AB11" i="223"/>
  <c r="Q16" i="223"/>
  <c r="U20" i="223"/>
  <c r="W9" i="223"/>
  <c r="Y6" i="223"/>
  <c r="AA8" i="223"/>
  <c r="AC10" i="223"/>
  <c r="P13" i="223"/>
  <c r="X14" i="223"/>
  <c r="O16" i="223"/>
  <c r="U17" i="223"/>
  <c r="AB18" i="223"/>
  <c r="S20" i="223"/>
  <c r="S11" i="223"/>
  <c r="AB14" i="223"/>
  <c r="AA7" i="223"/>
  <c r="AC9" i="223"/>
  <c r="P12" i="223"/>
  <c r="AC13" i="223"/>
  <c r="U15" i="223"/>
  <c r="AA16" i="223"/>
  <c r="R18" i="223"/>
  <c r="Y19" i="223"/>
  <c r="U6" i="223"/>
  <c r="W8" i="223"/>
  <c r="Y10" i="223"/>
  <c r="AA12" i="223"/>
  <c r="U14" i="223"/>
  <c r="AA15" i="223"/>
  <c r="S17" i="223"/>
  <c r="Y18" i="223"/>
  <c r="P20" i="223"/>
  <c r="W7" i="223"/>
  <c r="Y9" i="223"/>
  <c r="AA13" i="223"/>
  <c r="U18" i="223"/>
  <c r="Z18" i="223"/>
  <c r="Q19" i="223"/>
  <c r="P18" i="223"/>
  <c r="AB7" i="223"/>
  <c r="Q12" i="223"/>
  <c r="U16" i="223"/>
  <c r="Y20" i="223"/>
  <c r="AA9" i="223"/>
  <c r="P7" i="223"/>
  <c r="T11" i="223"/>
  <c r="X15" i="223"/>
  <c r="AB19" i="223"/>
  <c r="O9" i="223"/>
  <c r="S13" i="223"/>
  <c r="V9" i="223"/>
  <c r="Z13" i="223"/>
  <c r="O18" i="223"/>
  <c r="Q7" i="223"/>
  <c r="U11" i="223"/>
  <c r="Y8" i="223"/>
  <c r="AC12" i="223"/>
  <c r="R17" i="223"/>
  <c r="T6" i="223"/>
  <c r="X10" i="223"/>
  <c r="R7" i="223"/>
  <c r="T9" i="223"/>
  <c r="W13" i="223"/>
  <c r="AC14" i="223"/>
  <c r="T16" i="223"/>
  <c r="AA17" i="223"/>
  <c r="R19" i="223"/>
  <c r="X20" i="223"/>
  <c r="T12" i="223"/>
  <c r="R6" i="223"/>
  <c r="T8" i="223"/>
  <c r="V10" i="223"/>
  <c r="X12" i="223"/>
  <c r="T14" i="223"/>
  <c r="Z15" i="223"/>
  <c r="Q17" i="223"/>
  <c r="X18" i="223"/>
  <c r="O20" i="223"/>
  <c r="AC6" i="223"/>
  <c r="P9" i="223"/>
  <c r="R11" i="223"/>
  <c r="T13" i="223"/>
  <c r="Z14" i="223"/>
  <c r="R16" i="223"/>
  <c r="X17" i="223"/>
  <c r="O19" i="223"/>
  <c r="V20" i="223"/>
  <c r="P8" i="223"/>
  <c r="V11" i="223"/>
  <c r="Z16" i="223"/>
  <c r="U13" i="223"/>
  <c r="Q13" i="223"/>
  <c r="AC18" i="223"/>
  <c r="Z11" i="223"/>
  <c r="AC17" i="223"/>
  <c r="Z10" i="223"/>
  <c r="AA19" i="223"/>
  <c r="W20" i="223"/>
  <c r="AC8" i="223"/>
  <c r="V17" i="223"/>
  <c r="AB10" i="223"/>
  <c r="U12" i="223"/>
  <c r="AC20" i="223"/>
  <c r="S6" i="223"/>
  <c r="AA14" i="223"/>
  <c r="R8" i="223"/>
  <c r="Z9" i="223"/>
  <c r="S18" i="223"/>
  <c r="Y11" i="223"/>
  <c r="O6" i="223"/>
  <c r="Q18" i="223"/>
  <c r="Z6" i="223"/>
  <c r="Y14" i="223"/>
  <c r="T20" i="223"/>
  <c r="U19" i="223"/>
  <c r="AA11" i="223"/>
  <c r="AC15" i="223"/>
  <c r="R15" i="223"/>
  <c r="O10" i="223"/>
  <c r="AC11" i="223"/>
  <c r="V13" i="223"/>
  <c r="AB6" i="223"/>
  <c r="T7" i="223"/>
  <c r="AB15" i="223"/>
  <c r="AA10" i="223"/>
  <c r="T19" i="223"/>
  <c r="Z12" i="223"/>
  <c r="O12" i="223"/>
  <c r="Y13" i="223"/>
  <c r="W18" i="223"/>
  <c r="S9" i="223"/>
  <c r="Z7" i="223"/>
  <c r="AB13" i="223"/>
  <c r="W19" i="223"/>
  <c r="AB8" i="223"/>
  <c r="P16" i="223"/>
  <c r="V7" i="223"/>
  <c r="Q15" i="223"/>
  <c r="AA20" i="223"/>
  <c r="V14" i="223"/>
  <c r="R20" i="223"/>
  <c r="V19" i="223"/>
  <c r="R13" i="223"/>
  <c r="X6" i="223"/>
  <c r="Q8" i="223"/>
  <c r="Y16" i="223"/>
  <c r="P10" i="223"/>
  <c r="W10" i="223"/>
  <c r="P19" i="223"/>
  <c r="V12" i="223"/>
  <c r="O14" i="223"/>
  <c r="U7" i="223"/>
  <c r="AB9" i="223"/>
  <c r="S15" i="223"/>
  <c r="V6" i="223"/>
  <c r="O11" i="223"/>
  <c r="W17" i="223"/>
  <c r="X9" i="223"/>
  <c r="W16" i="223"/>
  <c r="X8" i="223"/>
  <c r="W15" i="223"/>
  <c r="S16" i="223"/>
  <c r="AB20" i="223"/>
  <c r="S14" i="223"/>
  <c r="Y7" i="223"/>
  <c r="R9" i="223"/>
  <c r="Z17" i="223"/>
  <c r="Q11" i="223"/>
  <c r="X11" i="223"/>
  <c r="Q20" i="223"/>
  <c r="W6" i="223"/>
  <c r="P15" i="223"/>
  <c r="V8" i="223"/>
  <c r="N86" i="223"/>
  <c r="P85" i="223"/>
  <c r="K8" i="224"/>
  <c r="N17" i="102"/>
  <c r="P16" i="102"/>
  <c r="A38" i="224"/>
  <c r="C37" i="224"/>
  <c r="K6" i="224"/>
  <c r="R37" i="99"/>
  <c r="AC38" i="107"/>
  <c r="AE37" i="107"/>
  <c r="AP37" i="107" s="1"/>
  <c r="AA11" i="224"/>
  <c r="T16" i="224"/>
  <c r="W7" i="224"/>
  <c r="U13" i="224"/>
  <c r="AB16" i="224"/>
  <c r="AB8" i="224"/>
  <c r="Z14" i="224"/>
  <c r="V10" i="224"/>
  <c r="W15" i="224"/>
  <c r="S6" i="224"/>
  <c r="X7" i="224"/>
  <c r="AC8" i="224"/>
  <c r="W10" i="224"/>
  <c r="AB11" i="224"/>
  <c r="V13" i="224"/>
  <c r="AA14" i="224"/>
  <c r="U16" i="224"/>
  <c r="X6" i="224"/>
  <c r="AC7" i="224"/>
  <c r="W9" i="224"/>
  <c r="AB10" i="224"/>
  <c r="V12" i="224"/>
  <c r="AA13" i="224"/>
  <c r="U15" i="224"/>
  <c r="Z16" i="224"/>
  <c r="V7" i="224"/>
  <c r="AA8" i="224"/>
  <c r="U10" i="224"/>
  <c r="Z11" i="224"/>
  <c r="T13" i="224"/>
  <c r="Y14" i="224"/>
  <c r="V14" i="224"/>
  <c r="X8" i="224"/>
  <c r="S15" i="224"/>
  <c r="Y9" i="224"/>
  <c r="Z15" i="224"/>
  <c r="Z10" i="224"/>
  <c r="W6" i="224"/>
  <c r="AB7" i="224"/>
  <c r="V9" i="224"/>
  <c r="AA10" i="224"/>
  <c r="U12" i="224"/>
  <c r="Z13" i="224"/>
  <c r="T15" i="224"/>
  <c r="Y16" i="224"/>
  <c r="AB6" i="224"/>
  <c r="V8" i="224"/>
  <c r="AA9" i="224"/>
  <c r="U11" i="224"/>
  <c r="Z12" i="224"/>
  <c r="T14" i="224"/>
  <c r="Y15" i="224"/>
  <c r="U6" i="224"/>
  <c r="Z7" i="224"/>
  <c r="T9" i="224"/>
  <c r="Y10" i="224"/>
  <c r="S12" i="224"/>
  <c r="X13" i="224"/>
  <c r="AA16" i="224"/>
  <c r="AB12" i="224"/>
  <c r="S7" i="224"/>
  <c r="AC13" i="224"/>
  <c r="T8" i="224"/>
  <c r="AC14" i="224"/>
  <c r="U9" i="224"/>
  <c r="AA6" i="224"/>
  <c r="U8" i="224"/>
  <c r="Z9" i="224"/>
  <c r="T11" i="224"/>
  <c r="Y12" i="224"/>
  <c r="S14" i="224"/>
  <c r="X15" i="224"/>
  <c r="AC16" i="224"/>
  <c r="U7" i="224"/>
  <c r="Z8" i="224"/>
  <c r="T10" i="224"/>
  <c r="Y11" i="224"/>
  <c r="S13" i="224"/>
  <c r="X14" i="224"/>
  <c r="AC15" i="224"/>
  <c r="Y6" i="224"/>
  <c r="S8" i="224"/>
  <c r="X9" i="224"/>
  <c r="AC10" i="224"/>
  <c r="W12" i="224"/>
  <c r="AB13" i="224"/>
  <c r="S16" i="224"/>
  <c r="W11" i="224"/>
  <c r="X16" i="224"/>
  <c r="X12" i="224"/>
  <c r="X11" i="224"/>
  <c r="T7" i="224"/>
  <c r="AC12" i="224"/>
  <c r="Y7" i="224"/>
  <c r="W13" i="224"/>
  <c r="W8" i="224"/>
  <c r="U14" i="224"/>
  <c r="S11" i="224"/>
  <c r="T12" i="224"/>
  <c r="Y8" i="224"/>
  <c r="W14" i="224"/>
  <c r="S9" i="224"/>
  <c r="AB14" i="224"/>
  <c r="AB9" i="224"/>
  <c r="V15" i="224"/>
  <c r="Z6" i="224"/>
  <c r="AA7" i="224"/>
  <c r="S10" i="224"/>
  <c r="AB15" i="224"/>
  <c r="X10" i="224"/>
  <c r="V16" i="224"/>
  <c r="V11" i="224"/>
  <c r="AC9" i="224"/>
  <c r="W16" i="224"/>
  <c r="V6" i="224"/>
  <c r="T6" i="224"/>
  <c r="AC11" i="224"/>
  <c r="AC6" i="224"/>
  <c r="AA12" i="224"/>
  <c r="AA15" i="224"/>
  <c r="Y13" i="224"/>
  <c r="S5" i="225" l="1"/>
  <c r="U5" i="225" s="1"/>
  <c r="S43" i="225"/>
  <c r="U43" i="225" s="1"/>
  <c r="S44" i="225"/>
  <c r="U44" i="225" s="1"/>
  <c r="S8" i="225"/>
  <c r="U8" i="225" s="1"/>
  <c r="S50" i="225"/>
  <c r="U50" i="225" s="1"/>
  <c r="S40" i="225"/>
  <c r="U40" i="225" s="1"/>
  <c r="S20" i="225"/>
  <c r="U20" i="225" s="1"/>
  <c r="S34" i="225"/>
  <c r="U34" i="225" s="1"/>
  <c r="S38" i="225"/>
  <c r="U38" i="225" s="1"/>
  <c r="S14" i="225"/>
  <c r="U14" i="225" s="1"/>
  <c r="S28" i="225"/>
  <c r="U28" i="225" s="1"/>
  <c r="S12" i="225"/>
  <c r="U12" i="225" s="1"/>
  <c r="S53" i="225"/>
  <c r="U53" i="225" s="1"/>
  <c r="S24" i="225"/>
  <c r="U24" i="225" s="1"/>
  <c r="S39" i="225"/>
  <c r="U39" i="225" s="1"/>
  <c r="S30" i="225"/>
  <c r="U30" i="225" s="1"/>
  <c r="S41" i="225"/>
  <c r="U41" i="225" s="1"/>
  <c r="S16" i="225"/>
  <c r="U16" i="225" s="1"/>
  <c r="S25" i="225"/>
  <c r="U25" i="225" s="1"/>
  <c r="S13" i="225"/>
  <c r="U13" i="225" s="1"/>
  <c r="S17" i="225"/>
  <c r="U17" i="225" s="1"/>
  <c r="S15" i="225"/>
  <c r="U15" i="225" s="1"/>
  <c r="S47" i="225"/>
  <c r="U47" i="225" s="1"/>
  <c r="S22" i="225"/>
  <c r="U22" i="225" s="1"/>
  <c r="S11" i="225"/>
  <c r="U11" i="225" s="1"/>
  <c r="S26" i="225"/>
  <c r="U26" i="225" s="1"/>
  <c r="S52" i="225"/>
  <c r="U52" i="225" s="1"/>
  <c r="S46" i="225"/>
  <c r="U46" i="225" s="1"/>
  <c r="S21" i="225"/>
  <c r="U21" i="225" s="1"/>
  <c r="S48" i="225"/>
  <c r="U48" i="225" s="1"/>
  <c r="S18" i="225"/>
  <c r="U18" i="225" s="1"/>
  <c r="S29" i="225"/>
  <c r="U29" i="225" s="1"/>
  <c r="S32" i="225"/>
  <c r="U32" i="225" s="1"/>
  <c r="S31" i="225"/>
  <c r="U31" i="225" s="1"/>
  <c r="S6" i="225"/>
  <c r="U6" i="225" s="1"/>
  <c r="S4" i="225"/>
  <c r="U4" i="225" s="1"/>
  <c r="S33" i="225"/>
  <c r="U33" i="225" s="1"/>
  <c r="S35" i="225"/>
  <c r="U35" i="225" s="1"/>
  <c r="S10" i="225"/>
  <c r="U10" i="225" s="1"/>
  <c r="S19" i="225"/>
  <c r="U19" i="225" s="1"/>
  <c r="S27" i="225"/>
  <c r="U27" i="225" s="1"/>
  <c r="S9" i="225"/>
  <c r="U9" i="225" s="1"/>
  <c r="S42" i="225"/>
  <c r="U42" i="225" s="1"/>
  <c r="S45" i="225"/>
  <c r="U45" i="225" s="1"/>
  <c r="S51" i="225"/>
  <c r="U51" i="225" s="1"/>
  <c r="S37" i="225"/>
  <c r="U37" i="225" s="1"/>
  <c r="S23" i="225"/>
  <c r="U23" i="225" s="1"/>
  <c r="S36" i="225"/>
  <c r="U36" i="225" s="1"/>
  <c r="S49" i="225"/>
  <c r="U49" i="225" s="1"/>
  <c r="O6" i="224" a="1"/>
  <c r="O15" i="224" s="1"/>
  <c r="Q15" i="224" s="1"/>
  <c r="N18" i="102"/>
  <c r="P17" i="102"/>
  <c r="A39" i="224"/>
  <c r="C38" i="224"/>
  <c r="R38" i="99"/>
  <c r="N87" i="223"/>
  <c r="P86" i="223"/>
  <c r="AC39" i="107"/>
  <c r="AE38" i="107"/>
  <c r="AP38" i="107" s="1"/>
  <c r="K8" i="223"/>
  <c r="M8" i="223" s="1"/>
  <c r="O34" i="223" s="1"/>
  <c r="K15" i="223"/>
  <c r="M15" i="223" s="1"/>
  <c r="O41" i="223" s="1"/>
  <c r="K14" i="223"/>
  <c r="M14" i="223" s="1"/>
  <c r="O40" i="223" s="1"/>
  <c r="K13" i="223"/>
  <c r="M13" i="223" s="1"/>
  <c r="O39" i="223" s="1"/>
  <c r="K12" i="223"/>
  <c r="M12" i="223" s="1"/>
  <c r="O38" i="223" s="1"/>
  <c r="K7" i="223"/>
  <c r="M7" i="223" s="1"/>
  <c r="O33" i="223" s="1"/>
  <c r="K17" i="223"/>
  <c r="M17" i="223" s="1"/>
  <c r="O43" i="223" s="1"/>
  <c r="K18" i="223"/>
  <c r="M18" i="223" s="1"/>
  <c r="O44" i="223" s="1"/>
  <c r="K9" i="223"/>
  <c r="M9" i="223" s="1"/>
  <c r="O35" i="223" s="1"/>
  <c r="K19" i="223"/>
  <c r="M19" i="223" s="1"/>
  <c r="O45" i="223" s="1"/>
  <c r="K10" i="223"/>
  <c r="M10" i="223" s="1"/>
  <c r="O36" i="223" s="1"/>
  <c r="K20" i="223"/>
  <c r="M20" i="223" s="1"/>
  <c r="O46" i="223" s="1"/>
  <c r="K11" i="223"/>
  <c r="M11" i="223" s="1"/>
  <c r="O37" i="223" s="1"/>
  <c r="K6" i="223"/>
  <c r="M6" i="223" s="1"/>
  <c r="O32" i="223" s="1"/>
  <c r="K16" i="223"/>
  <c r="M16" i="223" s="1"/>
  <c r="O42" i="223" s="1"/>
  <c r="O12" i="224" l="1"/>
  <c r="Q12" i="224" s="1"/>
  <c r="T33" i="224" s="1"/>
  <c r="O10" i="224"/>
  <c r="Q10" i="224" s="1"/>
  <c r="T64" i="224" s="1"/>
  <c r="O13" i="224"/>
  <c r="Q13" i="224" s="1"/>
  <c r="T34" i="224" s="1"/>
  <c r="O6" i="224"/>
  <c r="Q6" i="224" s="1"/>
  <c r="T60" i="224" s="1"/>
  <c r="O16" i="224"/>
  <c r="Q16" i="224" s="1"/>
  <c r="T37" i="224" s="1"/>
  <c r="O8" i="224"/>
  <c r="Q8" i="224" s="1"/>
  <c r="T29" i="224" s="1"/>
  <c r="O14" i="224"/>
  <c r="Q14" i="224" s="1"/>
  <c r="T35" i="224" s="1"/>
  <c r="O11" i="224"/>
  <c r="Q11" i="224" s="1"/>
  <c r="T65" i="224" s="1"/>
  <c r="O9" i="224"/>
  <c r="Q9" i="224" s="1"/>
  <c r="T30" i="224" s="1"/>
  <c r="O21" i="225"/>
  <c r="O23" i="225" s="1"/>
  <c r="N16" i="225" s="1" a="1"/>
  <c r="Q16" i="225" s="1"/>
  <c r="O7" i="224"/>
  <c r="Q7" i="224" s="1"/>
  <c r="T28" i="224" s="1"/>
  <c r="N88" i="223"/>
  <c r="P87" i="223"/>
  <c r="A40" i="224"/>
  <c r="C39" i="224"/>
  <c r="T31" i="224"/>
  <c r="T36" i="224"/>
  <c r="T69" i="224"/>
  <c r="R39" i="99"/>
  <c r="N19" i="102"/>
  <c r="P18" i="102"/>
  <c r="AC40" i="107"/>
  <c r="AE40" i="107" s="1"/>
  <c r="AP40" i="107" s="1"/>
  <c r="AE39" i="107"/>
  <c r="AP39" i="107" s="1"/>
  <c r="O53" i="223"/>
  <c r="O52" i="223"/>
  <c r="O51" i="223"/>
  <c r="P51" i="223" s="1"/>
  <c r="M22" i="223"/>
  <c r="M24" i="223" s="1"/>
  <c r="R39" i="223" s="1"/>
  <c r="T66" i="224" l="1"/>
  <c r="T27" i="224"/>
  <c r="T68" i="224"/>
  <c r="T67" i="224"/>
  <c r="T70" i="224"/>
  <c r="T32" i="224"/>
  <c r="T62" i="224"/>
  <c r="T63" i="224"/>
  <c r="O17" i="225"/>
  <c r="P17" i="225"/>
  <c r="P18" i="225"/>
  <c r="Q18" i="225"/>
  <c r="O18" i="225"/>
  <c r="P16" i="225"/>
  <c r="N16" i="225"/>
  <c r="N18" i="225"/>
  <c r="Q19" i="225"/>
  <c r="N17" i="225"/>
  <c r="N19" i="225"/>
  <c r="P19" i="225"/>
  <c r="T61" i="224"/>
  <c r="O16" i="225"/>
  <c r="O19" i="225"/>
  <c r="Q17" i="225"/>
  <c r="Q18" i="224"/>
  <c r="Q20" i="224" s="1"/>
  <c r="W68" i="224" s="1"/>
  <c r="N20" i="102"/>
  <c r="P19" i="102"/>
  <c r="R40" i="99"/>
  <c r="A41" i="224"/>
  <c r="C41" i="224" s="1"/>
  <c r="C40" i="224"/>
  <c r="N89" i="223"/>
  <c r="P88" i="223"/>
  <c r="K16" i="224" a="1"/>
  <c r="K18" i="224" s="1"/>
  <c r="R35" i="223"/>
  <c r="R40" i="223"/>
  <c r="Q58" i="223"/>
  <c r="Q62" i="223"/>
  <c r="Q64" i="223"/>
  <c r="Q68" i="223"/>
  <c r="Q70" i="223"/>
  <c r="Q57" i="223"/>
  <c r="Q59" i="223"/>
  <c r="Q61" i="223"/>
  <c r="Q63" i="223"/>
  <c r="Q65" i="223"/>
  <c r="Q67" i="223"/>
  <c r="Q69" i="223"/>
  <c r="Q60" i="223"/>
  <c r="Q66" i="223"/>
  <c r="Q56" i="223"/>
  <c r="G23" i="223" a="1"/>
  <c r="H24" i="223" s="1"/>
  <c r="I12" i="223" s="1"/>
  <c r="R32" i="223"/>
  <c r="R37" i="223"/>
  <c r="R43" i="223"/>
  <c r="R44" i="223"/>
  <c r="R34" i="223"/>
  <c r="R41" i="223"/>
  <c r="R33" i="223"/>
  <c r="R36" i="223"/>
  <c r="R46" i="223"/>
  <c r="R38" i="223"/>
  <c r="P58" i="223"/>
  <c r="P60" i="223"/>
  <c r="P62" i="223"/>
  <c r="P64" i="223"/>
  <c r="P66" i="223"/>
  <c r="P68" i="223"/>
  <c r="P70" i="223"/>
  <c r="P57" i="223"/>
  <c r="P61" i="223"/>
  <c r="P65" i="223"/>
  <c r="P69" i="223"/>
  <c r="P56" i="223"/>
  <c r="P59" i="223"/>
  <c r="P63" i="223"/>
  <c r="P67" i="223"/>
  <c r="R45" i="223"/>
  <c r="R42" i="223"/>
  <c r="G24" i="223"/>
  <c r="W36" i="224" l="1"/>
  <c r="Q4" i="225" a="1"/>
  <c r="Q4" i="225" s="1"/>
  <c r="W66" i="224"/>
  <c r="W34" i="224"/>
  <c r="W64" i="224"/>
  <c r="K16" i="224"/>
  <c r="G23" i="223"/>
  <c r="I11" i="223" s="1"/>
  <c r="W32" i="224"/>
  <c r="W28" i="224"/>
  <c r="M16" i="224"/>
  <c r="W31" i="224"/>
  <c r="W29" i="224"/>
  <c r="W27" i="224"/>
  <c r="W63" i="224"/>
  <c r="W62" i="224"/>
  <c r="W60" i="224"/>
  <c r="W69" i="224"/>
  <c r="M17" i="224"/>
  <c r="W30" i="224"/>
  <c r="W67" i="224"/>
  <c r="W61" i="224"/>
  <c r="W70" i="224"/>
  <c r="L16" i="224"/>
  <c r="W37" i="224"/>
  <c r="W35" i="224"/>
  <c r="W33" i="224"/>
  <c r="W65" i="224"/>
  <c r="K17" i="224"/>
  <c r="U32" i="223" a="1"/>
  <c r="U37" i="223" s="1"/>
  <c r="L17" i="224"/>
  <c r="L18" i="224"/>
  <c r="M18" i="224"/>
  <c r="N21" i="102"/>
  <c r="P20" i="102"/>
  <c r="N90" i="223"/>
  <c r="P89" i="223"/>
  <c r="H23" i="223"/>
  <c r="Q5" i="225" l="1"/>
  <c r="Q7" i="225"/>
  <c r="Q6" i="225"/>
  <c r="Z60" i="224" a="1"/>
  <c r="Z65" i="224" s="1"/>
  <c r="Y27" i="224" a="1"/>
  <c r="Y33" i="224" s="1"/>
  <c r="U38" i="223"/>
  <c r="U33" i="223"/>
  <c r="M6" i="224" a="1"/>
  <c r="M6" i="224" s="1"/>
  <c r="U44" i="223"/>
  <c r="U41" i="223"/>
  <c r="U36" i="223"/>
  <c r="U45" i="223"/>
  <c r="U46" i="223"/>
  <c r="U34" i="223"/>
  <c r="U42" i="223"/>
  <c r="U40" i="223"/>
  <c r="U35" i="223"/>
  <c r="U43" i="223"/>
  <c r="U39" i="223"/>
  <c r="U32" i="223"/>
  <c r="N91" i="223"/>
  <c r="P90" i="223"/>
  <c r="N22" i="102"/>
  <c r="P21" i="102"/>
  <c r="Z62" i="224" l="1"/>
  <c r="Z69" i="224"/>
  <c r="Z64" i="224"/>
  <c r="Z66" i="224"/>
  <c r="Z61" i="224"/>
  <c r="Z68" i="224"/>
  <c r="Z70" i="224"/>
  <c r="Z63" i="224"/>
  <c r="Y27" i="224"/>
  <c r="Z67" i="224"/>
  <c r="Z60" i="224"/>
  <c r="Y31" i="224"/>
  <c r="M7" i="224"/>
  <c r="Y34" i="224"/>
  <c r="Y32" i="224"/>
  <c r="Y28" i="224"/>
  <c r="Y37" i="224"/>
  <c r="Y36" i="224"/>
  <c r="Y30" i="224"/>
  <c r="Y35" i="224"/>
  <c r="Y29" i="224"/>
  <c r="M8" i="224"/>
  <c r="O99" i="223"/>
  <c r="P99" i="223" s="1"/>
  <c r="P118" i="223" s="1"/>
  <c r="O100" i="223"/>
  <c r="O101" i="223"/>
  <c r="N92" i="223"/>
  <c r="P91" i="223"/>
  <c r="N23" i="102"/>
  <c r="P22" i="102"/>
  <c r="R4" i="208"/>
  <c r="R5" i="208" s="1"/>
  <c r="O117" i="221"/>
  <c r="N117" i="221"/>
  <c r="N115" i="221"/>
  <c r="O115" i="221"/>
  <c r="P102" i="221"/>
  <c r="P101" i="221"/>
  <c r="P100" i="221"/>
  <c r="P99" i="221"/>
  <c r="O99" i="221"/>
  <c r="O100" i="221"/>
  <c r="O101" i="221"/>
  <c r="O102" i="221"/>
  <c r="N102" i="221"/>
  <c r="N100" i="221"/>
  <c r="N101" i="221"/>
  <c r="N99" i="221"/>
  <c r="J75" i="221"/>
  <c r="I75" i="221"/>
  <c r="J74" i="221"/>
  <c r="I74" i="221"/>
  <c r="J73" i="221"/>
  <c r="I73" i="221"/>
  <c r="J72" i="221"/>
  <c r="I72" i="221"/>
  <c r="J71" i="221"/>
  <c r="I71" i="221"/>
  <c r="J70" i="221"/>
  <c r="I70" i="221"/>
  <c r="J69" i="221"/>
  <c r="I69" i="221"/>
  <c r="J68" i="221"/>
  <c r="I68" i="221"/>
  <c r="J67" i="221"/>
  <c r="I67" i="221"/>
  <c r="J66" i="221"/>
  <c r="I66" i="221"/>
  <c r="J65" i="221"/>
  <c r="I65" i="221"/>
  <c r="J64" i="221"/>
  <c r="I64" i="221"/>
  <c r="J63" i="221"/>
  <c r="I63" i="221"/>
  <c r="J62" i="221"/>
  <c r="I62" i="221"/>
  <c r="J61" i="221"/>
  <c r="I61" i="221"/>
  <c r="J60" i="221"/>
  <c r="I60" i="221"/>
  <c r="J59" i="221"/>
  <c r="I59" i="221"/>
  <c r="J58" i="221"/>
  <c r="I58" i="221"/>
  <c r="J57" i="221"/>
  <c r="I57" i="221"/>
  <c r="J56" i="221"/>
  <c r="I56" i="221"/>
  <c r="J55" i="221"/>
  <c r="I55" i="221"/>
  <c r="J54" i="221"/>
  <c r="I54" i="221"/>
  <c r="J53" i="221"/>
  <c r="I53" i="221"/>
  <c r="J52" i="221"/>
  <c r="I52" i="221"/>
  <c r="J51" i="221"/>
  <c r="I51" i="221"/>
  <c r="J50" i="221"/>
  <c r="I50" i="221"/>
  <c r="J49" i="221"/>
  <c r="I49" i="221"/>
  <c r="H36" i="221"/>
  <c r="I36" i="221"/>
  <c r="G36" i="221"/>
  <c r="H35" i="221"/>
  <c r="I35" i="221"/>
  <c r="G35" i="221"/>
  <c r="I8" i="221"/>
  <c r="J8" i="221"/>
  <c r="Q109" i="223" l="1"/>
  <c r="P109" i="223"/>
  <c r="P116" i="223"/>
  <c r="P117" i="223"/>
  <c r="P111" i="223"/>
  <c r="P106" i="223"/>
  <c r="P107" i="223"/>
  <c r="P110" i="223"/>
  <c r="P112" i="223"/>
  <c r="Q104" i="223"/>
  <c r="O105" i="221"/>
  <c r="N114" i="221" s="1"/>
  <c r="P105" i="221"/>
  <c r="R105" i="221" s="1"/>
  <c r="P105" i="223"/>
  <c r="P108" i="223"/>
  <c r="P113" i="223"/>
  <c r="P104" i="223"/>
  <c r="Q112" i="223"/>
  <c r="N105" i="221"/>
  <c r="O114" i="221" s="1"/>
  <c r="Q106" i="223"/>
  <c r="P114" i="223"/>
  <c r="P115" i="223"/>
  <c r="Q118" i="223"/>
  <c r="Q105" i="223"/>
  <c r="Q110" i="223"/>
  <c r="Q117" i="223"/>
  <c r="Q114" i="223"/>
  <c r="Q108" i="223"/>
  <c r="Q107" i="223"/>
  <c r="Q113" i="223"/>
  <c r="Q115" i="223"/>
  <c r="Q111" i="223"/>
  <c r="Q116" i="223"/>
  <c r="H37" i="221"/>
  <c r="P115" i="221"/>
  <c r="N24" i="102"/>
  <c r="P23" i="102"/>
  <c r="N93" i="223"/>
  <c r="P92" i="223"/>
  <c r="N103" i="221"/>
  <c r="O112" i="221" s="1"/>
  <c r="N104" i="221"/>
  <c r="O113" i="221" s="1"/>
  <c r="O103" i="221"/>
  <c r="N112" i="221" s="1"/>
  <c r="O104" i="221"/>
  <c r="N113" i="221" s="1"/>
  <c r="P103" i="221"/>
  <c r="R103" i="221" s="1"/>
  <c r="P104" i="221"/>
  <c r="R104" i="221" s="1"/>
  <c r="I37" i="221"/>
  <c r="J36" i="221"/>
  <c r="J35" i="221"/>
  <c r="G37" i="221"/>
  <c r="P114" i="221" l="1"/>
  <c r="N94" i="223"/>
  <c r="P94" i="223" s="1"/>
  <c r="P93" i="223"/>
  <c r="Q114" i="221"/>
  <c r="R114" i="221" s="1"/>
  <c r="N25" i="102"/>
  <c r="P24" i="102"/>
  <c r="P112" i="221"/>
  <c r="Q112" i="221" s="1"/>
  <c r="R112" i="221" s="1"/>
  <c r="N119" i="221"/>
  <c r="P113" i="221"/>
  <c r="Q113" i="221" s="1"/>
  <c r="R113" i="221" s="1"/>
  <c r="J37" i="221"/>
  <c r="G42" i="221" s="1"/>
  <c r="G45" i="221" l="1"/>
  <c r="G46" i="221"/>
  <c r="G43" i="221"/>
  <c r="N26" i="102"/>
  <c r="P25" i="102"/>
  <c r="G41" i="221"/>
  <c r="G44" i="221"/>
  <c r="N27" i="102" l="1"/>
  <c r="P26" i="102"/>
  <c r="W35" i="221"/>
  <c r="W34" i="221"/>
  <c r="J30" i="221"/>
  <c r="I30" i="221"/>
  <c r="J29" i="221"/>
  <c r="I29" i="221"/>
  <c r="J28" i="221"/>
  <c r="I28" i="221"/>
  <c r="J27" i="221"/>
  <c r="I27" i="221"/>
  <c r="J26" i="221"/>
  <c r="I26" i="221"/>
  <c r="J25" i="221"/>
  <c r="I25" i="221"/>
  <c r="J24" i="221"/>
  <c r="I24" i="221"/>
  <c r="J23" i="221"/>
  <c r="I23" i="221"/>
  <c r="J22" i="221"/>
  <c r="I22" i="221"/>
  <c r="J21" i="221"/>
  <c r="I21" i="221"/>
  <c r="J20" i="221"/>
  <c r="I20" i="221"/>
  <c r="J19" i="221"/>
  <c r="I19" i="221"/>
  <c r="J18" i="221"/>
  <c r="I18" i="221"/>
  <c r="J17" i="221"/>
  <c r="I17" i="221"/>
  <c r="J16" i="221"/>
  <c r="I16" i="221"/>
  <c r="J15" i="221"/>
  <c r="I15" i="221"/>
  <c r="J14" i="221"/>
  <c r="I14" i="221"/>
  <c r="J13" i="221"/>
  <c r="I13" i="221"/>
  <c r="J12" i="221"/>
  <c r="I12" i="221"/>
  <c r="J11" i="221"/>
  <c r="I11" i="221"/>
  <c r="J10" i="221"/>
  <c r="I10" i="221"/>
  <c r="J9" i="221"/>
  <c r="I9" i="221"/>
  <c r="J7" i="221"/>
  <c r="I7" i="221"/>
  <c r="J6" i="221"/>
  <c r="I6" i="221"/>
  <c r="J5" i="221"/>
  <c r="I5" i="221"/>
  <c r="J4" i="221"/>
  <c r="I4" i="221"/>
  <c r="N28" i="102" l="1"/>
  <c r="P27" i="102"/>
  <c r="O38" i="219"/>
  <c r="W26" i="219"/>
  <c r="O37" i="219"/>
  <c r="K39" i="219"/>
  <c r="K40" i="219"/>
  <c r="K41" i="219"/>
  <c r="K42" i="219"/>
  <c r="K43" i="219"/>
  <c r="K38" i="219"/>
  <c r="G45" i="219" s="1"/>
  <c r="J43" i="219"/>
  <c r="I43" i="219"/>
  <c r="J42" i="219"/>
  <c r="I42" i="219"/>
  <c r="J41" i="219"/>
  <c r="I41" i="219"/>
  <c r="J40" i="219"/>
  <c r="I40" i="219"/>
  <c r="J39" i="219"/>
  <c r="I39" i="219"/>
  <c r="J38" i="219"/>
  <c r="I38" i="219"/>
  <c r="G48" i="219" l="1"/>
  <c r="G46" i="219"/>
  <c r="N29" i="102"/>
  <c r="P28" i="102"/>
  <c r="G47" i="219"/>
  <c r="J33" i="219"/>
  <c r="I33" i="219"/>
  <c r="J32" i="219"/>
  <c r="I32" i="219"/>
  <c r="J31" i="219"/>
  <c r="I31" i="219"/>
  <c r="J30" i="219"/>
  <c r="I30" i="219"/>
  <c r="J29" i="219"/>
  <c r="I29" i="219"/>
  <c r="J28" i="219"/>
  <c r="I28" i="219"/>
  <c r="J27" i="219"/>
  <c r="I27" i="219"/>
  <c r="J26" i="219"/>
  <c r="I26" i="219"/>
  <c r="J25" i="219"/>
  <c r="I25" i="219"/>
  <c r="J24" i="219"/>
  <c r="I24" i="219"/>
  <c r="J23" i="219"/>
  <c r="I23" i="219"/>
  <c r="J22" i="219"/>
  <c r="I22" i="219"/>
  <c r="J21" i="219"/>
  <c r="I21" i="219"/>
  <c r="J20" i="219"/>
  <c r="I20" i="219"/>
  <c r="J19" i="219"/>
  <c r="I19" i="219"/>
  <c r="J18" i="219"/>
  <c r="I18" i="219"/>
  <c r="J17" i="219"/>
  <c r="I17" i="219"/>
  <c r="J16" i="219"/>
  <c r="I16" i="219"/>
  <c r="J15" i="219"/>
  <c r="I15" i="219"/>
  <c r="J14" i="219"/>
  <c r="I14" i="219"/>
  <c r="J13" i="219"/>
  <c r="I13" i="219"/>
  <c r="J12" i="219"/>
  <c r="I12" i="219"/>
  <c r="J11" i="219"/>
  <c r="I11" i="219"/>
  <c r="J10" i="219"/>
  <c r="I10" i="219"/>
  <c r="J9" i="219"/>
  <c r="I9" i="219"/>
  <c r="J8" i="219"/>
  <c r="I8" i="219"/>
  <c r="J7" i="219"/>
  <c r="I7" i="219"/>
  <c r="J6" i="219"/>
  <c r="I6" i="219"/>
  <c r="J5" i="219"/>
  <c r="I5" i="219"/>
  <c r="J4" i="219"/>
  <c r="I4" i="219"/>
  <c r="G49" i="219" l="1"/>
  <c r="G50" i="219"/>
  <c r="N30" i="102"/>
  <c r="P29" i="102"/>
  <c r="N31" i="102" l="1"/>
  <c r="P30" i="102"/>
  <c r="N32" i="102" l="1"/>
  <c r="P31" i="102"/>
  <c r="N33" i="102" l="1"/>
  <c r="P32" i="102"/>
  <c r="N34" i="102" l="1"/>
  <c r="P33" i="102"/>
  <c r="N35" i="102" l="1"/>
  <c r="P34" i="102"/>
  <c r="N36" i="102" l="1"/>
  <c r="P35" i="102"/>
  <c r="N37" i="102" l="1"/>
  <c r="P36" i="102"/>
  <c r="N38" i="102" l="1"/>
  <c r="P37" i="102"/>
  <c r="N39" i="102" l="1"/>
  <c r="P38" i="102"/>
  <c r="N40" i="102" l="1"/>
  <c r="P39" i="102"/>
  <c r="N41" i="102" l="1"/>
  <c r="P40" i="102"/>
  <c r="N42" i="102" l="1"/>
  <c r="P41" i="102"/>
  <c r="N43" i="102" l="1"/>
  <c r="P42" i="102"/>
  <c r="N44" i="102" l="1"/>
  <c r="P43" i="102"/>
  <c r="N45" i="102" l="1"/>
  <c r="P44" i="102"/>
  <c r="N46" i="102" l="1"/>
  <c r="P45" i="102"/>
  <c r="N47" i="102" l="1"/>
  <c r="P46" i="102"/>
  <c r="N48" i="102" l="1"/>
  <c r="P47" i="102"/>
  <c r="N49" i="102" l="1"/>
  <c r="P48" i="102"/>
  <c r="S11" i="209"/>
  <c r="T11" i="209"/>
  <c r="R11" i="209"/>
  <c r="U11" i="209" l="1"/>
  <c r="T12" i="209" s="1"/>
  <c r="N50" i="102"/>
  <c r="P49" i="102"/>
  <c r="R12" i="209" l="1"/>
  <c r="S12" i="209"/>
  <c r="N51" i="102"/>
  <c r="P50" i="102"/>
  <c r="N52" i="102" l="1"/>
  <c r="P51" i="102"/>
  <c r="N53" i="102" l="1"/>
  <c r="P52" i="102"/>
  <c r="N54" i="102" l="1"/>
  <c r="P53" i="102"/>
  <c r="N55" i="102" l="1"/>
  <c r="P54" i="102"/>
  <c r="N56" i="102" l="1"/>
  <c r="P55" i="102"/>
  <c r="N57" i="102" l="1"/>
  <c r="P56" i="102"/>
  <c r="N58" i="102" l="1"/>
  <c r="P57" i="102"/>
  <c r="B11" i="179"/>
  <c r="G11" i="179" s="1"/>
  <c r="F11" i="179"/>
  <c r="I10" i="179"/>
  <c r="B5" i="179"/>
  <c r="G5" i="179" s="1"/>
  <c r="I11" i="179"/>
  <c r="F10" i="179"/>
  <c r="B10" i="179"/>
  <c r="G10" i="179" s="1"/>
  <c r="I9" i="179"/>
  <c r="F9" i="179"/>
  <c r="B9" i="179"/>
  <c r="G9" i="179" s="1"/>
  <c r="I8" i="179"/>
  <c r="F8" i="179"/>
  <c r="B8" i="179"/>
  <c r="G8" i="179" s="1"/>
  <c r="I7" i="179"/>
  <c r="F7" i="179"/>
  <c r="B7" i="179"/>
  <c r="G7" i="179" s="1"/>
  <c r="I6" i="179"/>
  <c r="F6" i="179"/>
  <c r="B6" i="179"/>
  <c r="G6" i="179" s="1"/>
  <c r="I5" i="179"/>
  <c r="F5" i="179"/>
  <c r="I4" i="179"/>
  <c r="F4" i="179"/>
  <c r="B4" i="179"/>
  <c r="E16" i="156"/>
  <c r="E13" i="156"/>
  <c r="E12" i="156"/>
  <c r="E10" i="156"/>
  <c r="E9" i="156"/>
  <c r="E5" i="156"/>
  <c r="E6" i="156"/>
  <c r="E14" i="156"/>
  <c r="E7" i="156"/>
  <c r="E15" i="156"/>
  <c r="E8" i="156"/>
  <c r="E11" i="156"/>
  <c r="G16" i="156"/>
  <c r="F16" i="156"/>
  <c r="G15" i="156"/>
  <c r="F15" i="156"/>
  <c r="G14" i="156"/>
  <c r="F14" i="156"/>
  <c r="G13" i="156"/>
  <c r="F13" i="156"/>
  <c r="G12" i="156"/>
  <c r="F12" i="156"/>
  <c r="G11" i="156"/>
  <c r="F11" i="156"/>
  <c r="G10" i="156"/>
  <c r="F10" i="156"/>
  <c r="G9" i="156"/>
  <c r="F9" i="156"/>
  <c r="G8" i="156"/>
  <c r="F8" i="156"/>
  <c r="G7" i="156"/>
  <c r="F7" i="156"/>
  <c r="G6" i="156"/>
  <c r="F6" i="156"/>
  <c r="G5" i="156"/>
  <c r="F5" i="156"/>
  <c r="V20" i="109"/>
  <c r="J32" i="109"/>
  <c r="J31" i="109"/>
  <c r="J30" i="109"/>
  <c r="J29" i="109"/>
  <c r="J28" i="109"/>
  <c r="J27" i="109"/>
  <c r="J26" i="109"/>
  <c r="J25" i="109"/>
  <c r="J24" i="109"/>
  <c r="J23" i="109"/>
  <c r="J22" i="109"/>
  <c r="J21" i="109"/>
  <c r="J20" i="109"/>
  <c r="J19" i="109"/>
  <c r="J18" i="109"/>
  <c r="J17" i="109"/>
  <c r="J16" i="109"/>
  <c r="J15" i="109"/>
  <c r="J14" i="109"/>
  <c r="J13" i="109"/>
  <c r="J12" i="109"/>
  <c r="J11" i="109"/>
  <c r="J10" i="109"/>
  <c r="J9" i="109"/>
  <c r="J8" i="109"/>
  <c r="J7" i="109"/>
  <c r="J6" i="109"/>
  <c r="J5" i="109"/>
  <c r="J4" i="109"/>
  <c r="J3" i="109"/>
  <c r="O18" i="99"/>
  <c r="F4" i="108"/>
  <c r="F3" i="108"/>
  <c r="N7" i="107"/>
  <c r="N8" i="107"/>
  <c r="N9" i="107"/>
  <c r="N10" i="107"/>
  <c r="N11" i="107"/>
  <c r="N12" i="107"/>
  <c r="N13" i="107"/>
  <c r="N14" i="107"/>
  <c r="N15" i="107"/>
  <c r="N16" i="107"/>
  <c r="N6" i="107"/>
  <c r="J26" i="107"/>
  <c r="J27" i="107" s="1"/>
  <c r="J28" i="107" s="1"/>
  <c r="J29" i="107" s="1"/>
  <c r="J30" i="107" s="1"/>
  <c r="J31" i="107" s="1"/>
  <c r="J32" i="107" s="1"/>
  <c r="J33" i="107" s="1"/>
  <c r="J34" i="107" s="1"/>
  <c r="J35" i="107" s="1"/>
  <c r="J36" i="107" s="1"/>
  <c r="G16" i="107"/>
  <c r="F14" i="107"/>
  <c r="F10" i="107"/>
  <c r="F16" i="107" s="1"/>
  <c r="R8" i="107"/>
  <c r="R7" i="107"/>
  <c r="R6" i="107"/>
  <c r="H13" i="101" a="1"/>
  <c r="K13" i="101" s="1"/>
  <c r="G4" i="179" l="1"/>
  <c r="K9" i="179" s="1" a="1"/>
  <c r="K9" i="179" s="1"/>
  <c r="K4" i="179" s="1" a="1"/>
  <c r="X18" i="179" a="1"/>
  <c r="F15" i="107"/>
  <c r="F7" i="108"/>
  <c r="R10" i="107"/>
  <c r="H11" i="156"/>
  <c r="H15" i="156"/>
  <c r="N59" i="102"/>
  <c r="P59" i="102" s="1"/>
  <c r="P58" i="102"/>
  <c r="F6" i="108"/>
  <c r="H16" i="156"/>
  <c r="H5" i="156"/>
  <c r="H10" i="156"/>
  <c r="H12" i="156"/>
  <c r="H7" i="156"/>
  <c r="H9" i="156"/>
  <c r="H6" i="156"/>
  <c r="H8" i="156"/>
  <c r="H13" i="156"/>
  <c r="H14" i="156"/>
  <c r="J17" i="101"/>
  <c r="J16" i="101"/>
  <c r="J15" i="101"/>
  <c r="J14" i="101"/>
  <c r="J13" i="101"/>
  <c r="I17" i="101"/>
  <c r="I16" i="101"/>
  <c r="I15" i="101"/>
  <c r="I14" i="101"/>
  <c r="I13" i="101"/>
  <c r="H17" i="101"/>
  <c r="H16" i="101"/>
  <c r="H15" i="101"/>
  <c r="H14" i="101"/>
  <c r="H13" i="101"/>
  <c r="K17" i="101"/>
  <c r="K16" i="101"/>
  <c r="K15" i="101"/>
  <c r="K14" i="101"/>
  <c r="I14" i="99"/>
  <c r="F14" i="99"/>
  <c r="G14" i="99"/>
  <c r="I13" i="99"/>
  <c r="G13" i="99"/>
  <c r="F13" i="99"/>
  <c r="I12" i="99"/>
  <c r="G12" i="99"/>
  <c r="F12" i="99"/>
  <c r="I11" i="99"/>
  <c r="G11" i="99"/>
  <c r="F11" i="99"/>
  <c r="I10" i="99"/>
  <c r="G10" i="99"/>
  <c r="F10" i="99"/>
  <c r="I9" i="99"/>
  <c r="G9" i="99"/>
  <c r="F9" i="99"/>
  <c r="I8" i="99"/>
  <c r="G8" i="99"/>
  <c r="F8" i="99"/>
  <c r="I7" i="99"/>
  <c r="G7" i="99"/>
  <c r="F7" i="99"/>
  <c r="I6" i="99"/>
  <c r="G6" i="99"/>
  <c r="F6" i="99"/>
  <c r="I5" i="99"/>
  <c r="G5" i="99"/>
  <c r="F5" i="99"/>
  <c r="I4" i="99"/>
  <c r="G4" i="99"/>
  <c r="F4" i="99"/>
  <c r="B17" i="98"/>
  <c r="X18" i="179" l="1"/>
  <c r="Z22" i="179"/>
  <c r="Y22" i="179"/>
  <c r="X22" i="179"/>
  <c r="Y20" i="179"/>
  <c r="X20" i="179"/>
  <c r="Z19" i="179"/>
  <c r="Y19" i="179"/>
  <c r="X19" i="179"/>
  <c r="Z18" i="179"/>
  <c r="Y18" i="179"/>
  <c r="Z21" i="179"/>
  <c r="Y21" i="179"/>
  <c r="X21" i="179"/>
  <c r="Z20" i="179"/>
  <c r="F11" i="108"/>
  <c r="K10" i="179"/>
  <c r="M10" i="179"/>
  <c r="L11" i="179"/>
  <c r="L9" i="179"/>
  <c r="M9" i="179"/>
  <c r="L10" i="179"/>
  <c r="K11" i="179"/>
  <c r="M11" i="179"/>
  <c r="E17" i="99" a="1"/>
  <c r="G18" i="99" s="1"/>
  <c r="K4" i="179"/>
  <c r="K6" i="179"/>
  <c r="S26" i="99"/>
  <c r="S27" i="99"/>
  <c r="S25" i="99"/>
  <c r="T25" i="99" s="1"/>
  <c r="K5" i="179"/>
  <c r="B15" i="98"/>
  <c r="A15" i="98"/>
  <c r="C15" i="98"/>
  <c r="F19" i="99" l="1"/>
  <c r="G17" i="99"/>
  <c r="E19" i="99"/>
  <c r="E17" i="99"/>
  <c r="F17" i="99"/>
  <c r="G19" i="99"/>
  <c r="E18" i="99"/>
  <c r="F18" i="99"/>
  <c r="T30" i="99"/>
  <c r="T31" i="99"/>
  <c r="T32" i="99"/>
  <c r="T33" i="99"/>
  <c r="T34" i="99"/>
  <c r="T35" i="99"/>
  <c r="T36" i="99"/>
  <c r="T37" i="99"/>
  <c r="T38" i="99"/>
  <c r="T39" i="99"/>
  <c r="T40" i="99"/>
  <c r="U31" i="99"/>
  <c r="U33" i="99"/>
  <c r="U35" i="99"/>
  <c r="U37" i="99"/>
  <c r="U39" i="99"/>
  <c r="U32" i="99"/>
  <c r="U40" i="99"/>
  <c r="U30" i="99"/>
  <c r="U34" i="99"/>
  <c r="U38" i="99"/>
  <c r="U36" i="99"/>
  <c r="G6" i="98" a="1"/>
  <c r="H6" i="98" s="1"/>
  <c r="H12" i="98" s="1"/>
  <c r="G16" i="98" s="1"/>
  <c r="T11" i="91"/>
  <c r="T12" i="91"/>
  <c r="T9" i="91"/>
  <c r="T8" i="91"/>
  <c r="T6" i="91"/>
  <c r="T5" i="91"/>
  <c r="P15" i="89" a="1"/>
  <c r="P15" i="89" s="1"/>
  <c r="P5" i="89" a="1"/>
  <c r="Q6" i="89" s="1"/>
  <c r="H23" i="89"/>
  <c r="H22" i="89"/>
  <c r="D7" i="89"/>
  <c r="D8" i="89"/>
  <c r="D9" i="89"/>
  <c r="D10" i="89"/>
  <c r="D11" i="89"/>
  <c r="D12" i="89"/>
  <c r="D13" i="89"/>
  <c r="D14" i="89"/>
  <c r="D15" i="89"/>
  <c r="D16" i="89"/>
  <c r="D6" i="89"/>
  <c r="E7" i="89"/>
  <c r="E8" i="89"/>
  <c r="E9" i="89"/>
  <c r="E10" i="89"/>
  <c r="E11" i="89"/>
  <c r="E12" i="89"/>
  <c r="E13" i="89"/>
  <c r="E14" i="89"/>
  <c r="E15" i="89"/>
  <c r="E16" i="89"/>
  <c r="E6" i="89"/>
  <c r="M11" i="88"/>
  <c r="J11" i="88"/>
  <c r="E10" i="88"/>
  <c r="E7" i="88"/>
  <c r="E5" i="88"/>
  <c r="E6" i="88" s="1"/>
  <c r="O4" i="86"/>
  <c r="O7" i="86"/>
  <c r="N7" i="86"/>
  <c r="O6" i="86"/>
  <c r="N6" i="86"/>
  <c r="O5" i="86"/>
  <c r="N5" i="86"/>
  <c r="N4" i="86"/>
  <c r="J6" i="84"/>
  <c r="J5" i="84"/>
  <c r="J3" i="84"/>
  <c r="E3" i="84"/>
  <c r="E11" i="84" s="1"/>
  <c r="E14" i="84" s="1"/>
  <c r="J4" i="84"/>
  <c r="E5" i="84"/>
  <c r="K22" i="83"/>
  <c r="AN5" i="83" a="1"/>
  <c r="AN5" i="83" s="1"/>
  <c r="E6" i="84"/>
  <c r="E4" i="84"/>
  <c r="AK5" i="83"/>
  <c r="K21" i="83"/>
  <c r="U22" i="83"/>
  <c r="W9" i="83" s="1"/>
  <c r="U21" i="83"/>
  <c r="AC4" i="83" s="1"/>
  <c r="AC6" i="83" s="1"/>
  <c r="V19" i="83"/>
  <c r="V18" i="83"/>
  <c r="Y18" i="83" s="1"/>
  <c r="V17" i="83"/>
  <c r="Y17" i="83" s="1"/>
  <c r="V16" i="83"/>
  <c r="V15" i="83"/>
  <c r="V14" i="83"/>
  <c r="V13" i="83"/>
  <c r="Y13" i="83" s="1"/>
  <c r="V12" i="83"/>
  <c r="V11" i="83"/>
  <c r="V10" i="83"/>
  <c r="Y10" i="83" s="1"/>
  <c r="V9" i="83"/>
  <c r="Y9" i="83" s="1"/>
  <c r="V8" i="83"/>
  <c r="V7" i="83"/>
  <c r="V6" i="83"/>
  <c r="V5" i="83"/>
  <c r="E7" i="83"/>
  <c r="E4" i="83"/>
  <c r="E3" i="83"/>
  <c r="F7" i="83" s="1"/>
  <c r="F9" i="83" s="1"/>
  <c r="E13" i="83" s="1"/>
  <c r="Q4" i="83"/>
  <c r="Q6" i="83" s="1"/>
  <c r="P4" i="83"/>
  <c r="L5" i="83"/>
  <c r="L7" i="83"/>
  <c r="L8" i="83"/>
  <c r="L9" i="83"/>
  <c r="L10" i="83"/>
  <c r="L11" i="83"/>
  <c r="L12" i="83"/>
  <c r="L13" i="83"/>
  <c r="L14" i="83"/>
  <c r="L15" i="83"/>
  <c r="L16" i="83"/>
  <c r="L17" i="83"/>
  <c r="L18" i="83"/>
  <c r="L19" i="83"/>
  <c r="L6" i="83"/>
  <c r="I21" i="81"/>
  <c r="J21" i="81"/>
  <c r="I22" i="81"/>
  <c r="J22" i="81"/>
  <c r="O12" i="81"/>
  <c r="O19" i="81" a="1"/>
  <c r="O19" i="81" s="1"/>
  <c r="O13" i="81"/>
  <c r="O14" i="81"/>
  <c r="E2" i="81"/>
  <c r="E3" i="81"/>
  <c r="J12" i="88" l="1"/>
  <c r="T13" i="91"/>
  <c r="K4" i="99" a="1"/>
  <c r="K6" i="99" s="1"/>
  <c r="F21" i="107" s="1"/>
  <c r="R4" i="83"/>
  <c r="X8" i="83"/>
  <c r="X12" i="83"/>
  <c r="X16" i="83"/>
  <c r="Q4" i="99" a="1"/>
  <c r="W13" i="99" s="1"/>
  <c r="J7" i="84"/>
  <c r="J8" i="84" s="1"/>
  <c r="E8" i="84"/>
  <c r="E9" i="84" s="1"/>
  <c r="L21" i="83"/>
  <c r="T9" i="86"/>
  <c r="T10" i="86" s="1"/>
  <c r="T11" i="86" s="1"/>
  <c r="K23" i="89"/>
  <c r="N8" i="86"/>
  <c r="N12" i="86"/>
  <c r="N15" i="86" s="1"/>
  <c r="AF6" i="83"/>
  <c r="AK6" i="83"/>
  <c r="E7" i="84"/>
  <c r="L22" i="83"/>
  <c r="X6" i="83"/>
  <c r="X14" i="83"/>
  <c r="W19" i="83"/>
  <c r="AK7" i="83"/>
  <c r="X11" i="83"/>
  <c r="X15" i="83"/>
  <c r="X19" i="83"/>
  <c r="W16" i="83"/>
  <c r="E12" i="88"/>
  <c r="M12" i="88"/>
  <c r="H8" i="98"/>
  <c r="H7" i="98"/>
  <c r="H13" i="98" s="1"/>
  <c r="G17" i="98" s="1"/>
  <c r="I7" i="98"/>
  <c r="I13" i="98" s="1"/>
  <c r="I17" i="98" s="1"/>
  <c r="G8" i="98"/>
  <c r="I8" i="98"/>
  <c r="G6" i="98"/>
  <c r="G12" i="98" s="1"/>
  <c r="F16" i="98" s="1"/>
  <c r="G7" i="98"/>
  <c r="G13" i="98" s="1"/>
  <c r="F17" i="98" s="1"/>
  <c r="I6" i="98"/>
  <c r="I12" i="98" s="1"/>
  <c r="I16" i="98" s="1"/>
  <c r="P16" i="89"/>
  <c r="P8" i="89"/>
  <c r="P6" i="89"/>
  <c r="Q9" i="89"/>
  <c r="Q7" i="89"/>
  <c r="Q5" i="89"/>
  <c r="P9" i="89"/>
  <c r="P7" i="89"/>
  <c r="P5" i="89"/>
  <c r="Q8" i="89"/>
  <c r="B19" i="89"/>
  <c r="E13" i="88"/>
  <c r="J13" i="88"/>
  <c r="O8" i="86"/>
  <c r="T12" i="86"/>
  <c r="T15" i="86" s="1"/>
  <c r="J9" i="84"/>
  <c r="J12" i="84" s="1"/>
  <c r="AN8" i="83"/>
  <c r="AN6" i="83"/>
  <c r="AO8" i="83"/>
  <c r="AO6" i="83"/>
  <c r="AO9" i="83"/>
  <c r="AO7" i="83"/>
  <c r="AO5" i="83"/>
  <c r="AN9" i="83"/>
  <c r="AN7" i="83"/>
  <c r="E4" i="81"/>
  <c r="E5" i="81" s="1"/>
  <c r="O5" i="81" s="1"/>
  <c r="W11" i="83"/>
  <c r="W5" i="83"/>
  <c r="W8" i="83"/>
  <c r="W12" i="83"/>
  <c r="E8" i="83"/>
  <c r="G8" i="83" s="1"/>
  <c r="W15" i="83"/>
  <c r="W7" i="83"/>
  <c r="Y16" i="83"/>
  <c r="W18" i="83"/>
  <c r="W14" i="83"/>
  <c r="W10" i="83"/>
  <c r="W6" i="83"/>
  <c r="X10" i="83"/>
  <c r="Y14" i="83"/>
  <c r="X18" i="83"/>
  <c r="Y6" i="83"/>
  <c r="W17" i="83"/>
  <c r="W13" i="83"/>
  <c r="Y12" i="83"/>
  <c r="X17" i="83"/>
  <c r="X13" i="83"/>
  <c r="X9" i="83"/>
  <c r="Y5" i="83"/>
  <c r="Y8" i="83"/>
  <c r="P5" i="83"/>
  <c r="R5" i="83" s="1"/>
  <c r="X5" i="83"/>
  <c r="Y19" i="83"/>
  <c r="Y15" i="83"/>
  <c r="Y11" i="83"/>
  <c r="Y7" i="83"/>
  <c r="X7" i="83"/>
  <c r="G7" i="83"/>
  <c r="O21" i="81"/>
  <c r="O20" i="81"/>
  <c r="T16" i="86" l="1"/>
  <c r="K5" i="99"/>
  <c r="F20" i="107" s="1"/>
  <c r="S11" i="99"/>
  <c r="R12" i="99"/>
  <c r="W4" i="99"/>
  <c r="R14" i="99"/>
  <c r="S12" i="99"/>
  <c r="R5" i="99"/>
  <c r="Z6" i="99"/>
  <c r="X7" i="99"/>
  <c r="W8" i="99"/>
  <c r="U9" i="99"/>
  <c r="AA9" i="99"/>
  <c r="X11" i="99"/>
  <c r="W12" i="99"/>
  <c r="U13" i="99"/>
  <c r="T14" i="99"/>
  <c r="AA4" i="99"/>
  <c r="Z7" i="99"/>
  <c r="W6" i="99"/>
  <c r="U8" i="99"/>
  <c r="R10" i="99"/>
  <c r="Z13" i="99"/>
  <c r="V4" i="99"/>
  <c r="Q12" i="99"/>
  <c r="AA12" i="99"/>
  <c r="Y13" i="99"/>
  <c r="U4" i="99"/>
  <c r="T5" i="99"/>
  <c r="R6" i="99"/>
  <c r="X6" i="99"/>
  <c r="X14" i="99"/>
  <c r="U10" i="99"/>
  <c r="T6" i="99"/>
  <c r="S9" i="99"/>
  <c r="T8" i="99"/>
  <c r="T9" i="99"/>
  <c r="X10" i="99"/>
  <c r="Y14" i="99"/>
  <c r="S6" i="99"/>
  <c r="R7" i="99"/>
  <c r="AA7" i="99"/>
  <c r="V8" i="99"/>
  <c r="S10" i="99"/>
  <c r="R11" i="99"/>
  <c r="AA11" i="99"/>
  <c r="V12" i="99"/>
  <c r="J17" i="84"/>
  <c r="Y10" i="99"/>
  <c r="X13" i="99"/>
  <c r="U12" i="99"/>
  <c r="T11" i="99"/>
  <c r="Q13" i="99"/>
  <c r="Q6" i="99"/>
  <c r="U7" i="99"/>
  <c r="V13" i="99"/>
  <c r="U14" i="99"/>
  <c r="R4" i="99"/>
  <c r="Z5" i="99"/>
  <c r="Y6" i="99"/>
  <c r="W7" i="99"/>
  <c r="R8" i="99"/>
  <c r="S13" i="99"/>
  <c r="K4" i="99"/>
  <c r="F19" i="107" s="1"/>
  <c r="N10" i="86"/>
  <c r="N11" i="86" s="1"/>
  <c r="V9" i="99"/>
  <c r="Z9" i="99"/>
  <c r="W11" i="99"/>
  <c r="Y12" i="99"/>
  <c r="V14" i="99"/>
  <c r="AA5" i="99"/>
  <c r="T13" i="99"/>
  <c r="V5" i="99"/>
  <c r="U6" i="99"/>
  <c r="S7" i="99"/>
  <c r="Y7" i="99"/>
  <c r="AA10" i="99"/>
  <c r="Z11" i="99"/>
  <c r="X12" i="99"/>
  <c r="Y4" i="99"/>
  <c r="W10" i="99"/>
  <c r="X5" i="99"/>
  <c r="V11" i="99"/>
  <c r="V6" i="99"/>
  <c r="T12" i="99"/>
  <c r="Q7" i="99"/>
  <c r="Z12" i="99"/>
  <c r="Y8" i="99"/>
  <c r="W14" i="99"/>
  <c r="X9" i="99"/>
  <c r="X4" i="99"/>
  <c r="V10" i="99"/>
  <c r="S5" i="99"/>
  <c r="Q11" i="99"/>
  <c r="AA14" i="99"/>
  <c r="Q4" i="99"/>
  <c r="K16" i="98" a="1"/>
  <c r="K17" i="98" s="1"/>
  <c r="Y11" i="99"/>
  <c r="Y5" i="99"/>
  <c r="AA6" i="99"/>
  <c r="X8" i="99"/>
  <c r="U5" i="99"/>
  <c r="V7" i="99"/>
  <c r="Z8" i="99"/>
  <c r="S14" i="99"/>
  <c r="T4" i="99"/>
  <c r="Z4" i="99"/>
  <c r="Q8" i="99"/>
  <c r="AA8" i="99"/>
  <c r="Y9" i="99"/>
  <c r="T10" i="99"/>
  <c r="R9" i="99"/>
  <c r="S4" i="99"/>
  <c r="Q10" i="99"/>
  <c r="Q5" i="99"/>
  <c r="Z10" i="99"/>
  <c r="W5" i="99"/>
  <c r="U11" i="99"/>
  <c r="T7" i="99"/>
  <c r="R13" i="99"/>
  <c r="S8" i="99"/>
  <c r="Q14" i="99"/>
  <c r="Q9" i="99"/>
  <c r="Z14" i="99"/>
  <c r="W9" i="99"/>
  <c r="AA13" i="99"/>
  <c r="E10" i="84"/>
  <c r="E12" i="84" s="1"/>
  <c r="E15" i="84" s="1"/>
  <c r="E20" i="84"/>
  <c r="E19" i="84"/>
  <c r="G20" i="98" a="1"/>
  <c r="G20" i="98" s="1"/>
  <c r="J10" i="84"/>
  <c r="J13" i="84" s="1"/>
  <c r="P22" i="89"/>
  <c r="P21" i="89"/>
  <c r="E14" i="88"/>
  <c r="M13" i="88"/>
  <c r="M15" i="88" s="1"/>
  <c r="T14" i="86"/>
  <c r="J18" i="84"/>
  <c r="O7" i="81"/>
  <c r="K5" i="81"/>
  <c r="L5" i="81" s="1"/>
  <c r="E9" i="83"/>
  <c r="G9" i="83" s="1"/>
  <c r="E11" i="83" s="1"/>
  <c r="E14" i="83" s="1"/>
  <c r="E15" i="83" s="1"/>
  <c r="X20" i="83"/>
  <c r="AB5" i="83" s="1"/>
  <c r="AD5" i="83" s="1"/>
  <c r="W20" i="83"/>
  <c r="AB4" i="83" s="1"/>
  <c r="Y20" i="83"/>
  <c r="AB6" i="83" s="1"/>
  <c r="AD6" i="83" s="1"/>
  <c r="O6" i="81"/>
  <c r="K17" i="81"/>
  <c r="L17" i="81" s="1"/>
  <c r="K18" i="81"/>
  <c r="L18" i="81" s="1"/>
  <c r="K19" i="81"/>
  <c r="L19" i="81" s="1"/>
  <c r="K6" i="81"/>
  <c r="L6" i="81" s="1"/>
  <c r="K7" i="81"/>
  <c r="L7" i="81" s="1"/>
  <c r="K8" i="81"/>
  <c r="L8" i="81" s="1"/>
  <c r="K9" i="81"/>
  <c r="L9" i="81" s="1"/>
  <c r="K10" i="81"/>
  <c r="L10" i="81" s="1"/>
  <c r="K11" i="81"/>
  <c r="L11" i="81" s="1"/>
  <c r="K12" i="81"/>
  <c r="L12" i="81" s="1"/>
  <c r="K13" i="81"/>
  <c r="L13" i="81" s="1"/>
  <c r="K14" i="81"/>
  <c r="L14" i="81" s="1"/>
  <c r="K15" i="81"/>
  <c r="L15" i="81" s="1"/>
  <c r="K16" i="81"/>
  <c r="L16" i="81" s="1"/>
  <c r="N14" i="86" l="1"/>
  <c r="N16" i="86"/>
  <c r="M4" i="99" a="1"/>
  <c r="M5" i="99" s="1"/>
  <c r="K16" i="98"/>
  <c r="M14" i="88"/>
  <c r="F31" i="107"/>
  <c r="F27" i="107"/>
  <c r="F33" i="107"/>
  <c r="F36" i="107"/>
  <c r="F30" i="107"/>
  <c r="F32" i="107"/>
  <c r="F28" i="107"/>
  <c r="F34" i="107"/>
  <c r="F29" i="107"/>
  <c r="F35" i="107"/>
  <c r="F26" i="107"/>
  <c r="G21" i="98"/>
  <c r="G19" i="98" s="1"/>
  <c r="J14" i="88"/>
  <c r="J15" i="88"/>
  <c r="E15" i="88"/>
  <c r="AD4" i="83"/>
  <c r="AF5" i="83"/>
  <c r="M6" i="99" l="1"/>
  <c r="O6" i="99" s="1"/>
  <c r="M12" i="99"/>
  <c r="A56" i="99" s="1"/>
  <c r="M10" i="99"/>
  <c r="A54" i="99" s="1"/>
  <c r="M4" i="99"/>
  <c r="O4" i="99" s="1"/>
  <c r="M9" i="99"/>
  <c r="A53" i="99" s="1"/>
  <c r="M11" i="99"/>
  <c r="A55" i="99" s="1"/>
  <c r="M14" i="99"/>
  <c r="O14" i="99" s="1"/>
  <c r="M7" i="99"/>
  <c r="A51" i="99" s="1"/>
  <c r="M13" i="99"/>
  <c r="A57" i="99" s="1"/>
  <c r="M8" i="99"/>
  <c r="O8" i="99" s="1"/>
  <c r="H59" i="107"/>
  <c r="L59" i="107" s="1"/>
  <c r="G27" i="107"/>
  <c r="O7" i="107"/>
  <c r="A50" i="99"/>
  <c r="H66" i="107"/>
  <c r="L66" i="107" s="1"/>
  <c r="G34" i="107"/>
  <c r="O14" i="107"/>
  <c r="H68" i="107"/>
  <c r="L68" i="107" s="1"/>
  <c r="G36" i="107"/>
  <c r="O16" i="107"/>
  <c r="H67" i="107"/>
  <c r="L67" i="107" s="1"/>
  <c r="G35" i="107"/>
  <c r="O15" i="107"/>
  <c r="H64" i="107"/>
  <c r="L64" i="107" s="1"/>
  <c r="G32" i="107"/>
  <c r="O12" i="107"/>
  <c r="H61" i="107"/>
  <c r="L61" i="107" s="1"/>
  <c r="G29" i="107"/>
  <c r="O9" i="107"/>
  <c r="G30" i="107"/>
  <c r="H62" i="107"/>
  <c r="L62" i="107" s="1"/>
  <c r="O10" i="107"/>
  <c r="H63" i="107"/>
  <c r="L63" i="107" s="1"/>
  <c r="G31" i="107"/>
  <c r="O11" i="107"/>
  <c r="H58" i="107"/>
  <c r="L58" i="107" s="1"/>
  <c r="G26" i="107"/>
  <c r="O6" i="107"/>
  <c r="H60" i="107"/>
  <c r="L60" i="107" s="1"/>
  <c r="G28" i="107"/>
  <c r="O8" i="107"/>
  <c r="H65" i="107"/>
  <c r="L65" i="107" s="1"/>
  <c r="G33" i="107"/>
  <c r="O13" i="107"/>
  <c r="A49" i="99"/>
  <c r="O5" i="99"/>
  <c r="O10" i="99" l="1"/>
  <c r="O11" i="99"/>
  <c r="A48" i="99"/>
  <c r="A58" i="99"/>
  <c r="A52" i="99"/>
  <c r="O13" i="99"/>
  <c r="O9" i="99"/>
  <c r="O12" i="99"/>
  <c r="O7" i="99"/>
  <c r="G14" i="107"/>
  <c r="O17" i="107"/>
  <c r="F5" i="108" s="1"/>
  <c r="F9" i="108" s="1"/>
  <c r="F10" i="108" s="1"/>
  <c r="F12" i="108" s="1"/>
  <c r="G45" i="107"/>
  <c r="J45" i="107" s="1"/>
  <c r="H29" i="107"/>
  <c r="G42" i="107"/>
  <c r="J42" i="107" s="1"/>
  <c r="H26" i="107"/>
  <c r="G48" i="107"/>
  <c r="J48" i="107" s="1"/>
  <c r="H32" i="107"/>
  <c r="G50" i="107"/>
  <c r="J50" i="107" s="1"/>
  <c r="H34" i="107"/>
  <c r="G49" i="107"/>
  <c r="J49" i="107" s="1"/>
  <c r="H33" i="107"/>
  <c r="G43" i="107"/>
  <c r="J43" i="107" s="1"/>
  <c r="H27" i="107"/>
  <c r="G51" i="107"/>
  <c r="J51" i="107" s="1"/>
  <c r="H35" i="107"/>
  <c r="G44" i="107"/>
  <c r="J44" i="107" s="1"/>
  <c r="H28" i="107"/>
  <c r="G47" i="107"/>
  <c r="J47" i="107" s="1"/>
  <c r="H31" i="107"/>
  <c r="G46" i="107"/>
  <c r="J46" i="107" s="1"/>
  <c r="H30" i="107"/>
  <c r="G52" i="107"/>
  <c r="J52" i="107" s="1"/>
  <c r="H36" i="107"/>
  <c r="G15" i="107" l="1"/>
  <c r="H15" i="107" s="1"/>
  <c r="G20" i="107" s="1"/>
  <c r="F7" i="107"/>
  <c r="F6" i="107" s="1"/>
  <c r="O17" i="99"/>
  <c r="O19" i="99" s="1"/>
  <c r="I17" i="99" s="1" a="1"/>
  <c r="I19" i="99" s="1"/>
  <c r="H14" i="107"/>
  <c r="G21" i="107" l="1"/>
  <c r="J21" i="107" s="1"/>
  <c r="F9" i="107"/>
  <c r="G19" i="107"/>
  <c r="H19" i="107" s="1"/>
  <c r="I19" i="107" s="1"/>
  <c r="I14" i="107"/>
  <c r="J14" i="107" s="1"/>
  <c r="AC4" i="99" a="1"/>
  <c r="AC8" i="99" s="1"/>
  <c r="B52" i="99" s="1"/>
  <c r="J18" i="99"/>
  <c r="K10" i="99" s="1"/>
  <c r="I18" i="99"/>
  <c r="J17" i="99"/>
  <c r="K17" i="99"/>
  <c r="I17" i="99"/>
  <c r="K9" i="99" s="1"/>
  <c r="J19" i="99"/>
  <c r="K19" i="99"/>
  <c r="K11" i="99" s="1"/>
  <c r="K18" i="99"/>
  <c r="F8" i="107"/>
  <c r="O19" i="107"/>
  <c r="J20" i="107"/>
  <c r="K20" i="107"/>
  <c r="H20" i="107"/>
  <c r="I20" i="107" s="1"/>
  <c r="K21" i="107" l="1"/>
  <c r="H21" i="107"/>
  <c r="I21" i="107" s="1"/>
  <c r="AC10" i="99"/>
  <c r="B54" i="99" s="1"/>
  <c r="J19" i="107"/>
  <c r="K19" i="107"/>
  <c r="AC11" i="99"/>
  <c r="B55" i="99" s="1"/>
  <c r="AC14" i="99"/>
  <c r="B58" i="99" s="1"/>
  <c r="AC9" i="99"/>
  <c r="B53" i="99" s="1"/>
  <c r="AC13" i="99"/>
  <c r="B57" i="99" s="1"/>
  <c r="AC12" i="99"/>
  <c r="B56" i="99" s="1"/>
  <c r="AC6" i="99"/>
  <c r="B50" i="99" s="1"/>
  <c r="AC5" i="99"/>
  <c r="B49" i="99" s="1"/>
  <c r="AC7" i="99"/>
  <c r="B51" i="99" s="1"/>
  <c r="AC4" i="99"/>
  <c r="B48" i="99" s="1"/>
  <c r="B27" i="99" l="1"/>
  <c r="B26" i="99"/>
  <c r="B25" i="99"/>
  <c r="C25" i="99" s="1"/>
  <c r="C32" i="99" s="1"/>
  <c r="D38" i="99" l="1"/>
  <c r="D35" i="99"/>
  <c r="D40" i="99"/>
  <c r="D37" i="99"/>
  <c r="D32" i="99"/>
  <c r="D30" i="99"/>
  <c r="D31" i="99"/>
  <c r="D39" i="99"/>
  <c r="D36" i="99"/>
  <c r="D33" i="99"/>
  <c r="D34" i="99"/>
  <c r="C36" i="99"/>
  <c r="C38" i="99"/>
  <c r="C30" i="99"/>
  <c r="C31" i="99"/>
  <c r="C40" i="99"/>
  <c r="C35" i="99"/>
  <c r="C39" i="99"/>
  <c r="C37" i="99"/>
  <c r="C33" i="99"/>
  <c r="C34" i="99"/>
  <c r="M6" i="83" l="1"/>
  <c r="M18" i="83"/>
  <c r="M13" i="83"/>
  <c r="M16" i="83"/>
  <c r="M9" i="83"/>
  <c r="M14" i="83"/>
  <c r="M11" i="83"/>
  <c r="M12" i="83"/>
  <c r="M10" i="83"/>
  <c r="M15" i="83"/>
  <c r="M19" i="83"/>
  <c r="M7" i="83"/>
  <c r="M8" i="83"/>
  <c r="M17" i="83"/>
  <c r="M5" i="83"/>
  <c r="M21" i="83" l="1"/>
  <c r="M22" i="83"/>
  <c r="P6" i="83"/>
  <c r="R6" i="83" s="1"/>
  <c r="J14" i="606" l="1"/>
  <c r="H7" i="606"/>
  <c r="H6" i="606" s="1"/>
  <c r="I15" i="606"/>
  <c r="J15" i="606" s="1"/>
  <c r="H9" i="606" s="1"/>
  <c r="F15" i="607"/>
  <c r="G15" i="607" s="1"/>
  <c r="E9" i="607" s="1"/>
  <c r="G14" i="607"/>
  <c r="E7" i="607"/>
  <c r="E8" i="607" s="1"/>
  <c r="H8" i="606" l="1"/>
  <c r="P8" i="606"/>
  <c r="Q11" i="606" s="1" a="1"/>
  <c r="Q11" i="606" s="1"/>
  <c r="M8" i="607"/>
  <c r="N11" i="607" s="1" a="1"/>
  <c r="N11" i="607" s="1"/>
  <c r="E6" i="607"/>
  <c r="K14" i="606"/>
  <c r="L14" i="606" s="1"/>
  <c r="M14" i="606" s="1"/>
  <c r="H14" i="607"/>
  <c r="I14" i="607" s="1"/>
  <c r="J14" i="607" s="1"/>
  <c r="M11" i="607" l="1" a="1"/>
  <c r="M11" i="607" s="1"/>
  <c r="M13" i="607" s="1"/>
  <c r="Q8" i="606"/>
  <c r="P11" i="606" a="1"/>
  <c r="P11" i="606" s="1"/>
  <c r="P12" i="606" s="1"/>
  <c r="N8" i="607"/>
  <c r="Q12" i="606"/>
  <c r="Q13" i="606"/>
  <c r="N13" i="607"/>
  <c r="N12" i="607"/>
  <c r="M12" i="607" l="1"/>
  <c r="P13" i="606"/>
  <c r="H14" i="617" l="1"/>
  <c r="F7" i="617"/>
  <c r="G15" i="617"/>
  <c r="N18" i="617"/>
  <c r="N17" i="617" l="1"/>
  <c r="N19" i="617" s="1"/>
  <c r="H15" i="617"/>
  <c r="F9" i="617" s="1"/>
  <c r="N8" i="617"/>
  <c r="N9" i="617" s="1"/>
  <c r="N10" i="617" s="1"/>
  <c r="F8" i="617"/>
  <c r="F6" i="617"/>
  <c r="N15" i="617" l="1"/>
  <c r="I14" i="617"/>
  <c r="J14" i="617" s="1"/>
  <c r="K14" i="617" s="1"/>
  <c r="K47" i="431" l="1"/>
  <c r="L47" i="431" s="1"/>
  <c r="J41" i="431" s="1"/>
  <c r="L46" i="431"/>
  <c r="J39" i="431"/>
  <c r="J40" i="431" s="1"/>
  <c r="J9" i="431"/>
  <c r="L16" i="431"/>
  <c r="K17" i="431"/>
  <c r="L17" i="431" s="1"/>
  <c r="J11" i="431" s="1"/>
  <c r="M16" i="431" l="1"/>
  <c r="N16" i="431" s="1"/>
  <c r="O16" i="431" s="1"/>
  <c r="M46" i="431"/>
  <c r="N46" i="431" s="1"/>
  <c r="O46" i="431" s="1"/>
  <c r="J38" i="431"/>
  <c r="J8" i="431"/>
  <c r="J10" i="431"/>
  <c r="K5" i="719" l="1"/>
  <c r="L13" i="719"/>
  <c r="M12" i="719"/>
  <c r="H5" i="721"/>
  <c r="I13" i="721"/>
  <c r="J12" i="721"/>
  <c r="T5" i="719"/>
  <c r="V12" i="719"/>
  <c r="U13" i="719"/>
  <c r="H32" i="717"/>
  <c r="G33" i="717"/>
  <c r="F25" i="717"/>
  <c r="I24" i="717" l="1"/>
  <c r="I25" i="717" s="1"/>
  <c r="I26" i="717"/>
  <c r="H33" i="717"/>
  <c r="F27" i="717" s="1"/>
  <c r="T4" i="719"/>
  <c r="T6" i="719"/>
  <c r="M13" i="719"/>
  <c r="K7" i="719" s="1"/>
  <c r="N6" i="719"/>
  <c r="N4" i="719"/>
  <c r="N5" i="719" s="1"/>
  <c r="F24" i="717"/>
  <c r="F26" i="717"/>
  <c r="H4" i="721"/>
  <c r="H6" i="721"/>
  <c r="V13" i="719"/>
  <c r="T7" i="719" s="1"/>
  <c r="W6" i="719"/>
  <c r="W4" i="719"/>
  <c r="W5" i="719" s="1"/>
  <c r="K6" i="721"/>
  <c r="K4" i="721"/>
  <c r="K5" i="721" s="1"/>
  <c r="J13" i="721"/>
  <c r="H7" i="721" s="1"/>
  <c r="K6" i="719"/>
  <c r="K4" i="719"/>
  <c r="N12" i="719" l="1"/>
  <c r="O12" i="719" s="1"/>
  <c r="P12" i="719" s="1"/>
  <c r="K12" i="721"/>
  <c r="L12" i="721" s="1"/>
  <c r="M12" i="721" s="1"/>
  <c r="I32" i="717"/>
  <c r="J32" i="717" s="1"/>
  <c r="K32" i="717" s="1"/>
  <c r="W12" i="719"/>
  <c r="X12" i="719" s="1"/>
  <c r="Y12" i="719" s="1"/>
  <c r="N13" i="650" l="1"/>
  <c r="M5" i="650"/>
  <c r="O12" i="650"/>
  <c r="M29" i="650"/>
  <c r="N37" i="650"/>
  <c r="O36" i="650"/>
  <c r="G15" i="427"/>
  <c r="H14" i="427"/>
  <c r="F7" i="427"/>
  <c r="F6" i="427" l="1"/>
  <c r="F8" i="427"/>
  <c r="O37" i="650"/>
  <c r="M31" i="650" s="1"/>
  <c r="P30" i="650"/>
  <c r="P28" i="650"/>
  <c r="P29" i="650" s="1"/>
  <c r="O13" i="650"/>
  <c r="M7" i="650" s="1"/>
  <c r="P6" i="650"/>
  <c r="P4" i="650"/>
  <c r="P5" i="650" s="1"/>
  <c r="M28" i="650"/>
  <c r="M30" i="650"/>
  <c r="I6" i="427"/>
  <c r="I7" i="427" s="1"/>
  <c r="I8" i="427"/>
  <c r="H15" i="427"/>
  <c r="F9" i="427" s="1"/>
  <c r="M4" i="650"/>
  <c r="M6" i="650"/>
  <c r="P12" i="650" l="1"/>
  <c r="Q12" i="650" s="1"/>
  <c r="R12" i="650" s="1"/>
  <c r="P36" i="650"/>
  <c r="Q36" i="650" s="1"/>
  <c r="R36" i="650" s="1"/>
  <c r="I14" i="427"/>
  <c r="J14" i="427" s="1"/>
  <c r="K14" i="427" s="1"/>
  <c r="P38" i="719" l="1"/>
  <c r="M37" i="719"/>
  <c r="N37" i="719" s="1"/>
  <c r="L32" i="719"/>
  <c r="K25" i="719" s="1"/>
  <c r="O37" i="719"/>
  <c r="P37" i="719"/>
  <c r="O38" i="719"/>
  <c r="M38" i="719"/>
  <c r="N38" i="719" s="1"/>
  <c r="M32" i="719"/>
  <c r="L33" i="719" l="1"/>
  <c r="N24" i="719" s="1"/>
  <c r="N25" i="719" s="1"/>
  <c r="K24" i="719"/>
  <c r="K26" i="719"/>
  <c r="N26" i="719" l="1"/>
  <c r="M33" i="719"/>
  <c r="K27" i="719" s="1"/>
  <c r="N32" i="719" l="1"/>
  <c r="O32" i="719" s="1"/>
  <c r="P32" i="719" s="1"/>
  <c r="W15" i="769" l="1"/>
  <c r="V7" i="769"/>
  <c r="X14" i="769"/>
  <c r="U8" i="770"/>
  <c r="V16" i="770"/>
  <c r="W15" i="770"/>
  <c r="I14" i="777"/>
  <c r="G7" i="777"/>
  <c r="H15" i="777"/>
  <c r="I15" i="777" l="1"/>
  <c r="G9" i="777" s="1"/>
  <c r="J8" i="777"/>
  <c r="L8" i="777" s="1"/>
  <c r="J6" i="777"/>
  <c r="V8" i="769"/>
  <c r="V6" i="769"/>
  <c r="G6" i="777"/>
  <c r="G8" i="777"/>
  <c r="W16" i="770"/>
  <c r="U10" i="770" s="1"/>
  <c r="X7" i="770"/>
  <c r="X8" i="770" s="1"/>
  <c r="X9" i="770"/>
  <c r="X15" i="769"/>
  <c r="V9" i="769" s="1"/>
  <c r="Y6" i="769"/>
  <c r="Y7" i="769" s="1"/>
  <c r="Y8" i="769"/>
  <c r="U7" i="770"/>
  <c r="U9" i="770"/>
  <c r="J14" i="777" l="1"/>
  <c r="K14" i="777" s="1"/>
  <c r="L14" i="777" s="1"/>
  <c r="X15" i="770"/>
  <c r="Y15" i="770" s="1"/>
  <c r="Z15" i="770" s="1"/>
  <c r="Y14" i="769"/>
  <c r="Z14" i="769" s="1"/>
  <c r="AA14" i="769" s="1"/>
  <c r="L6" i="777"/>
  <c r="J7" i="777"/>
  <c r="Q31" i="784" l="1"/>
  <c r="R31" i="784" l="1"/>
  <c r="S31" i="784"/>
  <c r="P31" i="784"/>
</calcChain>
</file>

<file path=xl/sharedStrings.xml><?xml version="1.0" encoding="utf-8"?>
<sst xmlns="http://schemas.openxmlformats.org/spreadsheetml/2006/main" count="5925" uniqueCount="1076">
  <si>
    <t>Table of Contents</t>
  </si>
  <si>
    <t>Total</t>
  </si>
  <si>
    <t>Age</t>
  </si>
  <si>
    <t>Income</t>
  </si>
  <si>
    <t>x</t>
  </si>
  <si>
    <t>mean</t>
  </si>
  <si>
    <t>var</t>
  </si>
  <si>
    <t>stdev</t>
  </si>
  <si>
    <t>Mean</t>
  </si>
  <si>
    <t>Standard Error</t>
  </si>
  <si>
    <t>Sum</t>
  </si>
  <si>
    <t>Count</t>
  </si>
  <si>
    <t>Descriptive Statistics</t>
  </si>
  <si>
    <t>lower</t>
  </si>
  <si>
    <t>upper</t>
  </si>
  <si>
    <t>n</t>
  </si>
  <si>
    <t>Alpha</t>
  </si>
  <si>
    <t>Score</t>
  </si>
  <si>
    <t>a</t>
  </si>
  <si>
    <t>b</t>
  </si>
  <si>
    <t>d</t>
  </si>
  <si>
    <t>α</t>
  </si>
  <si>
    <t>Q1</t>
  </si>
  <si>
    <t>k</t>
  </si>
  <si>
    <t>Subject</t>
  </si>
  <si>
    <t>Std Dev</t>
  </si>
  <si>
    <t>df</t>
  </si>
  <si>
    <t>t stat</t>
  </si>
  <si>
    <t>SUMMARY</t>
  </si>
  <si>
    <t>t</t>
  </si>
  <si>
    <t>p-value</t>
  </si>
  <si>
    <t>t-crit</t>
  </si>
  <si>
    <t>QQ Tables</t>
  </si>
  <si>
    <t>Interval</t>
  </si>
  <si>
    <t>Data</t>
  </si>
  <si>
    <t>Std Data</t>
  </si>
  <si>
    <t>New</t>
  </si>
  <si>
    <t>Old</t>
  </si>
  <si>
    <t>std dev</t>
  </si>
  <si>
    <t>t-Test: Two-Sample Assuming Equal Variances</t>
  </si>
  <si>
    <t>Groups</t>
  </si>
  <si>
    <t>Variance</t>
  </si>
  <si>
    <t>Observations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</si>
  <si>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</si>
  <si>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</si>
  <si>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</si>
  <si>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</si>
  <si>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</si>
  <si>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</si>
  <si>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</si>
  <si>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t-Test: Two-Sample Assuming Unequal Variances</t>
  </si>
  <si>
    <t>Person</t>
  </si>
  <si>
    <t>p</t>
  </si>
  <si>
    <t>alpha</t>
  </si>
  <si>
    <t>Female</t>
  </si>
  <si>
    <t>Obs</t>
  </si>
  <si>
    <t>P-value</t>
  </si>
  <si>
    <t>r</t>
  </si>
  <si>
    <t>Effect size</t>
  </si>
  <si>
    <t>Male</t>
  </si>
  <si>
    <t>B</t>
  </si>
  <si>
    <t>C</t>
  </si>
  <si>
    <t>E</t>
  </si>
  <si>
    <t>F</t>
  </si>
  <si>
    <t>Rows</t>
  </si>
  <si>
    <t>y</t>
  </si>
  <si>
    <t>Poverty</t>
  </si>
  <si>
    <t>Infant Mort</t>
  </si>
  <si>
    <t>White</t>
  </si>
  <si>
    <t>Crime</t>
  </si>
  <si>
    <t>Doctors</t>
  </si>
  <si>
    <t>Traf Deaths</t>
  </si>
  <si>
    <t>University</t>
  </si>
  <si>
    <t>Unemployed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</si>
  <si>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</si>
  <si>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</si>
  <si>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</si>
  <si>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</si>
  <si>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</si>
  <si>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</si>
  <si>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</si>
  <si>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</si>
  <si>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</si>
  <si>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</si>
  <si>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</si>
  <si>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</si>
  <si>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</si>
  <si>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</si>
  <si>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</si>
  <si>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</si>
  <si>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</si>
  <si>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</si>
  <si>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</si>
  <si>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</si>
  <si>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</si>
  <si>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</si>
  <si>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</si>
  <si>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</si>
  <si>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</si>
  <si>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</si>
  <si>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</si>
  <si>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</si>
  <si>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</si>
  <si>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</si>
  <si>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</si>
  <si>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</si>
  <si>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</si>
  <si>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</si>
  <si>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</si>
  <si>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</si>
  <si>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</si>
  <si>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</si>
  <si>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</si>
  <si>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</si>
  <si>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</si>
  <si>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</si>
  <si>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</si>
  <si>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</si>
  <si>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</si>
  <si>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</si>
  <si>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</si>
  <si>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</si>
  <si>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</si>
  <si>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</si>
  <si>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Poverty - % below poverty level</t>
  </si>
  <si>
    <t>Infant Mort - infant mortality per 1,000 births, death prior to 1 yr, excludes fetal death, residents only</t>
  </si>
  <si>
    <t>White - % of the population that is white</t>
  </si>
  <si>
    <t>Crime - violent crime (murder, forcible rape, robbery, and aggravated assault) per 100,000 people</t>
  </si>
  <si>
    <t>Doctors - # doctors per 100,000 residents, excludes some categories of doctors</t>
  </si>
  <si>
    <t>Traf Deaths - # of traffic fatalities per 100 million vehicle miles</t>
  </si>
  <si>
    <t>University - % of residents 25 yrs or older with at least a bachelor's degree</t>
  </si>
  <si>
    <t>Unemployment - % of civilian labor force</t>
  </si>
  <si>
    <t>Income - median household income</t>
  </si>
  <si>
    <t>A</t>
  </si>
  <si>
    <t>Life Exp</t>
  </si>
  <si>
    <t>Std Norm</t>
  </si>
  <si>
    <t>=COUNT(A4:A18)</t>
  </si>
  <si>
    <t>SS</t>
  </si>
  <si>
    <t>Regression</t>
  </si>
  <si>
    <t>cov(x,y)</t>
  </si>
  <si>
    <t>varp(x)</t>
  </si>
  <si>
    <t>slope b</t>
  </si>
  <si>
    <t>intercept a</t>
  </si>
  <si>
    <t>Cig (x)</t>
  </si>
  <si>
    <t>Life Exp (y)</t>
  </si>
  <si>
    <t>Prediction</t>
  </si>
  <si>
    <t>ŷ</t>
  </si>
  <si>
    <t>Life Exp (ŷ)</t>
  </si>
  <si>
    <t>=COVAR(A4:A18,B4:B18)</t>
  </si>
  <si>
    <t>=VARP(A4:A18)</t>
  </si>
  <si>
    <t>=E2/E3</t>
  </si>
  <si>
    <t>=AVERAGE(B4:B18)-E4*AVERAGE(A4:A18)</t>
  </si>
  <si>
    <t>Prediction using TREND</t>
  </si>
  <si>
    <t>Prediction using FORECAST</t>
  </si>
  <si>
    <t>Prediction using y = a + b * x</t>
  </si>
  <si>
    <t>Error (e)</t>
  </si>
  <si>
    <t>MS</t>
  </si>
  <si>
    <t>T</t>
  </si>
  <si>
    <t>Reg</t>
  </si>
  <si>
    <t>Res</t>
  </si>
  <si>
    <t>Regression Testing</t>
  </si>
  <si>
    <t>mean y</t>
  </si>
  <si>
    <t>F-crit</t>
  </si>
  <si>
    <t>Alternative 1</t>
  </si>
  <si>
    <t>Alternative 2</t>
  </si>
  <si>
    <t>=G8/G9</t>
  </si>
  <si>
    <t>=FINV(E12,F8,F9)</t>
  </si>
  <si>
    <t>=FDIST(E11,F8,F9)</t>
  </si>
  <si>
    <t>=IF(E14&lt;E12,"yes","no")</t>
  </si>
  <si>
    <t>Alternative ways to calculate SS-Res</t>
  </si>
  <si>
    <t>=AB4-AB5</t>
  </si>
  <si>
    <t>=SUMXMY2(U5:U19,V5:V19)</t>
  </si>
  <si>
    <t>Correlations</t>
  </si>
  <si>
    <t>x and ŷ</t>
  </si>
  <si>
    <t>y and ŷ</t>
  </si>
  <si>
    <t>x and y</t>
  </si>
  <si>
    <r>
      <t>s</t>
    </r>
    <r>
      <rPr>
        <vertAlign val="subscript"/>
        <sz val="11"/>
        <color theme="1"/>
        <rFont val="Calibri"/>
        <family val="2"/>
        <scheme val="minor"/>
      </rPr>
      <t>Res</t>
    </r>
  </si>
  <si>
    <r>
      <t>s</t>
    </r>
    <r>
      <rPr>
        <vertAlign val="subscript"/>
        <sz val="11"/>
        <color theme="1"/>
        <rFont val="Calibri"/>
        <family val="2"/>
        <scheme val="minor"/>
      </rPr>
      <t>x</t>
    </r>
  </si>
  <si>
    <r>
      <t>s</t>
    </r>
    <r>
      <rPr>
        <vertAlign val="subscript"/>
        <sz val="11"/>
        <color theme="1"/>
        <rFont val="Calibri"/>
        <family val="2"/>
        <scheme val="minor"/>
      </rPr>
      <t>b</t>
    </r>
  </si>
  <si>
    <r>
      <t>s</t>
    </r>
    <r>
      <rPr>
        <vertAlign val="subscript"/>
        <sz val="11"/>
        <color theme="1"/>
        <rFont val="Calibri"/>
        <family val="2"/>
        <scheme val="minor"/>
      </rPr>
      <t>y</t>
    </r>
  </si>
  <si>
    <r>
      <t>s</t>
    </r>
    <r>
      <rPr>
        <vertAlign val="subscript"/>
        <sz val="11"/>
        <color theme="1"/>
        <rFont val="Calibri"/>
        <family val="2"/>
        <scheme val="minor"/>
      </rPr>
      <t>y</t>
    </r>
    <r>
      <rPr>
        <vertAlign val="subscript"/>
        <sz val="11"/>
        <color theme="1"/>
        <rFont val="Calibri"/>
        <family val="2"/>
      </rPr>
      <t>∙</t>
    </r>
    <r>
      <rPr>
        <vertAlign val="subscript"/>
        <sz val="11"/>
        <color theme="1"/>
        <rFont val="Calibri"/>
        <family val="2"/>
        <scheme val="minor"/>
      </rPr>
      <t>x</t>
    </r>
  </si>
  <si>
    <t>=CORREL(A4:A18,B4:B18)</t>
  </si>
  <si>
    <t>=STDEV(A4:A18)</t>
  </si>
  <si>
    <t>=STDEV(B4:B18)</t>
  </si>
  <si>
    <t>Confidence interval</t>
  </si>
  <si>
    <t>Test the slope of the regression line</t>
  </si>
  <si>
    <t>=E4*E6/E5</t>
  </si>
  <si>
    <t>=E6*SQRT((1-E4^2)*(E3-1)/(E3-2))</t>
  </si>
  <si>
    <t>=E8/(E5*SQRT(E3-1))</t>
  </si>
  <si>
    <t>=E7/E9</t>
  </si>
  <si>
    <t>=E3-2</t>
  </si>
  <si>
    <t>=TDIST(ABS(E10),E11,2)</t>
  </si>
  <si>
    <t>=TINV(0.05,E11)</t>
  </si>
  <si>
    <t>=IF(E12&lt;E13,"yes","no")</t>
  </si>
  <si>
    <t>=E7-E14*E9</t>
  </si>
  <si>
    <t>=E7+E14*E9</t>
  </si>
  <si>
    <t>Use of LINEST</t>
  </si>
  <si>
    <t>Slope (b)</t>
  </si>
  <si>
    <t>Intercept (a)</t>
  </si>
  <si>
    <r>
      <t>S.E. of slope (s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)</t>
    </r>
  </si>
  <si>
    <r>
      <t>S.E. of intercept (s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)</t>
    </r>
  </si>
  <si>
    <t>R Square</t>
  </si>
  <si>
    <r>
      <t>S.E. of estimate (s</t>
    </r>
    <r>
      <rPr>
        <vertAlign val="subscript"/>
        <sz val="11"/>
        <color theme="1"/>
        <rFont val="Calibri"/>
        <family val="2"/>
        <scheme val="minor"/>
      </rPr>
      <t>Res</t>
    </r>
    <r>
      <rPr>
        <sz val="11"/>
        <color theme="1"/>
        <rFont val="Calibri"/>
        <family val="2"/>
        <scheme val="minor"/>
      </rPr>
      <t>)</t>
    </r>
  </si>
  <si>
    <r>
      <t>df</t>
    </r>
    <r>
      <rPr>
        <vertAlign val="subscript"/>
        <sz val="11"/>
        <color theme="1"/>
        <rFont val="Calibri"/>
        <family val="2"/>
        <scheme val="minor"/>
      </rPr>
      <t>Res</t>
    </r>
  </si>
  <si>
    <r>
      <t>SS</t>
    </r>
    <r>
      <rPr>
        <vertAlign val="subscript"/>
        <sz val="11"/>
        <color theme="1"/>
        <rFont val="Calibri"/>
        <family val="2"/>
        <scheme val="minor"/>
      </rPr>
      <t>Reg</t>
    </r>
  </si>
  <si>
    <r>
      <t>SS</t>
    </r>
    <r>
      <rPr>
        <vertAlign val="subscript"/>
        <sz val="11"/>
        <color theme="1"/>
        <rFont val="Calibri"/>
        <family val="2"/>
        <scheme val="minor"/>
      </rPr>
      <t>Res</t>
    </r>
  </si>
  <si>
    <t>SUMMARY OUTPUT</t>
  </si>
  <si>
    <t>Regression Statistics</t>
  </si>
  <si>
    <t>Multiple R</t>
  </si>
  <si>
    <t>Adjusted R Square</t>
  </si>
  <si>
    <t>ANOVA</t>
  </si>
  <si>
    <t>Residual</t>
  </si>
  <si>
    <t>Intercept</t>
  </si>
  <si>
    <t>Significance F</t>
  </si>
  <si>
    <t>Coefficients</t>
  </si>
  <si>
    <t>Lower 95%</t>
  </si>
  <si>
    <t>Upper 95%</t>
  </si>
  <si>
    <t>RESIDUAL OUTPUT</t>
  </si>
  <si>
    <t>Observation</t>
  </si>
  <si>
    <t>Residuals</t>
  </si>
  <si>
    <t>Standard Residuals</t>
  </si>
  <si>
    <t>PROBABILITY OUTPUT</t>
  </si>
  <si>
    <t>Percentile</t>
  </si>
  <si>
    <t>Predicted Life Exp</t>
  </si>
  <si>
    <t>Comparison of two slopes</t>
  </si>
  <si>
    <r>
      <t>s</t>
    </r>
    <r>
      <rPr>
        <vertAlign val="subscript"/>
        <sz val="11"/>
        <color theme="1"/>
        <rFont val="Calibri"/>
        <family val="2"/>
        <scheme val="minor"/>
      </rPr>
      <t>b1-b2</t>
    </r>
  </si>
  <si>
    <t>= TINV(0.05,df)</t>
  </si>
  <si>
    <t>Using pooled error variance</t>
  </si>
  <si>
    <r>
      <t>s</t>
    </r>
    <r>
      <rPr>
        <vertAlign val="subscript"/>
        <sz val="11"/>
        <color theme="1"/>
        <rFont val="Calibri"/>
        <family val="2"/>
        <scheme val="minor"/>
      </rPr>
      <t>Res</t>
    </r>
    <r>
      <rPr>
        <vertAlign val="superscript"/>
        <sz val="11"/>
        <color theme="1"/>
        <rFont val="Calibri"/>
        <family val="2"/>
        <scheme val="minor"/>
      </rPr>
      <t>2</t>
    </r>
  </si>
  <si>
    <t>=SLOPE(B4:B18,A4:A18)</t>
  </si>
  <si>
    <t>=STEYX(B4:B18,A4:A18)</t>
  </si>
  <si>
    <t>=J6/(J4*SQRT(J3-1))</t>
  </si>
  <si>
    <t>=J5/J7</t>
  </si>
  <si>
    <t>=J3-2</t>
  </si>
  <si>
    <t>=TDIST(ABS(J8),J9,2)</t>
  </si>
  <si>
    <t>=TINV(0.05,J9)</t>
  </si>
  <si>
    <t>=IF(J10&lt;J11,"yes","no")</t>
  </si>
  <si>
    <t>=J5-J12*J7</t>
  </si>
  <si>
    <t>=J5+J12*J7</t>
  </si>
  <si>
    <t>Testing two slopes</t>
  </si>
  <si>
    <t>Men</t>
  </si>
  <si>
    <t>Women</t>
  </si>
  <si>
    <t>=SLOPE(y,x)</t>
  </si>
  <si>
    <t>=STEYX(y,x)</t>
  </si>
  <si>
    <t>=STDEV(x)</t>
  </si>
  <si>
    <r>
      <t>s</t>
    </r>
    <r>
      <rPr>
        <vertAlign val="subscript"/>
        <sz val="11"/>
        <color theme="1"/>
        <rFont val="Calibri"/>
        <family val="2"/>
        <scheme val="minor"/>
      </rPr>
      <t>y</t>
    </r>
    <r>
      <rPr>
        <vertAlign val="subscript"/>
        <sz val="11"/>
        <color theme="1"/>
        <rFont val="Calibri"/>
        <family val="2"/>
      </rPr>
      <t>∙x</t>
    </r>
  </si>
  <si>
    <r>
      <t>= s</t>
    </r>
    <r>
      <rPr>
        <vertAlign val="subscript"/>
        <sz val="11"/>
        <color theme="1"/>
        <rFont val="Calibri"/>
        <family val="2"/>
        <scheme val="minor"/>
      </rPr>
      <t>y∙x</t>
    </r>
    <r>
      <rPr>
        <sz val="11"/>
        <color theme="1"/>
        <rFont val="Calibri"/>
        <family val="2"/>
        <scheme val="minor"/>
      </rPr>
      <t xml:space="preserve"> / (s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* SQRT(n-1))</t>
    </r>
  </si>
  <si>
    <t>=COUNT(x)</t>
  </si>
  <si>
    <r>
      <t>= TINV(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,df)</t>
    </r>
  </si>
  <si>
    <t>= TDIST(|t|,df,2)</t>
  </si>
  <si>
    <r>
      <t>= ((n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-2)s</t>
    </r>
    <r>
      <rPr>
        <vertAlign val="subscript"/>
        <sz val="11"/>
        <color theme="1"/>
        <rFont val="Calibri"/>
        <family val="2"/>
        <scheme val="minor"/>
      </rPr>
      <t>y.x1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+(n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-2)s</t>
    </r>
    <r>
      <rPr>
        <vertAlign val="subscript"/>
        <sz val="11"/>
        <color theme="1"/>
        <rFont val="Calibri"/>
        <family val="2"/>
        <scheme val="minor"/>
      </rPr>
      <t>y.x2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)/(n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-4)</t>
    </r>
  </si>
  <si>
    <r>
      <t>= SQRT(s</t>
    </r>
    <r>
      <rPr>
        <vertAlign val="subscript"/>
        <sz val="11"/>
        <color theme="1"/>
        <rFont val="Calibri"/>
        <family val="2"/>
        <scheme val="minor"/>
      </rPr>
      <t>b1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+s</t>
    </r>
    <r>
      <rPr>
        <vertAlign val="subscript"/>
        <sz val="11"/>
        <color theme="1"/>
        <rFont val="Calibri"/>
        <family val="2"/>
        <scheme val="minor"/>
      </rPr>
      <t>b2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</si>
  <si>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Confidence and Prediction Intervals</t>
  </si>
  <si>
    <t>Confidence interval for the forecasted value</t>
  </si>
  <si>
    <t>Prediction interval</t>
  </si>
  <si>
    <t>Test for y-intercept</t>
  </si>
  <si>
    <t>mean(x)</t>
  </si>
  <si>
    <r>
      <t>SS</t>
    </r>
    <r>
      <rPr>
        <vertAlign val="subscript"/>
        <sz val="11"/>
        <color theme="1"/>
        <rFont val="Calibri"/>
        <family val="2"/>
        <scheme val="minor"/>
      </rPr>
      <t>x</t>
    </r>
  </si>
  <si>
    <t>se</t>
  </si>
  <si>
    <r>
      <t>x</t>
    </r>
    <r>
      <rPr>
        <vertAlign val="subscript"/>
        <sz val="11"/>
        <color theme="1"/>
        <rFont val="Calibri"/>
        <family val="2"/>
        <scheme val="minor"/>
      </rPr>
      <t>0</t>
    </r>
  </si>
  <si>
    <r>
      <t>ŷ</t>
    </r>
    <r>
      <rPr>
        <vertAlign val="subscript"/>
        <sz val="11"/>
        <color theme="1"/>
        <rFont val="Calibri"/>
        <family val="2"/>
      </rPr>
      <t>0</t>
    </r>
  </si>
  <si>
    <r>
      <t>= FORECAST(y,x,x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</t>
    </r>
  </si>
  <si>
    <t>= STEYX(y,x)</t>
  </si>
  <si>
    <t>= AVERAGE(x)</t>
  </si>
  <si>
    <r>
      <t xml:space="preserve"> = ŷ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- t-crit * se</t>
    </r>
  </si>
  <si>
    <r>
      <t xml:space="preserve"> = ŷ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+ t-crit * se</t>
    </r>
  </si>
  <si>
    <t>= n - 2</t>
  </si>
  <si>
    <r>
      <rPr>
        <sz val="11"/>
        <color theme="1"/>
        <rFont val="Calibri"/>
        <family val="2"/>
        <scheme val="minor"/>
      </rPr>
      <t>= DEVSQ(x)</t>
    </r>
  </si>
  <si>
    <r>
      <t>= s</t>
    </r>
    <r>
      <rPr>
        <vertAlign val="subscript"/>
        <sz val="11"/>
        <color theme="1"/>
        <rFont val="Calibri"/>
        <family val="2"/>
        <scheme val="minor"/>
      </rPr>
      <t>Res</t>
    </r>
    <r>
      <rPr>
        <sz val="11"/>
        <color theme="1"/>
        <rFont val="Calibri"/>
        <family val="2"/>
        <scheme val="minor"/>
      </rPr>
      <t>*SQRT(1/n+(x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-x̄)^2/SS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</t>
    </r>
  </si>
  <si>
    <t>Exponential Regression</t>
  </si>
  <si>
    <t>Original Data</t>
  </si>
  <si>
    <t>Log Transformed Data</t>
  </si>
  <si>
    <t>ln y</t>
  </si>
  <si>
    <r>
      <t>e</t>
    </r>
    <r>
      <rPr>
        <vertAlign val="superscript"/>
        <sz val="11"/>
        <color theme="1"/>
        <rFont val="Calibri"/>
        <family val="2"/>
        <scheme val="minor"/>
      </rPr>
      <t>a</t>
    </r>
  </si>
  <si>
    <r>
      <t>e</t>
    </r>
    <r>
      <rPr>
        <vertAlign val="superscript"/>
        <sz val="11"/>
        <color theme="1"/>
        <rFont val="Calibri"/>
        <family val="2"/>
        <scheme val="minor"/>
      </rPr>
      <t>b</t>
    </r>
  </si>
  <si>
    <t>Use of LOGEST</t>
  </si>
  <si>
    <t>Slope: Exp(b)</t>
  </si>
  <si>
    <t>Intercept: Exp(a)</t>
  </si>
  <si>
    <t>S.E. of slope</t>
  </si>
  <si>
    <t>R-Squared</t>
  </si>
  <si>
    <t>Use of slope and intercept for prediction</t>
  </si>
  <si>
    <t>Use of GROWTH</t>
  </si>
  <si>
    <t>Two Sample t-Test by Regression</t>
  </si>
  <si>
    <t>Predicted y</t>
  </si>
  <si>
    <t>Comparison</t>
  </si>
  <si>
    <r>
      <t>t</t>
    </r>
    <r>
      <rPr>
        <vertAlign val="superscript"/>
        <sz val="11"/>
        <color theme="1"/>
        <rFont val="Calibri"/>
        <family val="2"/>
        <scheme val="minor"/>
      </rPr>
      <t>2</t>
    </r>
  </si>
  <si>
    <t>Sig F</t>
  </si>
  <si>
    <t>P(T&lt;t) two-tail</t>
  </si>
  <si>
    <t>√(F/(F+df))</t>
  </si>
  <si>
    <t>Method of Least Squares</t>
  </si>
  <si>
    <t>Price</t>
  </si>
  <si>
    <t>X</t>
  </si>
  <si>
    <t>Y</t>
  </si>
  <si>
    <t>const</t>
  </si>
  <si>
    <r>
      <t>(X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X)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</si>
  <si>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C</t>
    </r>
  </si>
  <si>
    <t>Color</t>
  </si>
  <si>
    <t>Quality</t>
  </si>
  <si>
    <t>Predicted Price</t>
  </si>
  <si>
    <t>Equations</t>
  </si>
  <si>
    <t>Covariance matrix</t>
  </si>
  <si>
    <t>b1</t>
  </si>
  <si>
    <t>b2</t>
  </si>
  <si>
    <t>b0</t>
  </si>
  <si>
    <t>Covariance matrix using COV function</t>
  </si>
  <si>
    <t>Ŷ</t>
  </si>
  <si>
    <t>Sample size requirements</t>
  </si>
  <si>
    <r>
      <t xml:space="preserve">Significance level </t>
    </r>
    <r>
      <rPr>
        <sz val="11"/>
        <color theme="1"/>
        <rFont val="Calibri"/>
        <family val="2"/>
      </rPr>
      <t>α = .01</t>
    </r>
  </si>
  <si>
    <r>
      <t xml:space="preserve">Significance level </t>
    </r>
    <r>
      <rPr>
        <sz val="11"/>
        <color theme="1"/>
        <rFont val="Calibri"/>
        <family val="2"/>
      </rPr>
      <t>α = .05</t>
    </r>
  </si>
  <si>
    <t>N/A</t>
  </si>
  <si>
    <t>N/A = not applicable</t>
  </si>
  <si>
    <r>
      <t>Table lists the minimum value of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that can be detected by a given sample size and # of dependent variables k</t>
    </r>
  </si>
  <si>
    <t>Multiple Regression</t>
  </si>
  <si>
    <t>Forecast using TREND</t>
  </si>
  <si>
    <t>intercept</t>
  </si>
  <si>
    <t>b3</t>
  </si>
  <si>
    <t>Output from LINEST</t>
  </si>
  <si>
    <r>
      <t>S.E. of slope (s</t>
    </r>
    <r>
      <rPr>
        <vertAlign val="subscript"/>
        <sz val="10"/>
        <color theme="1"/>
        <rFont val="Calibri"/>
        <family val="2"/>
        <scheme val="minor"/>
      </rPr>
      <t>b</t>
    </r>
    <r>
      <rPr>
        <sz val="10"/>
        <color theme="1"/>
        <rFont val="Calibri"/>
        <family val="2"/>
        <scheme val="minor"/>
      </rPr>
      <t>)</t>
    </r>
  </si>
  <si>
    <r>
      <t>S.E. of intercept (s</t>
    </r>
    <r>
      <rPr>
        <vertAlign val="subscript"/>
        <sz val="10"/>
        <color theme="1"/>
        <rFont val="Calibri"/>
        <family val="2"/>
        <scheme val="minor"/>
      </rPr>
      <t>a</t>
    </r>
    <r>
      <rPr>
        <sz val="10"/>
        <color theme="1"/>
        <rFont val="Calibri"/>
        <family val="2"/>
        <scheme val="minor"/>
      </rPr>
      <t>)</t>
    </r>
  </si>
  <si>
    <r>
      <t>S.E. of estimate (s</t>
    </r>
    <r>
      <rPr>
        <vertAlign val="subscript"/>
        <sz val="10"/>
        <color theme="1"/>
        <rFont val="Calibri"/>
        <family val="2"/>
        <scheme val="minor"/>
      </rPr>
      <t>Res</t>
    </r>
    <r>
      <rPr>
        <sz val="10"/>
        <color theme="1"/>
        <rFont val="Calibri"/>
        <family val="2"/>
        <scheme val="minor"/>
      </rPr>
      <t>)</t>
    </r>
  </si>
  <si>
    <r>
      <t>df</t>
    </r>
    <r>
      <rPr>
        <vertAlign val="subscript"/>
        <sz val="10"/>
        <color theme="1"/>
        <rFont val="Calibri"/>
        <family val="2"/>
        <scheme val="minor"/>
      </rPr>
      <t>Res</t>
    </r>
  </si>
  <si>
    <r>
      <t>SS</t>
    </r>
    <r>
      <rPr>
        <vertAlign val="subscript"/>
        <sz val="10"/>
        <color theme="1"/>
        <rFont val="Calibri"/>
        <family val="2"/>
        <scheme val="minor"/>
      </rPr>
      <t>Reg</t>
    </r>
  </si>
  <si>
    <r>
      <t>SS</t>
    </r>
    <r>
      <rPr>
        <vertAlign val="subscript"/>
        <sz val="10"/>
        <color theme="1"/>
        <rFont val="Calibri"/>
        <family val="2"/>
        <scheme val="minor"/>
      </rPr>
      <t>Res</t>
    </r>
  </si>
  <si>
    <t>Predicted Poverty</t>
  </si>
  <si>
    <t>Model with all three independent variables</t>
  </si>
  <si>
    <t>Model only with Infant mortality</t>
  </si>
  <si>
    <t xml:space="preserve">Multiple Regression </t>
  </si>
  <si>
    <t>Price - Color</t>
  </si>
  <si>
    <t>Price - Quality</t>
  </si>
  <si>
    <t>Color - Quality</t>
  </si>
  <si>
    <t>Regression data analysis tool output</t>
  </si>
  <si>
    <t>Regression data analysis (formulas inserted)</t>
  </si>
  <si>
    <t>Std Residuals</t>
  </si>
  <si>
    <t>df1</t>
  </si>
  <si>
    <t>df2</t>
  </si>
  <si>
    <r>
      <t>MS</t>
    </r>
    <r>
      <rPr>
        <vertAlign val="subscript"/>
        <sz val="11"/>
        <color theme="1"/>
        <rFont val="Calibri"/>
        <family val="2"/>
        <scheme val="minor"/>
      </rPr>
      <t>Res</t>
    </r>
  </si>
  <si>
    <r>
      <t>MS</t>
    </r>
    <r>
      <rPr>
        <vertAlign val="subscript"/>
        <sz val="11"/>
        <color theme="1"/>
        <rFont val="Calibri"/>
        <family val="2"/>
        <scheme val="minor"/>
      </rPr>
      <t>Res</t>
    </r>
    <r>
      <rPr>
        <sz val="11"/>
        <color theme="1"/>
        <rFont val="Calibri"/>
        <family val="2"/>
        <scheme val="minor"/>
      </rPr>
      <t>(X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X)</t>
    </r>
    <r>
      <rPr>
        <vertAlign val="superscript"/>
        <sz val="11"/>
        <color theme="1"/>
        <rFont val="Calibri"/>
        <family val="2"/>
        <scheme val="minor"/>
      </rPr>
      <t>-1</t>
    </r>
  </si>
  <si>
    <t>s.e.</t>
  </si>
  <si>
    <t>Polynomial Regression</t>
  </si>
  <si>
    <t>Hours per Month</t>
  </si>
  <si>
    <t>Hours</t>
  </si>
  <si>
    <t>Month</t>
  </si>
  <si>
    <t>MonSq</t>
  </si>
  <si>
    <t>Predicted Hours</t>
  </si>
  <si>
    <t>Use</t>
  </si>
  <si>
    <t>Linear Regression Model</t>
  </si>
  <si>
    <t>Quadratic Regression Model</t>
  </si>
  <si>
    <t>Hours of Use</t>
  </si>
  <si>
    <t>Interaction Model</t>
  </si>
  <si>
    <t>Interaction</t>
  </si>
  <si>
    <t>Votes</t>
  </si>
  <si>
    <t>Money</t>
  </si>
  <si>
    <t>Regression Model - Interaction</t>
  </si>
  <si>
    <t>Regression analysis on interaction model</t>
  </si>
  <si>
    <t>Regression analysis without interaction</t>
  </si>
  <si>
    <r>
      <t>SS</t>
    </r>
    <r>
      <rPr>
        <i/>
        <vertAlign val="subscript"/>
        <sz val="11"/>
        <color theme="1"/>
        <rFont val="Calibri"/>
        <family val="2"/>
        <scheme val="minor"/>
      </rPr>
      <t>Res</t>
    </r>
    <r>
      <rPr>
        <i/>
        <sz val="11"/>
        <color theme="1"/>
        <rFont val="Calibri"/>
        <family val="2"/>
        <scheme val="minor"/>
      </rPr>
      <t xml:space="preserve"> = SS</t>
    </r>
    <r>
      <rPr>
        <i/>
        <vertAlign val="subscript"/>
        <sz val="11"/>
        <color theme="1"/>
        <rFont val="Calibri"/>
        <family val="2"/>
        <scheme val="minor"/>
      </rPr>
      <t xml:space="preserve">T </t>
    </r>
    <r>
      <rPr>
        <i/>
        <sz val="11"/>
        <color theme="1"/>
        <rFont val="Calibri"/>
        <family val="2"/>
        <scheme val="minor"/>
      </rPr>
      <t>(1 – r</t>
    </r>
    <r>
      <rPr>
        <i/>
        <vertAlign val="super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>)</t>
    </r>
  </si>
  <si>
    <t>Pairwise Correlations</t>
  </si>
  <si>
    <t>Multiple Regression (Alternative Approach)</t>
  </si>
  <si>
    <t>Multicollinearity</t>
  </si>
  <si>
    <t>X1</t>
  </si>
  <si>
    <t>X2</t>
  </si>
  <si>
    <t>Predicted Y</t>
  </si>
  <si>
    <t>Regression with only X1 variable</t>
  </si>
  <si>
    <t>Regression with X1 and X2 variables</t>
  </si>
  <si>
    <t>x̄</t>
  </si>
  <si>
    <t>Flavor 1</t>
  </si>
  <si>
    <t>Flavor 2</t>
  </si>
  <si>
    <t>Flavor 3</t>
  </si>
  <si>
    <t>Between Groups</t>
  </si>
  <si>
    <t>Within Groups</t>
  </si>
  <si>
    <t>Anova: Single Factor</t>
  </si>
  <si>
    <t>Average</t>
  </si>
  <si>
    <t>Source of Variation</t>
  </si>
  <si>
    <t>F crit</t>
  </si>
  <si>
    <t>sig</t>
  </si>
  <si>
    <t>i</t>
  </si>
  <si>
    <t>j</t>
  </si>
  <si>
    <t>ANOVA using Regression</t>
  </si>
  <si>
    <t>Model with Dummy Variables</t>
  </si>
  <si>
    <t>t1</t>
  </si>
  <si>
    <t>t2</t>
  </si>
  <si>
    <t>Analysis of means</t>
  </si>
  <si>
    <t>grp effect</t>
  </si>
  <si>
    <r>
      <t>ω</t>
    </r>
    <r>
      <rPr>
        <vertAlign val="superscript"/>
        <sz val="11"/>
        <color theme="1"/>
        <rFont val="Calibri"/>
        <family val="2"/>
      </rPr>
      <t>2</t>
    </r>
  </si>
  <si>
    <t>Columns</t>
  </si>
  <si>
    <t>Corn</t>
  </si>
  <si>
    <t>Soy</t>
  </si>
  <si>
    <t>Blend X</t>
  </si>
  <si>
    <t>Blend Y</t>
  </si>
  <si>
    <t>Rice</t>
  </si>
  <si>
    <t>Anova: Two-Factor With Replication</t>
  </si>
  <si>
    <t>Within</t>
  </si>
  <si>
    <t>Crop</t>
  </si>
  <si>
    <t>Fertilizer</t>
  </si>
  <si>
    <t>Crop (Columns)</t>
  </si>
  <si>
    <t>Yield</t>
  </si>
  <si>
    <t>MEAN</t>
  </si>
  <si>
    <t>SST</t>
  </si>
  <si>
    <t>Gender</t>
  </si>
  <si>
    <t>Sample Scores</t>
  </si>
  <si>
    <t>A x B</t>
  </si>
  <si>
    <t>A x C</t>
  </si>
  <si>
    <t>B x C</t>
  </si>
  <si>
    <t>A x B x C</t>
  </si>
  <si>
    <t>Country</t>
  </si>
  <si>
    <t>Italian</t>
  </si>
  <si>
    <t>Foreign</t>
  </si>
  <si>
    <t>Position</t>
  </si>
  <si>
    <t>Seated</t>
  </si>
  <si>
    <t>Prone</t>
  </si>
  <si>
    <t>Two-way ANOVA using regression</t>
  </si>
  <si>
    <t>t3</t>
  </si>
  <si>
    <t>t1*t2</t>
  </si>
  <si>
    <t>t1*t3</t>
  </si>
  <si>
    <t>t1 = 1 if Blend X, = 0 otherwise</t>
  </si>
  <si>
    <t>t2 = 1 if Corn, = 0 otherwise</t>
  </si>
  <si>
    <t>t3 = 1 if Soy, = 0 otherwise</t>
  </si>
  <si>
    <t>Calculating coefficients from ANOVA</t>
  </si>
  <si>
    <t>b5</t>
  </si>
  <si>
    <t>b4</t>
  </si>
  <si>
    <t>MST</t>
  </si>
  <si>
    <t>R</t>
  </si>
  <si>
    <t>Regression (Row)</t>
  </si>
  <si>
    <t>Regression (Columns)</t>
  </si>
  <si>
    <t>t1 = 1 if Blend X, = -1 Blend Y</t>
  </si>
  <si>
    <t>t2 = 1 if Corn, -1 if Rice; = 0 otherwise</t>
  </si>
  <si>
    <t>t3 = 1 if Soy, -1 if Rice; = 0 otherwise</t>
  </si>
  <si>
    <t>Equally weighted means</t>
  </si>
  <si>
    <t>Calculation of coefficients</t>
  </si>
  <si>
    <t>α + β model</t>
  </si>
  <si>
    <t>α + αβ model</t>
  </si>
  <si>
    <t>β + αβ model</t>
  </si>
  <si>
    <t>Summary</t>
  </si>
  <si>
    <t>R Square x SST</t>
  </si>
  <si>
    <t>α+β+αβ</t>
  </si>
  <si>
    <t>α+αβ</t>
  </si>
  <si>
    <t>β+αβ</t>
  </si>
  <si>
    <t>α+β</t>
  </si>
  <si>
    <t>AB</t>
  </si>
  <si>
    <t>ANOVA Results</t>
  </si>
  <si>
    <t>Blend (Rows)</t>
  </si>
  <si>
    <t>SSReg</t>
  </si>
  <si>
    <t>dfReg</t>
  </si>
  <si>
    <t>Total (as sum)</t>
  </si>
  <si>
    <t>ω</t>
  </si>
  <si>
    <r>
      <t>H = X(X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X)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T</t>
    </r>
  </si>
  <si>
    <t>Cig</t>
  </si>
  <si>
    <t>Standardized</t>
  </si>
  <si>
    <t>Studentized</t>
  </si>
  <si>
    <t>Testing for normality</t>
  </si>
  <si>
    <t>Testing homogeneity of variances and linearity</t>
  </si>
  <si>
    <t>Least Squares Method</t>
  </si>
  <si>
    <t>Normality</t>
  </si>
  <si>
    <t>Residual plots</t>
  </si>
  <si>
    <r>
      <t>E/</t>
    </r>
    <r>
      <rPr>
        <sz val="11"/>
        <color theme="1"/>
        <rFont val="Calibri"/>
        <family val="2"/>
      </rPr>
      <t>√MS</t>
    </r>
    <r>
      <rPr>
        <vertAlign val="subscript"/>
        <sz val="11"/>
        <color theme="1"/>
        <rFont val="Calibri"/>
        <family val="2"/>
      </rPr>
      <t>Res</t>
    </r>
  </si>
  <si>
    <r>
      <t>E/</t>
    </r>
    <r>
      <rPr>
        <sz val="11"/>
        <color theme="1"/>
        <rFont val="Calibri"/>
        <family val="2"/>
      </rPr>
      <t>s.e.</t>
    </r>
  </si>
  <si>
    <t>E/√MSRes</t>
  </si>
  <si>
    <t>E/s.e.</t>
  </si>
  <si>
    <t>Stud E</t>
  </si>
  <si>
    <t>QQ Tables - y</t>
  </si>
  <si>
    <t>QQ Tables - stud. res</t>
  </si>
  <si>
    <t>Homogeneity of variances</t>
  </si>
  <si>
    <t>Stud. E</t>
  </si>
  <si>
    <t>Residual Plots</t>
  </si>
  <si>
    <t>QQ Table reversing axes</t>
  </si>
  <si>
    <t>Problem plots for homogeneity of variances</t>
  </si>
  <si>
    <t>Fit Plots</t>
  </si>
  <si>
    <t>Pred Price</t>
  </si>
  <si>
    <t>Alternative derivations of Multiple R</t>
  </si>
  <si>
    <t>beta</t>
  </si>
  <si>
    <t>Cook's Distance</t>
  </si>
  <si>
    <t>Pred Y</t>
  </si>
  <si>
    <t>Leverage</t>
  </si>
  <si>
    <t>Mod MSE</t>
  </si>
  <si>
    <t>RStudent</t>
  </si>
  <si>
    <t>T-test</t>
  </si>
  <si>
    <t>Cook's D</t>
  </si>
  <si>
    <t>Version 1</t>
  </si>
  <si>
    <t>Version 2</t>
  </si>
  <si>
    <t>Price (Y)</t>
  </si>
  <si>
    <t>Test for significance of eliminating White and Crime</t>
  </si>
  <si>
    <t>dfE</t>
  </si>
  <si>
    <t>SSE</t>
  </si>
  <si>
    <t>MSE</t>
  </si>
  <si>
    <t>complete</t>
  </si>
  <si>
    <t>reduced</t>
  </si>
  <si>
    <t>difference</t>
  </si>
  <si>
    <t>=AE4-AD4</t>
  </si>
  <si>
    <t>=AE5-AD5</t>
  </si>
  <si>
    <t>=AF4/AF5</t>
  </si>
  <si>
    <t>=AF6/AD6</t>
  </si>
  <si>
    <t>=FDIST(AF7,AF5,AD5)</t>
  </si>
  <si>
    <t>=IF(AF9&lt;AF8,"yes","no")</t>
  </si>
  <si>
    <t>R-Square</t>
  </si>
  <si>
    <t>=AD14-AE14</t>
  </si>
  <si>
    <t>=AE15-AD15</t>
  </si>
  <si>
    <t>=FDIST(AF16,AF15,AD15)</t>
  </si>
  <si>
    <t>=IF(AF18&lt;AF17,"yes","no")</t>
  </si>
  <si>
    <t>AIC</t>
  </si>
  <si>
    <t>AICc</t>
  </si>
  <si>
    <t>Q2</t>
  </si>
  <si>
    <t>Q3</t>
  </si>
  <si>
    <t>λ</t>
  </si>
  <si>
    <t>std err</t>
  </si>
  <si>
    <t>W</t>
  </si>
  <si>
    <t>slope</t>
  </si>
  <si>
    <t>crit</t>
  </si>
  <si>
    <t>β</t>
  </si>
  <si>
    <t>Significance vs effect size (re correlation coefficient)</t>
  </si>
  <si>
    <t>= yes if p-value &lt; α</t>
  </si>
  <si>
    <t>Calculation of elements of the regression model from the ANOVA results</t>
  </si>
  <si>
    <t>Calculation of omega square</t>
  </si>
  <si>
    <r>
      <rPr>
        <sz val="11"/>
        <color theme="1"/>
        <rFont val="Calibri"/>
        <family val="2"/>
      </rPr>
      <t>ω</t>
    </r>
    <r>
      <rPr>
        <vertAlign val="superscript"/>
        <sz val="11"/>
        <color theme="1"/>
        <rFont val="Calibri"/>
        <family val="2"/>
      </rPr>
      <t>2</t>
    </r>
  </si>
  <si>
    <t>J</t>
  </si>
  <si>
    <r>
      <t>J</t>
    </r>
    <r>
      <rPr>
        <vertAlign val="superscript"/>
        <sz val="11"/>
        <color theme="1"/>
        <rFont val="Calibri"/>
        <family val="2"/>
        <scheme val="minor"/>
      </rPr>
      <t>-1</t>
    </r>
  </si>
  <si>
    <t>Alternative form of test</t>
  </si>
  <si>
    <t>Using Rsquare Test</t>
  </si>
  <si>
    <t>=RSquareTest(C4:E53,C4:C53,B4:B53)</t>
  </si>
  <si>
    <t>=AF14*AD15/(AF15*(1-AD14))</t>
  </si>
  <si>
    <t>diff</t>
  </si>
  <si>
    <t>Q</t>
  </si>
  <si>
    <t>VIF and Tolerance</t>
  </si>
  <si>
    <t>Tolerance</t>
  </si>
  <si>
    <t>VIF</t>
  </si>
  <si>
    <t>Variable</t>
  </si>
  <si>
    <t xml:space="preserve">R Square </t>
  </si>
  <si>
    <t>Using regression data analysis</t>
  </si>
  <si>
    <t>color</t>
  </si>
  <si>
    <t>quality</t>
  </si>
  <si>
    <t>Finding regression coefficients using Solver</t>
  </si>
  <si>
    <t>Inter</t>
  </si>
  <si>
    <t>Temp</t>
  </si>
  <si>
    <t>Coeff</t>
  </si>
  <si>
    <t>Concise Table of Contents</t>
  </si>
  <si>
    <t>Method of least squares</t>
  </si>
  <si>
    <t>Regression line (Example 1)</t>
  </si>
  <si>
    <t>Regression analysis</t>
  </si>
  <si>
    <t>Using regression line for prediction (Example 1)</t>
  </si>
  <si>
    <t>Testing fit of regression line (Example 1)</t>
  </si>
  <si>
    <t>Testing slope of regression line (Example 1)</t>
  </si>
  <si>
    <t>Hypothesis testing whether the regression line is a good fit for the data</t>
  </si>
  <si>
    <t>Hypothesis testing of the significance of the slope of the regression line</t>
  </si>
  <si>
    <t>Confidence and prediction intervals for forecasted values</t>
  </si>
  <si>
    <t>Exponential regression</t>
  </si>
  <si>
    <t>LINEST function (Figure 2)</t>
  </si>
  <si>
    <t>Regression data analysis tool (Figures 3 and 4)</t>
  </si>
  <si>
    <t>Confidence/prediction Intervals (Example 1)</t>
  </si>
  <si>
    <t>Testing intercept of regression line (Example 2)</t>
  </si>
  <si>
    <t>LOGEST and GROWTH functions (Figure 4)</t>
  </si>
  <si>
    <t>Regression to Compare Means (Example 1)</t>
  </si>
  <si>
    <t>Full results from data analysis tool for Example 1</t>
  </si>
  <si>
    <t>Regression to Compare Means (Example 2)</t>
  </si>
  <si>
    <t>Full results from data analysis tool for Example 2</t>
  </si>
  <si>
    <t>Method of least squares (Example 1)</t>
  </si>
  <si>
    <t>Method of least squares using covariance matrix (Example 2)</t>
  </si>
  <si>
    <t>Method of least squares using hat matrix (Example 3)</t>
  </si>
  <si>
    <t>Multiple regression analysis</t>
  </si>
  <si>
    <t>TREND and LINEST function (Example 1)</t>
  </si>
  <si>
    <t>Regression data analysis tool (Example 2)</t>
  </si>
  <si>
    <t>Data for Example 1 is normal via QQ plot (extra worksheet)</t>
  </si>
  <si>
    <t>Sample size requirements for multiple regression (Figure 1)</t>
  </si>
  <si>
    <t>Formulas for regression analysis (for Figure 5 and 6)</t>
  </si>
  <si>
    <t>Polynomial regression</t>
  </si>
  <si>
    <t>Polynomial regression (Example 1)</t>
  </si>
  <si>
    <t>Full data analysis for quadratic model (Example 1)</t>
  </si>
  <si>
    <t>Full data analysis for linear model (Example 1)</t>
  </si>
  <si>
    <t>Regression with interaction (Example 1)</t>
  </si>
  <si>
    <t>One factor ANOVA via Regression model (Example 1)</t>
  </si>
  <si>
    <t>One factor ANOVA via Regression model (Example 1 alternative coding)</t>
  </si>
  <si>
    <t>Two factor ANOVA via Regression model (Example 2)</t>
  </si>
  <si>
    <t>Unbalanced ANOVA via Regression model (Example 1)</t>
  </si>
  <si>
    <t>Unbalanced factorial ANOVA</t>
  </si>
  <si>
    <t>ANOVA using regression</t>
  </si>
  <si>
    <t>Outliers and influencers</t>
  </si>
  <si>
    <t>Collinearity</t>
  </si>
  <si>
    <t>Testing the significance of extra variables</t>
  </si>
  <si>
    <t>Tolerance and VIF (Example 1)</t>
  </si>
  <si>
    <t xml:space="preserve">Akaike’s Information Criterion (Example 2) </t>
  </si>
  <si>
    <t>Outliers and influencers: Cook's distance (Example 1)</t>
  </si>
  <si>
    <t>Outliers and influencers: Cook's distance (Example 2)</t>
  </si>
  <si>
    <t>Studentized residuals and hat matrix (Example 1)</t>
  </si>
  <si>
    <t>Collinearity (Figure 1)</t>
  </si>
  <si>
    <t>Plot of studentized residuals (Figure 2)</t>
  </si>
  <si>
    <t>Other measures of effect size for ANOVA</t>
  </si>
  <si>
    <t>Omega square effect size for 1 factor ANOVA (Example 3 of Basic Concepts for ANOVA)</t>
  </si>
  <si>
    <t>Omega square effect size for 2 factor ANOVA (Example 2 of ANOVA using Regression)</t>
  </si>
  <si>
    <t>Group means and group effect sizes (Figure 5)</t>
  </si>
  <si>
    <t>Linear regression models for comparing means</t>
  </si>
  <si>
    <t>Comparing the slopes of two independent samples (Example 1 of Detail)</t>
  </si>
  <si>
    <t>Alternative approach to multiple regression (Example 1 of Detail)</t>
  </si>
  <si>
    <r>
      <t>= (b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-b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)/(s</t>
    </r>
    <r>
      <rPr>
        <vertAlign val="subscript"/>
        <sz val="11"/>
        <color theme="1"/>
        <rFont val="Calibri"/>
        <family val="2"/>
        <scheme val="minor"/>
      </rPr>
      <t>b1-b2</t>
    </r>
    <r>
      <rPr>
        <sz val="11"/>
        <color theme="1"/>
        <rFont val="Calibri"/>
        <family val="2"/>
        <scheme val="minor"/>
      </rPr>
      <t>)</t>
    </r>
  </si>
  <si>
    <t>u</t>
  </si>
  <si>
    <t>Shapiro-Wilk Test</t>
  </si>
  <si>
    <t>normal</t>
  </si>
  <si>
    <t>DFFITS</t>
  </si>
  <si>
    <t>T-Test</t>
  </si>
  <si>
    <t>Real Statistics data analysis tool</t>
  </si>
  <si>
    <t>Power Regression</t>
  </si>
  <si>
    <t>ln x</t>
  </si>
  <si>
    <t>Use of TREND</t>
  </si>
  <si>
    <t>coeff</t>
  </si>
  <si>
    <t>Regression Analysis</t>
  </si>
  <si>
    <t>Linear Regression</t>
  </si>
  <si>
    <t>Power regression</t>
  </si>
  <si>
    <t>Log-log Regression (Example 1)</t>
  </si>
  <si>
    <t>Real Statistics regression data analysis tool (Example 2)</t>
  </si>
  <si>
    <t>OVERALL FIT</t>
  </si>
  <si>
    <t>Multiple Regression with Log Transformations</t>
  </si>
  <si>
    <t>exp(coeff)</t>
  </si>
  <si>
    <t>Ln Price</t>
  </si>
  <si>
    <t>Ln Color</t>
  </si>
  <si>
    <t>Ln Quality</t>
  </si>
  <si>
    <t>Exp(Intercept)</t>
  </si>
  <si>
    <t>Multiple regression with log transformations</t>
  </si>
  <si>
    <t>Log-level transformation</t>
  </si>
  <si>
    <t>Log-log transformation (Example 2)</t>
  </si>
  <si>
    <t>Log-level transformation (Example 1)</t>
  </si>
  <si>
    <t>Log-log transformation</t>
  </si>
  <si>
    <t>=GROWTH(C6:C16,A6:B16,W8:X9)</t>
  </si>
  <si>
    <t>=$T$7*$S$7^W14*$R$7^X14</t>
  </si>
  <si>
    <t>=$T$7*$S$7^W15*$R$7^X15</t>
  </si>
  <si>
    <t>=EXP(TREND(LN(C6:C16),A6:B16,W20:X21))</t>
  </si>
  <si>
    <t>tot</t>
  </si>
  <si>
    <t>SResidual</t>
  </si>
  <si>
    <t>Linest</t>
  </si>
  <si>
    <t>Input data in standard format</t>
  </si>
  <si>
    <t>COUNT</t>
  </si>
  <si>
    <t>VARIANCE</t>
  </si>
  <si>
    <t>Two Factor Anova (via Regression)</t>
  </si>
  <si>
    <t>Input data with rows and columns exchanged</t>
  </si>
  <si>
    <t>Input data in column format</t>
  </si>
  <si>
    <t>Three Factor Anova (via Regression)</t>
  </si>
  <si>
    <t>Three factor ANOVA using regression</t>
  </si>
  <si>
    <t>Unbalanced model (Example 2)</t>
  </si>
  <si>
    <t>Balanced model, including data format conversion (Example 1)</t>
  </si>
  <si>
    <t>Three Factor ANOVA - row format, balanced</t>
  </si>
  <si>
    <t>Three Factor ANOVA</t>
  </si>
  <si>
    <t>Forecast</t>
  </si>
  <si>
    <t>Pred</t>
  </si>
  <si>
    <t>Durbin-Watson Test</t>
  </si>
  <si>
    <t>=DURBIN(F4:F14)</t>
  </si>
  <si>
    <t>=DURBIN(A4:B14,C4:C14)</t>
  </si>
  <si>
    <t>Autocorrelation</t>
  </si>
  <si>
    <t>Durbin-Watson test (Example 1)</t>
  </si>
  <si>
    <t>Real Statistics Functions</t>
  </si>
  <si>
    <t>v</t>
  </si>
  <si>
    <t>w</t>
  </si>
  <si>
    <r>
      <t>= n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-4</t>
    </r>
  </si>
  <si>
    <r>
      <t>= s</t>
    </r>
    <r>
      <rPr>
        <vertAlign val="subscript"/>
        <sz val="11"/>
        <color theme="1"/>
        <rFont val="Calibri"/>
        <family val="2"/>
        <scheme val="minor"/>
      </rPr>
      <t>Res</t>
    </r>
    <r>
      <rPr>
        <sz val="11"/>
        <color theme="1"/>
        <rFont val="Calibri"/>
        <family val="2"/>
        <scheme val="minor"/>
      </rPr>
      <t>*SQRT(1/(s</t>
    </r>
    <r>
      <rPr>
        <vertAlign val="subscript"/>
        <sz val="11"/>
        <color theme="1"/>
        <rFont val="Calibri"/>
        <family val="2"/>
        <scheme val="minor"/>
      </rPr>
      <t>x1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(n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-1))+1/(s</t>
    </r>
    <r>
      <rPr>
        <vertAlign val="subscript"/>
        <sz val="11"/>
        <color theme="1"/>
        <rFont val="Calibri"/>
        <family val="2"/>
        <scheme val="minor"/>
      </rPr>
      <t>x2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-1)))</t>
    </r>
  </si>
  <si>
    <t>pooled</t>
  </si>
  <si>
    <t>no pool</t>
  </si>
  <si>
    <t>with and w/o labels</t>
  </si>
  <si>
    <t>Data analysis tool</t>
  </si>
  <si>
    <t>Multiple Correlation</t>
  </si>
  <si>
    <t>Partial correlation coefficient (Example 1)</t>
  </si>
  <si>
    <t>Partial correlation matrix (Example 2)</t>
  </si>
  <si>
    <t>Coefficient of determination</t>
  </si>
  <si>
    <t>Year</t>
  </si>
  <si>
    <t>correl</t>
  </si>
  <si>
    <t>=MMULT(TRANSPOSE(I4:I14-M4:M14),I4:I14-M4:M14)</t>
  </si>
  <si>
    <t>SSRes</t>
  </si>
  <si>
    <t>Regression coefficients</t>
  </si>
  <si>
    <r>
      <t>H = X(X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X)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T</t>
    </r>
  </si>
  <si>
    <r>
      <t>(X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X)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</si>
  <si>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MS</t>
    </r>
    <r>
      <rPr>
        <vertAlign val="subscript"/>
        <sz val="11"/>
        <color theme="1"/>
        <rFont val="Calibri"/>
        <family val="2"/>
        <scheme val="minor"/>
      </rPr>
      <t>Res</t>
    </r>
    <r>
      <rPr>
        <sz val="11"/>
        <color theme="1"/>
        <rFont val="Calibri"/>
        <family val="2"/>
        <scheme val="minor"/>
      </rPr>
      <t>(X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X)</t>
    </r>
    <r>
      <rPr>
        <vertAlign val="superscript"/>
        <sz val="11"/>
        <color theme="1"/>
        <rFont val="Calibri"/>
        <family val="2"/>
        <scheme val="minor"/>
      </rPr>
      <t>-1</t>
    </r>
  </si>
  <si>
    <t>data</t>
  </si>
  <si>
    <t>1-β</t>
  </si>
  <si>
    <t>Real Statistics functions</t>
  </si>
  <si>
    <r>
      <t>1-</t>
    </r>
    <r>
      <rPr>
        <sz val="11"/>
        <color theme="1"/>
        <rFont val="Calibri"/>
        <family val="2"/>
      </rPr>
      <t>β</t>
    </r>
  </si>
  <si>
    <t>Real Statistics function</t>
  </si>
  <si>
    <t>Multiple Regression - confidence and prediction intervals</t>
  </si>
  <si>
    <t>dfRes</t>
  </si>
  <si>
    <t>Confidence and prediction intervals</t>
  </si>
  <si>
    <t>Confidence and prediction intervals (Example 1)</t>
  </si>
  <si>
    <t>Core Matrix</t>
  </si>
  <si>
    <t>Confidence and prediction Intervals</t>
  </si>
  <si>
    <t>Conf</t>
  </si>
  <si>
    <t>poverty</t>
  </si>
  <si>
    <t>MSRes</t>
  </si>
  <si>
    <t>Simple Regression - confidence and prediction intervals</t>
  </si>
  <si>
    <t>d-lower</t>
  </si>
  <si>
    <t>d-upper</t>
  </si>
  <si>
    <t>Rainfall</t>
  </si>
  <si>
    <t>Statistical Power and Sample Size</t>
  </si>
  <si>
    <t>Statistical Power (Example 1)</t>
  </si>
  <si>
    <t>Sample Size Requirement (Example 2)</t>
  </si>
  <si>
    <t>R-square</t>
  </si>
  <si>
    <t>f-square</t>
  </si>
  <si>
    <t>Multiple Regression - power</t>
  </si>
  <si>
    <t>Multiple regression - Statistical Power</t>
  </si>
  <si>
    <t>Multiple Regression Power and Sample Size</t>
  </si>
  <si>
    <t>actual 1-β</t>
  </si>
  <si>
    <t>Statistical Power (other example)</t>
  </si>
  <si>
    <r>
      <t>1-</t>
    </r>
    <r>
      <rPr>
        <sz val="11"/>
        <color theme="1"/>
        <rFont val="Calibri"/>
        <family val="2"/>
      </rPr>
      <t>β lower</t>
    </r>
  </si>
  <si>
    <r>
      <t>1-</t>
    </r>
    <r>
      <rPr>
        <sz val="11"/>
        <color theme="1"/>
        <rFont val="Calibri"/>
        <family val="2"/>
      </rPr>
      <t>β upper</t>
    </r>
  </si>
  <si>
    <t>Confidence interval of effect size and power</t>
  </si>
  <si>
    <t>λ lower</t>
  </si>
  <si>
    <t>λ upper</t>
  </si>
  <si>
    <t>Confidence interval for effect size and power (Example 3)</t>
  </si>
  <si>
    <t>R-sq</t>
  </si>
  <si>
    <t>R-sq lower</t>
  </si>
  <si>
    <t>R-sq upper</t>
  </si>
  <si>
    <t>Method of least squares using Real Statistics functions (Example 3)</t>
  </si>
  <si>
    <t>Real Statistics functions (for Figure 5)</t>
  </si>
  <si>
    <t>Unbalanced ANOVA via Regression model using Real Statistics analysis tool (Example 1)</t>
  </si>
  <si>
    <t>Using Real Statistics functions</t>
  </si>
  <si>
    <t>Method of Least Squares (using Real Statistics functions)</t>
  </si>
  <si>
    <t>Regression data analysis (Real Statistics formulas inserted)</t>
  </si>
  <si>
    <t>Multiple Regression (Real Statistics data analysis tool)</t>
  </si>
  <si>
    <t>Two-way ANOVA Real Statistics tool</t>
  </si>
  <si>
    <t>?</t>
  </si>
  <si>
    <t>Multiple Regression with Categorical Variables</t>
  </si>
  <si>
    <t>Party</t>
  </si>
  <si>
    <t>Rep</t>
  </si>
  <si>
    <t>Dem</t>
  </si>
  <si>
    <t>Ind</t>
  </si>
  <si>
    <t>Party 1</t>
  </si>
  <si>
    <t>Party 2</t>
  </si>
  <si>
    <t>Gender 1</t>
  </si>
  <si>
    <t>Coding categorical data (Example 4)</t>
  </si>
  <si>
    <t>pred y</t>
  </si>
  <si>
    <t>residual</t>
  </si>
  <si>
    <t>resid-sq</t>
  </si>
  <si>
    <t>Exp(bx)</t>
  </si>
  <si>
    <t>F1</t>
  </si>
  <si>
    <t>J12</t>
  </si>
  <si>
    <t>J11</t>
  </si>
  <si>
    <t>J22</t>
  </si>
  <si>
    <t>F2</t>
  </si>
  <si>
    <r>
      <t>(J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J)</t>
    </r>
    <r>
      <rPr>
        <vertAlign val="superscript"/>
        <sz val="11"/>
        <color theme="1"/>
        <rFont val="Calibri"/>
        <family val="2"/>
        <scheme val="minor"/>
      </rPr>
      <t>-1</t>
    </r>
  </si>
  <si>
    <t>pred-y</t>
  </si>
  <si>
    <t>Exponential Regression - linear regression (Example 1)</t>
  </si>
  <si>
    <t>Nonlinear regression via Solver, before (Example 1)</t>
  </si>
  <si>
    <t>Nonlinear regression via Solver, after (Example 1)</t>
  </si>
  <si>
    <t>Nonlinear regression via Newton's method (Example 1)</t>
  </si>
  <si>
    <t>Std Error</t>
  </si>
  <si>
    <t>Exponential Regression Analysis</t>
  </si>
  <si>
    <t>Data analysis tool (Example 1)</t>
  </si>
  <si>
    <t>I</t>
  </si>
  <si>
    <t>Size</t>
  </si>
  <si>
    <t>Hypothesis Testing</t>
  </si>
  <si>
    <t>Cook's Distance (Real Statistics)</t>
  </si>
  <si>
    <t>Outliers and influencers: Cook's distance via Real Statistics data analysis tool</t>
  </si>
  <si>
    <t>Testing significance of extra variables using R Square (Figure 2)</t>
  </si>
  <si>
    <t>Testing significance of extra variables (Example 1)</t>
  </si>
  <si>
    <t>Linear Regression without Intercept</t>
  </si>
  <si>
    <t>Weighted Linear Regression (Example 1)</t>
  </si>
  <si>
    <t>Linear Regression without Intercept (Example 1)</t>
  </si>
  <si>
    <t>Regression w/o Intercept</t>
  </si>
  <si>
    <t>BSC</t>
  </si>
  <si>
    <t>vif</t>
  </si>
  <si>
    <t>Regression Analysis (with intercept)</t>
  </si>
  <si>
    <t>Weighted Linear Regression</t>
  </si>
  <si>
    <t>band</t>
  </si>
  <si>
    <t>Company size ($ million)</t>
  </si>
  <si>
    <t>Ln(mean)</t>
  </si>
  <si>
    <t>Wages ($ thousands)</t>
  </si>
  <si>
    <t>Weight</t>
  </si>
  <si>
    <t>1/s</t>
  </si>
  <si>
    <t>Huber-White Robust Standard Errors</t>
  </si>
  <si>
    <t>OLS SE</t>
  </si>
  <si>
    <t>LINEST</t>
  </si>
  <si>
    <t>SBC</t>
  </si>
  <si>
    <t>Matrix Calculations</t>
  </si>
  <si>
    <t>TREND</t>
  </si>
  <si>
    <t>Price 1</t>
  </si>
  <si>
    <t>Price 0</t>
  </si>
  <si>
    <t>Matrix solution (Example 2)</t>
  </si>
  <si>
    <t>Robust standard errors and heteroscedasticity</t>
  </si>
  <si>
    <t>Weighted linear regression</t>
  </si>
  <si>
    <t>Huber-White robust standard errors (Example 1)</t>
  </si>
  <si>
    <t>y/s</t>
  </si>
  <si>
    <t>x/s</t>
  </si>
  <si>
    <t>Wage1</t>
  </si>
  <si>
    <t>Wage2</t>
  </si>
  <si>
    <t>AIC/SBC for the two models</t>
  </si>
  <si>
    <t>AIC/SBC using the Real Statistics functions</t>
  </si>
  <si>
    <t>Augmented versions</t>
  </si>
  <si>
    <t>First-order autocorrelation</t>
  </si>
  <si>
    <t>Res lag 1</t>
  </si>
  <si>
    <t>Res lag 0</t>
  </si>
  <si>
    <t>Runs Test</t>
  </si>
  <si>
    <t>Correlation matrix</t>
  </si>
  <si>
    <t>Inverse of correlation matrix</t>
  </si>
  <si>
    <t>Sqrt Diag</t>
  </si>
  <si>
    <t>Alternative</t>
  </si>
  <si>
    <t>Partial correlation matrix</t>
  </si>
  <si>
    <t>Partial correlation Crime x Doctors</t>
  </si>
  <si>
    <t>Other ways of calculating R-square</t>
  </si>
  <si>
    <t>Alternative formula</t>
  </si>
  <si>
    <t>=RSquare(C4:E18,B4:B18)</t>
  </si>
  <si>
    <t>=RSquare(B4:E18,1)</t>
  </si>
  <si>
    <t>=1-1/H11</t>
  </si>
  <si>
    <t>Real Statistics formula</t>
  </si>
  <si>
    <t>Shapely-Owen</t>
  </si>
  <si>
    <t>x1</t>
  </si>
  <si>
    <t>x2</t>
  </si>
  <si>
    <t>x3</t>
  </si>
  <si>
    <t>r-sq</t>
  </si>
  <si>
    <t>w/o</t>
  </si>
  <si>
    <t>with</t>
  </si>
  <si>
    <t>r-sq w/o</t>
  </si>
  <si>
    <t>r-sq w/</t>
  </si>
  <si>
    <t>weight</t>
  </si>
  <si>
    <t>w*d</t>
  </si>
  <si>
    <t>Shapely-Owen (Example 1)</t>
  </si>
  <si>
    <t>Shapely-Owen Decomposition</t>
  </si>
  <si>
    <t>Seasonality (Example 5)</t>
  </si>
  <si>
    <t>Regression Forecast with Seasonality</t>
  </si>
  <si>
    <t>Quarter</t>
  </si>
  <si>
    <t>MAE</t>
  </si>
  <si>
    <t>Rev ($M)</t>
  </si>
  <si>
    <t>Seasonal Forecasts</t>
  </si>
  <si>
    <t>=EXP($J$51)*EXP($J$52)^LN(W38)*EXP($J$53)^LN(X38)</t>
  </si>
  <si>
    <t>=EXP($J$51)*EXP($J$52)^LN(W39)*EXP($J$53)^LN(X39)</t>
  </si>
  <si>
    <t>degree</t>
  </si>
  <si>
    <t>opt deg</t>
  </si>
  <si>
    <t>Degree  1</t>
  </si>
  <si>
    <t>Degree  2</t>
  </si>
  <si>
    <t>Degree  3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</si>
  <si>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</si>
  <si>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x</t>
    </r>
    <r>
      <rPr>
        <vertAlign val="superscript"/>
        <sz val="11"/>
        <color theme="1"/>
        <rFont val="Calibri"/>
        <family val="2"/>
        <scheme val="minor"/>
      </rPr>
      <t>3</t>
    </r>
  </si>
  <si>
    <t>Real Statistics data analysis (Example 2)</t>
  </si>
  <si>
    <t>Real Statistics data analysis with optimization (Example 3)</t>
  </si>
  <si>
    <t>Least Absolute Deviation (LAD) Regression</t>
  </si>
  <si>
    <t>Using Simplex method (Example 1)</t>
  </si>
  <si>
    <t>LAD Regression using Simplex method</t>
  </si>
  <si>
    <t>-T</t>
  </si>
  <si>
    <t>sum T</t>
  </si>
  <si>
    <t>LAD Regression using Reweighted Least Squares</t>
  </si>
  <si>
    <t>Real Stats</t>
  </si>
  <si>
    <t>Abs(Res)</t>
  </si>
  <si>
    <t>LAD Regression Tool</t>
  </si>
  <si>
    <t>LAD Regression</t>
  </si>
  <si>
    <t>LAD</t>
  </si>
  <si>
    <t>Using Iteratively reweighted least squares (IRLS) method (Example 2)</t>
  </si>
  <si>
    <t>Using Extract Columns data analysis tool</t>
  </si>
  <si>
    <t>Stepwise Regression</t>
  </si>
  <si>
    <t>Stepwise regression (Example 1)</t>
  </si>
  <si>
    <t>input data</t>
  </si>
  <si>
    <t>variables to retain</t>
  </si>
  <si>
    <t>p-values</t>
  </si>
  <si>
    <t>x4</t>
  </si>
  <si>
    <t>min p</t>
  </si>
  <si>
    <t>var #</t>
  </si>
  <si>
    <t>1a</t>
  </si>
  <si>
    <t>1b</t>
  </si>
  <si>
    <t>2a</t>
  </si>
  <si>
    <t>2b</t>
  </si>
  <si>
    <t>3a</t>
  </si>
  <si>
    <t>3b</t>
  </si>
  <si>
    <t>4a</t>
  </si>
  <si>
    <t>Step</t>
  </si>
  <si>
    <t>lambda</t>
  </si>
  <si>
    <t>No intercept</t>
  </si>
  <si>
    <t>Weighted Linear Regression (extra example)</t>
  </si>
  <si>
    <t>Weighted Regression Tool</t>
  </si>
  <si>
    <t>Total least squares regression</t>
  </si>
  <si>
    <t>TLS</t>
  </si>
  <si>
    <r>
      <t>x</t>
    </r>
    <r>
      <rPr>
        <sz val="11"/>
        <color theme="1"/>
        <rFont val="Calibri"/>
        <family val="2"/>
      </rPr>
      <t>̅</t>
    </r>
  </si>
  <si>
    <r>
      <t>y</t>
    </r>
    <r>
      <rPr>
        <sz val="11"/>
        <color theme="1"/>
        <rFont val="Calibri"/>
        <family val="2"/>
      </rPr>
      <t>̅</t>
    </r>
  </si>
  <si>
    <t>Total Least Squares Regression</t>
  </si>
  <si>
    <t>Total least squares regression (Example 1)</t>
  </si>
  <si>
    <t>Comparison with ordinary linear regression</t>
  </si>
  <si>
    <t>Deming regression</t>
  </si>
  <si>
    <t>Deming Regression - Known Variances</t>
  </si>
  <si>
    <t>Residuals Report</t>
  </si>
  <si>
    <t>QQ Plot - opt res</t>
  </si>
  <si>
    <t>x-hat</t>
  </si>
  <si>
    <t>y-hat</t>
  </si>
  <si>
    <t>raw res</t>
  </si>
  <si>
    <t>x-res</t>
  </si>
  <si>
    <t>y-res</t>
  </si>
  <si>
    <t>opt res</t>
  </si>
  <si>
    <r>
      <t>y</t>
    </r>
    <r>
      <rPr>
        <sz val="11"/>
        <rFont val="Arial Unicode MS"/>
        <family val="2"/>
      </rPr>
      <t>̅</t>
    </r>
  </si>
  <si>
    <t>Real Statistics Function</t>
  </si>
  <si>
    <t>Deming Regression - Unknown variances</t>
  </si>
  <si>
    <t>Deviations</t>
  </si>
  <si>
    <t>Regression coeff</t>
  </si>
  <si>
    <t>y1</t>
  </si>
  <si>
    <t>y2</t>
  </si>
  <si>
    <t>Deming Regression - Standard Error</t>
  </si>
  <si>
    <t>Coefficient Report</t>
  </si>
  <si>
    <t>Deming Regression</t>
  </si>
  <si>
    <t>Deming Regression - Hypothesis Testing</t>
  </si>
  <si>
    <t>x̅</t>
  </si>
  <si>
    <r>
      <t>y</t>
    </r>
    <r>
      <rPr>
        <sz val="11"/>
        <rFont val="Arial Unicode MS"/>
        <family val="2"/>
      </rPr>
      <t>̅ - x̅</t>
    </r>
  </si>
  <si>
    <t>param</t>
  </si>
  <si>
    <t>test 1</t>
  </si>
  <si>
    <t>test 2</t>
  </si>
  <si>
    <t>test</t>
  </si>
  <si>
    <t>slope = 1</t>
  </si>
  <si>
    <t>identity</t>
  </si>
  <si>
    <t>Deming Regression - Prediction Interval</t>
  </si>
  <si>
    <t>new</t>
  </si>
  <si>
    <t>Deming Regression - Prediction Intervals</t>
  </si>
  <si>
    <t>Confidence Interval for Sample Data Predictions</t>
  </si>
  <si>
    <t>Prediction Intervals</t>
  </si>
  <si>
    <t>Total Least Squares</t>
  </si>
  <si>
    <t>Total Least Squares Multiple Regression</t>
  </si>
  <si>
    <t>TLS regression (Example 1)</t>
  </si>
  <si>
    <t>Deming regression with unknown variances (Example 2)</t>
  </si>
  <si>
    <t>Deming regression with known variances (Example 1)</t>
  </si>
  <si>
    <t>Standard error using jackknifing</t>
  </si>
  <si>
    <t>Hypothesis testing</t>
  </si>
  <si>
    <t>Prediction interval function</t>
  </si>
  <si>
    <t>LAD Regression Tool with standard errors</t>
  </si>
  <si>
    <t>Standard errors via bootstrapping</t>
  </si>
  <si>
    <t>LAD Regression Standard Errors via Bootstrapping</t>
  </si>
  <si>
    <t>P</t>
  </si>
  <si>
    <t>Real Statistics data analysis tool (no intercept)</t>
  </si>
  <si>
    <t>Real Statistics data analysis tool with standard errors</t>
  </si>
  <si>
    <t>Three Factor ANOVA - row format, unbalanced</t>
  </si>
  <si>
    <t>Ridge and LASSO Regression</t>
  </si>
  <si>
    <t>Ridge Regression</t>
  </si>
  <si>
    <t>LASSO Regression</t>
  </si>
  <si>
    <t>X3</t>
  </si>
  <si>
    <t>X4</t>
  </si>
  <si>
    <t>Correlation Matrix</t>
  </si>
  <si>
    <t>Ridge Trace</t>
  </si>
  <si>
    <t>Lambda</t>
  </si>
  <si>
    <t>map</t>
  </si>
  <si>
    <t>Ridge Cross Validation</t>
  </si>
  <si>
    <t># of Groups</t>
  </si>
  <si>
    <t>CV Error</t>
  </si>
  <si>
    <t>coef unstd</t>
  </si>
  <si>
    <t>LASSO Trace</t>
  </si>
  <si>
    <t>Ridge Regression and multicollinearity</t>
  </si>
  <si>
    <t>VIF Goal</t>
  </si>
  <si>
    <t>Predictions using Ridge regression</t>
  </si>
  <si>
    <t>Copyright © 2013 - 2018 Charles Zaiontz</t>
  </si>
  <si>
    <t>Plot</t>
  </si>
  <si>
    <t>conf se</t>
  </si>
  <si>
    <t>pred</t>
  </si>
  <si>
    <t>pred se</t>
  </si>
  <si>
    <t>devsq(x)</t>
  </si>
  <si>
    <t>steyx</t>
  </si>
  <si>
    <t>Breusch-Godfrey Test</t>
  </si>
  <si>
    <t>Invest</t>
  </si>
  <si>
    <t>GNP</t>
  </si>
  <si>
    <t>Interest</t>
  </si>
  <si>
    <t>Res (ε)</t>
  </si>
  <si>
    <r>
      <t>ε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</si>
  <si>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ε</t>
    </r>
    <r>
      <rPr>
        <b/>
        <vertAlign val="subscript"/>
        <sz val="11"/>
        <color theme="1"/>
        <rFont val="Calibri"/>
        <family val="2"/>
        <scheme val="minor"/>
      </rPr>
      <t>i-1</t>
    </r>
  </si>
  <si>
    <r>
      <t>ε</t>
    </r>
    <r>
      <rPr>
        <b/>
        <vertAlign val="subscript"/>
        <sz val="11"/>
        <color theme="1"/>
        <rFont val="Calibri"/>
        <family val="2"/>
        <scheme val="minor"/>
      </rPr>
      <t>i-2</t>
    </r>
  </si>
  <si>
    <r>
      <t>ε</t>
    </r>
    <r>
      <rPr>
        <b/>
        <vertAlign val="subscript"/>
        <sz val="11"/>
        <color theme="1"/>
        <rFont val="Calibri"/>
        <family val="2"/>
        <scheme val="minor"/>
      </rPr>
      <t>i-3</t>
    </r>
  </si>
  <si>
    <r>
      <t>ε</t>
    </r>
    <r>
      <rPr>
        <b/>
        <vertAlign val="subscript"/>
        <sz val="11"/>
        <color theme="1"/>
        <rFont val="Calibri"/>
        <family val="2"/>
        <scheme val="minor"/>
      </rPr>
      <t>i-4</t>
    </r>
  </si>
  <si>
    <t>Breusch-Godfrey test</t>
  </si>
  <si>
    <t>χ2-stat</t>
  </si>
  <si>
    <t>Newey-West</t>
  </si>
  <si>
    <t>W0</t>
  </si>
  <si>
    <t>W0 weighted</t>
  </si>
  <si>
    <t>Constant</t>
  </si>
  <si>
    <r>
      <t>Res (</t>
    </r>
    <r>
      <rPr>
        <b/>
        <sz val="10"/>
        <rFont val="Calibri"/>
        <family val="2"/>
      </rPr>
      <t>ε</t>
    </r>
    <r>
      <rPr>
        <b/>
        <sz val="10"/>
        <rFont val="Arial"/>
        <family val="2"/>
      </rPr>
      <t>)</t>
    </r>
  </si>
  <si>
    <t>h</t>
  </si>
  <si>
    <t>mult</t>
  </si>
  <si>
    <t>W1</t>
  </si>
  <si>
    <t>W1 weighted</t>
  </si>
  <si>
    <t>W2</t>
  </si>
  <si>
    <t>W2 weighted</t>
  </si>
  <si>
    <t>W3</t>
  </si>
  <si>
    <t>W3 weighted</t>
  </si>
  <si>
    <r>
      <t>(X'X)</t>
    </r>
    <r>
      <rPr>
        <vertAlign val="superscript"/>
        <sz val="11"/>
        <color theme="1"/>
        <rFont val="Calibri"/>
        <family val="2"/>
        <scheme val="minor"/>
      </rPr>
      <t>-1</t>
    </r>
  </si>
  <si>
    <t>X'SX</t>
  </si>
  <si>
    <t>Cov(B)</t>
  </si>
  <si>
    <t>s.e</t>
  </si>
  <si>
    <t>Newey-West standard errors</t>
  </si>
  <si>
    <t>Introduction and graphical detection of autocorrelation</t>
  </si>
  <si>
    <t>Alternative BG test</t>
  </si>
  <si>
    <t>LM*</t>
  </si>
  <si>
    <t>Modified Test</t>
  </si>
  <si>
    <t>Cochrane-Orcutt Method</t>
  </si>
  <si>
    <r>
      <t>Res (</t>
    </r>
    <r>
      <rPr>
        <sz val="11"/>
        <color theme="1"/>
        <rFont val="Calibri"/>
        <family val="2"/>
      </rPr>
      <t>ε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)</t>
    </r>
  </si>
  <si>
    <t>ρ</t>
  </si>
  <si>
    <t>Intercept'</t>
  </si>
  <si>
    <t>Cochrane-Orcutt regression</t>
  </si>
  <si>
    <t>Detecting autocorrelation using the runs test</t>
  </si>
  <si>
    <t>Runs Test for Autocorrelation</t>
  </si>
  <si>
    <t>++++-----++</t>
  </si>
  <si>
    <t>+-+-+---++--</t>
  </si>
  <si>
    <t>n1</t>
  </si>
  <si>
    <t>n2</t>
  </si>
  <si>
    <t>runs</t>
  </si>
  <si>
    <t>tails</t>
  </si>
  <si>
    <t>z-stat</t>
  </si>
  <si>
    <t>=N13*(1-NORM.S.DIST(J13,TRUE))</t>
  </si>
  <si>
    <t>Regression model</t>
  </si>
  <si>
    <t>Real Statistics data analysis, input in Excel format</t>
  </si>
  <si>
    <t>Real Statistics data analysis, input in standard format</t>
  </si>
  <si>
    <t>Unbalanced repeated measures ANOVA using regression</t>
  </si>
  <si>
    <t>Repeated Measures ANOVA using Regression</t>
  </si>
  <si>
    <t>Regression Analysis (S,D,A)</t>
  </si>
  <si>
    <t>Two Factor Anova with Repeated Measures</t>
  </si>
  <si>
    <t>subjects</t>
  </si>
  <si>
    <t>days</t>
  </si>
  <si>
    <t>age</t>
  </si>
  <si>
    <t>Day 1</t>
  </si>
  <si>
    <t>Day 2</t>
  </si>
  <si>
    <t>Day 3</t>
  </si>
  <si>
    <t>mid</t>
  </si>
  <si>
    <t>old</t>
  </si>
  <si>
    <t>yield</t>
  </si>
  <si>
    <t>Young</t>
  </si>
  <si>
    <t>P value</t>
  </si>
  <si>
    <t>Between Subjects</t>
  </si>
  <si>
    <t>- Rows</t>
  </si>
  <si>
    <t>- Error</t>
  </si>
  <si>
    <t>Within Subjects</t>
  </si>
  <si>
    <t>Middle</t>
  </si>
  <si>
    <t>- Columns</t>
  </si>
  <si>
    <t>- Interaction</t>
  </si>
  <si>
    <t>Regression Analysis (S)</t>
  </si>
  <si>
    <t>Regression Analysis(D,A)</t>
  </si>
  <si>
    <t>Regression Analysis (A)</t>
  </si>
  <si>
    <t>Regression Analysis (S,D)</t>
  </si>
  <si>
    <t>Regression Analysis (S,A)</t>
  </si>
  <si>
    <t>Regression Analysis (A,D,DA)</t>
  </si>
  <si>
    <t>mid2</t>
  </si>
  <si>
    <t>old2</t>
  </si>
  <si>
    <t>mid3</t>
  </si>
  <si>
    <t>old3</t>
  </si>
  <si>
    <t>Regression Analysis (D)</t>
  </si>
  <si>
    <t>Input data in stacked format</t>
  </si>
  <si>
    <t>Greenhouse and Geisser</t>
  </si>
  <si>
    <t>Sources</t>
  </si>
  <si>
    <t xml:space="preserve"> F crit</t>
  </si>
  <si>
    <t>Error</t>
  </si>
  <si>
    <t>Huyhn and Feldt</t>
  </si>
  <si>
    <t>GG epsilon</t>
  </si>
  <si>
    <t>HF epsilon</t>
  </si>
  <si>
    <t>Day</t>
  </si>
  <si>
    <t>Sleep</t>
  </si>
  <si>
    <t>Input data in Excel Format</t>
  </si>
  <si>
    <t>Tables</t>
  </si>
  <si>
    <t>Real Statistics Using Excel - Examples Workbook Regression 1</t>
  </si>
  <si>
    <t>Durbin-Watson table 1</t>
  </si>
  <si>
    <t>Durbin-Watson table 2</t>
  </si>
  <si>
    <t>Durbin-Watson Table</t>
  </si>
  <si>
    <t>Alpha = .01</t>
  </si>
  <si>
    <t>n\k</t>
  </si>
  <si>
    <t>https://www3.nd.edu/~wevans1/econ30331/Durbin_Watson_tables.pdf</t>
  </si>
  <si>
    <t>Alpha = .05</t>
  </si>
  <si>
    <t>Mediation Analysis</t>
  </si>
  <si>
    <t>Mediation Analysis Example</t>
  </si>
  <si>
    <t>Id</t>
  </si>
  <si>
    <t>Support</t>
  </si>
  <si>
    <t>Training</t>
  </si>
  <si>
    <t>Perform</t>
  </si>
  <si>
    <t>t-stat</t>
  </si>
  <si>
    <t>corr</t>
  </si>
  <si>
    <t>semi-part</t>
  </si>
  <si>
    <t>X =&gt; M</t>
  </si>
  <si>
    <t>M =&gt; Y</t>
  </si>
  <si>
    <t>X =&gt; Y</t>
  </si>
  <si>
    <t>M</t>
  </si>
  <si>
    <t>X=&gt;M=&gt;Y</t>
  </si>
  <si>
    <t>Charles Zaiontz, 29 October 2018</t>
  </si>
  <si>
    <t>Weighted Regression</t>
  </si>
  <si>
    <t>Weighted Regression Analysis</t>
  </si>
  <si>
    <t>Adj R Square</t>
  </si>
  <si>
    <t>Ad</t>
  </si>
  <si>
    <t>Clients</t>
  </si>
  <si>
    <t>Abs Res</t>
  </si>
  <si>
    <t>Pred Res</t>
  </si>
  <si>
    <t>Weights</t>
  </si>
  <si>
    <t>Stress</t>
  </si>
  <si>
    <t>Min</t>
  </si>
  <si>
    <t>Max</t>
  </si>
  <si>
    <t>Var</t>
  </si>
  <si>
    <t>Males</t>
  </si>
  <si>
    <t>Females</t>
  </si>
  <si>
    <t>Weighted Linear Regression (Example 2)</t>
  </si>
  <si>
    <t>Weighted Linear Regression (Example 3)</t>
  </si>
  <si>
    <t>Weighted Linear Regression (Example 4)</t>
  </si>
  <si>
    <t>Weighted Linear Regression (Example 5)</t>
  </si>
  <si>
    <t>Weighted Linear Regression using regression through the origin (Example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</si>
</sst>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#,##0.0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</font>
    <font>
      <sz val="10"/>
      <name val="Courier New"/>
      <family val="3"/>
    </font>
    <font>
      <sz val="10"/>
      <name val="Arial"/>
      <family val="2"/>
    </font>
    <font>
      <sz val="10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i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Arial Unicode MS"/>
      <family val="2"/>
    </font>
    <font>
      <sz val="11"/>
      <name val="Arial Unicode MS"/>
      <family val="2"/>
    </font>
    <font>
      <b/>
      <sz val="1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name val="Calibri"/>
      <family val="2"/>
      <scheme val="minor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8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1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2" fillId="0" borderId="0"/>
  </cellStyleXfs>
  <cellXfs count="758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/>
    <xf numFmtId="0" fontId="0" fillId="0" borderId="0" xfId="0" applyAlignment="1">
      <alignment horizontal="right"/>
    </xf>
    <xf numFmtId="2" fontId="0" fillId="0" borderId="3" xfId="0" applyNumberFormat="1" applyBorder="1"/>
    <xf numFmtId="0" fontId="0" fillId="0" borderId="0" xfId="0" quotePrefix="1"/>
    <xf numFmtId="0" fontId="0" fillId="0" borderId="0" xfId="0" applyFont="1"/>
    <xf numFmtId="0" fontId="4" fillId="0" borderId="10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11" xfId="0" applyFill="1" applyBorder="1" applyAlignment="1"/>
    <xf numFmtId="0" fontId="4" fillId="0" borderId="10" xfId="0" applyFont="1" applyFill="1" applyBorder="1" applyAlignment="1">
      <alignment horizontal="centerContinuous"/>
    </xf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NumberFormat="1"/>
    <xf numFmtId="0" fontId="0" fillId="0" borderId="7" xfId="0" applyBorder="1"/>
    <xf numFmtId="164" fontId="0" fillId="0" borderId="0" xfId="0" applyNumberFormat="1"/>
    <xf numFmtId="0" fontId="3" fillId="0" borderId="0" xfId="0" applyFont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9" fillId="0" borderId="0" xfId="0" applyFont="1" applyBorder="1"/>
    <xf numFmtId="2" fontId="0" fillId="0" borderId="2" xfId="0" applyNumberFormat="1" applyBorder="1"/>
    <xf numFmtId="2" fontId="0" fillId="0" borderId="0" xfId="0" applyNumberFormat="1" applyBorder="1"/>
    <xf numFmtId="0" fontId="0" fillId="0" borderId="0" xfId="0" applyFont="1" applyAlignment="1">
      <alignment horizontal="center" vertical="center" wrapText="1"/>
    </xf>
    <xf numFmtId="0" fontId="0" fillId="0" borderId="2" xfId="0" applyFont="1" applyBorder="1"/>
    <xf numFmtId="0" fontId="0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3" xfId="0" applyBorder="1"/>
    <xf numFmtId="0" fontId="13" fillId="0" borderId="0" xfId="0" applyFont="1"/>
    <xf numFmtId="0" fontId="13" fillId="0" borderId="12" xfId="0" applyFont="1" applyBorder="1"/>
    <xf numFmtId="0" fontId="13" fillId="0" borderId="12" xfId="0" applyFont="1" applyBorder="1" applyAlignment="1">
      <alignment horizontal="right"/>
    </xf>
    <xf numFmtId="0" fontId="13" fillId="0" borderId="0" xfId="2" applyFont="1" applyBorder="1" applyAlignment="1">
      <alignment horizontal="right"/>
    </xf>
    <xf numFmtId="164" fontId="13" fillId="0" borderId="0" xfId="2" quotePrefix="1" applyNumberFormat="1" applyFont="1" applyBorder="1" applyAlignment="1">
      <alignment horizontal="right"/>
    </xf>
    <xf numFmtId="164" fontId="13" fillId="0" borderId="0" xfId="0" applyNumberFormat="1" applyFont="1"/>
    <xf numFmtId="3" fontId="13" fillId="0" borderId="0" xfId="2" applyNumberFormat="1" applyFont="1" applyFill="1" applyBorder="1" applyAlignment="1">
      <alignment horizontal="right" wrapText="1"/>
    </xf>
    <xf numFmtId="164" fontId="13" fillId="0" borderId="0" xfId="2" applyNumberFormat="1" applyFont="1" applyBorder="1" applyAlignment="1"/>
    <xf numFmtId="2" fontId="13" fillId="0" borderId="0" xfId="2" applyNumberFormat="1" applyFont="1" applyAlignment="1"/>
    <xf numFmtId="164" fontId="13" fillId="0" borderId="0" xfId="2" applyNumberFormat="1" applyFont="1" applyBorder="1" applyAlignment="1">
      <alignment horizontal="right" wrapText="1"/>
    </xf>
    <xf numFmtId="164" fontId="13" fillId="0" borderId="0" xfId="3" applyNumberFormat="1" applyFont="1" applyAlignment="1"/>
    <xf numFmtId="3" fontId="13" fillId="0" borderId="0" xfId="2" applyNumberFormat="1" applyFont="1"/>
    <xf numFmtId="167" fontId="13" fillId="0" borderId="0" xfId="2" applyNumberFormat="1" applyFont="1" applyBorder="1" applyAlignment="1">
      <alignment horizontal="right"/>
    </xf>
    <xf numFmtId="164" fontId="13" fillId="0" borderId="0" xfId="2" applyNumberFormat="1" applyFont="1" applyBorder="1" applyAlignment="1">
      <alignment horizontal="right"/>
    </xf>
    <xf numFmtId="0" fontId="13" fillId="0" borderId="14" xfId="0" applyFont="1" applyBorder="1"/>
    <xf numFmtId="0" fontId="13" fillId="0" borderId="14" xfId="2" applyFont="1" applyBorder="1" applyAlignment="1">
      <alignment horizontal="right"/>
    </xf>
    <xf numFmtId="164" fontId="13" fillId="0" borderId="14" xfId="2" quotePrefix="1" applyNumberFormat="1" applyFont="1" applyBorder="1" applyAlignment="1">
      <alignment horizontal="right"/>
    </xf>
    <xf numFmtId="164" fontId="13" fillId="0" borderId="14" xfId="0" applyNumberFormat="1" applyFont="1" applyBorder="1"/>
    <xf numFmtId="3" fontId="13" fillId="0" borderId="14" xfId="2" applyNumberFormat="1" applyFont="1" applyFill="1" applyBorder="1" applyAlignment="1">
      <alignment horizontal="right" wrapText="1"/>
    </xf>
    <xf numFmtId="164" fontId="13" fillId="0" borderId="14" xfId="2" applyNumberFormat="1" applyFont="1" applyBorder="1" applyAlignment="1"/>
    <xf numFmtId="2" fontId="13" fillId="0" borderId="14" xfId="2" applyNumberFormat="1" applyFont="1" applyBorder="1" applyAlignment="1"/>
    <xf numFmtId="164" fontId="13" fillId="0" borderId="14" xfId="2" applyNumberFormat="1" applyFont="1" applyBorder="1" applyAlignment="1">
      <alignment horizontal="right" wrapText="1"/>
    </xf>
    <xf numFmtId="164" fontId="13" fillId="0" borderId="14" xfId="3" applyNumberFormat="1" applyFont="1" applyBorder="1" applyAlignment="1"/>
    <xf numFmtId="3" fontId="13" fillId="0" borderId="14" xfId="2" applyNumberFormat="1" applyFont="1" applyBorder="1"/>
    <xf numFmtId="0" fontId="3" fillId="0" borderId="0" xfId="0" applyFont="1" applyAlignment="1">
      <alignment horizontal="center"/>
    </xf>
    <xf numFmtId="0" fontId="0" fillId="0" borderId="15" xfId="0" applyBorder="1"/>
    <xf numFmtId="0" fontId="0" fillId="0" borderId="14" xfId="0" applyBorder="1"/>
    <xf numFmtId="0" fontId="0" fillId="0" borderId="16" xfId="0" applyBorder="1"/>
    <xf numFmtId="0" fontId="0" fillId="0" borderId="3" xfId="0" applyFont="1" applyBorder="1"/>
    <xf numFmtId="0" fontId="0" fillId="0" borderId="0" xfId="0" applyFont="1" applyBorder="1"/>
    <xf numFmtId="0" fontId="0" fillId="0" borderId="17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/>
    </xf>
    <xf numFmtId="0" fontId="0" fillId="0" borderId="0" xfId="0" quotePrefix="1" applyAlignment="1"/>
    <xf numFmtId="0" fontId="0" fillId="0" borderId="27" xfId="0" applyBorder="1"/>
    <xf numFmtId="0" fontId="0" fillId="0" borderId="17" xfId="0" applyBorder="1" applyAlignment="1">
      <alignment horizontal="right"/>
    </xf>
    <xf numFmtId="0" fontId="0" fillId="0" borderId="0" xfId="0" quotePrefix="1" applyAlignment="1">
      <alignment horizontal="left"/>
    </xf>
    <xf numFmtId="0" fontId="0" fillId="0" borderId="0" xfId="0" applyFill="1" applyBorder="1" applyAlignment="1">
      <alignment horizontal="right" vertical="center"/>
    </xf>
    <xf numFmtId="0" fontId="0" fillId="0" borderId="0" xfId="0" quotePrefix="1" applyFill="1" applyBorder="1"/>
    <xf numFmtId="0" fontId="0" fillId="0" borderId="0" xfId="0" applyBorder="1" applyAlignment="1">
      <alignment horizontal="center" vertic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2" fontId="0" fillId="0" borderId="8" xfId="0" applyNumberFormat="1" applyBorder="1"/>
    <xf numFmtId="0" fontId="0" fillId="0" borderId="27" xfId="0" applyFont="1" applyBorder="1"/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20" xfId="0" applyBorder="1" applyAlignment="1">
      <alignment horizontal="center"/>
    </xf>
    <xf numFmtId="0" fontId="0" fillId="0" borderId="35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2" fontId="0" fillId="0" borderId="36" xfId="0" applyNumberFormat="1" applyBorder="1"/>
    <xf numFmtId="2" fontId="0" fillId="0" borderId="32" xfId="0" applyNumberFormat="1" applyBorder="1"/>
    <xf numFmtId="2" fontId="0" fillId="0" borderId="33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2" fontId="0" fillId="0" borderId="15" xfId="0" applyNumberFormat="1" applyBorder="1"/>
    <xf numFmtId="2" fontId="0" fillId="0" borderId="14" xfId="0" applyNumberFormat="1" applyBorder="1"/>
    <xf numFmtId="2" fontId="0" fillId="0" borderId="16" xfId="0" applyNumberFormat="1" applyBorder="1"/>
    <xf numFmtId="0" fontId="13" fillId="0" borderId="0" xfId="0" applyFont="1" applyFill="1" applyBorder="1" applyAlignment="1">
      <alignment horizontal="left"/>
    </xf>
    <xf numFmtId="164" fontId="0" fillId="0" borderId="30" xfId="0" applyNumberFormat="1" applyBorder="1"/>
    <xf numFmtId="0" fontId="13" fillId="0" borderId="30" xfId="2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3" borderId="0" xfId="0" applyFont="1" applyFill="1"/>
    <xf numFmtId="0" fontId="4" fillId="0" borderId="38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0" xfId="0" applyFill="1" applyBorder="1" applyAlignment="1"/>
    <xf numFmtId="0" fontId="0" fillId="0" borderId="40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1" xfId="0" applyBorder="1" applyAlignment="1">
      <alignment horizontal="right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165" fontId="0" fillId="0" borderId="27" xfId="0" applyNumberFormat="1" applyBorder="1"/>
    <xf numFmtId="165" fontId="0" fillId="0" borderId="8" xfId="0" applyNumberFormat="1" applyBorder="1"/>
    <xf numFmtId="165" fontId="0" fillId="0" borderId="17" xfId="0" applyNumberFormat="1" applyBorder="1"/>
    <xf numFmtId="166" fontId="0" fillId="0" borderId="27" xfId="0" applyNumberFormat="1" applyBorder="1"/>
    <xf numFmtId="166" fontId="0" fillId="0" borderId="8" xfId="0" applyNumberFormat="1" applyBorder="1"/>
    <xf numFmtId="166" fontId="0" fillId="0" borderId="17" xfId="0" applyNumberFormat="1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30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0" fontId="4" fillId="0" borderId="0" xfId="0" applyFont="1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right" wrapText="1"/>
    </xf>
    <xf numFmtId="0" fontId="0" fillId="0" borderId="42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0" borderId="30" xfId="0" applyNumberForma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" xfId="0" applyFill="1" applyBorder="1"/>
    <xf numFmtId="0" fontId="4" fillId="0" borderId="10" xfId="0" applyFont="1" applyFill="1" applyBorder="1" applyAlignment="1">
      <alignment horizontal="center"/>
    </xf>
    <xf numFmtId="0" fontId="0" fillId="0" borderId="51" xfId="0" applyBorder="1" applyAlignment="1">
      <alignment horizontal="right"/>
    </xf>
    <xf numFmtId="0" fontId="0" fillId="0" borderId="52" xfId="0" applyBorder="1"/>
    <xf numFmtId="0" fontId="0" fillId="0" borderId="53" xfId="0" applyBorder="1"/>
    <xf numFmtId="0" fontId="0" fillId="0" borderId="50" xfId="0" applyBorder="1"/>
    <xf numFmtId="0" fontId="18" fillId="0" borderId="54" xfId="0" applyFont="1" applyFill="1" applyBorder="1" applyAlignment="1">
      <alignment horizontal="right"/>
    </xf>
    <xf numFmtId="0" fontId="0" fillId="0" borderId="0" xfId="0" applyFont="1" applyAlignment="1">
      <alignment horizontal="left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50" xfId="0" applyFill="1" applyBorder="1"/>
    <xf numFmtId="0" fontId="0" fillId="0" borderId="4" xfId="0" applyFill="1" applyBorder="1"/>
    <xf numFmtId="0" fontId="0" fillId="0" borderId="62" xfId="0" applyBorder="1"/>
    <xf numFmtId="0" fontId="0" fillId="0" borderId="59" xfId="0" applyFill="1" applyBorder="1"/>
    <xf numFmtId="0" fontId="0" fillId="0" borderId="5" xfId="0" applyFill="1" applyBorder="1"/>
    <xf numFmtId="0" fontId="0" fillId="0" borderId="60" xfId="0" applyFill="1" applyBorder="1"/>
    <xf numFmtId="0" fontId="0" fillId="0" borderId="6" xfId="0" applyFill="1" applyBorder="1"/>
    <xf numFmtId="0" fontId="0" fillId="0" borderId="63" xfId="0" applyFill="1" applyBorder="1"/>
    <xf numFmtId="0" fontId="0" fillId="0" borderId="64" xfId="0" applyBorder="1"/>
    <xf numFmtId="0" fontId="0" fillId="0" borderId="63" xfId="0" applyBorder="1"/>
    <xf numFmtId="0" fontId="0" fillId="0" borderId="65" xfId="0" applyBorder="1"/>
    <xf numFmtId="0" fontId="0" fillId="0" borderId="2" xfId="0" applyFill="1" applyBorder="1"/>
    <xf numFmtId="0" fontId="0" fillId="0" borderId="66" xfId="0" applyBorder="1"/>
    <xf numFmtId="0" fontId="4" fillId="0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4" xfId="0" applyBorder="1" applyAlignment="1">
      <alignment horizontal="center"/>
    </xf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69" xfId="0" applyFill="1" applyBorder="1"/>
    <xf numFmtId="0" fontId="0" fillId="0" borderId="67" xfId="0" applyFill="1" applyBorder="1"/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5" xfId="0" applyBorder="1" applyAlignment="1"/>
    <xf numFmtId="0" fontId="0" fillId="0" borderId="53" xfId="0" applyBorder="1" applyAlignment="1">
      <alignment horizontal="center"/>
    </xf>
    <xf numFmtId="166" fontId="0" fillId="0" borderId="53" xfId="0" applyNumberFormat="1" applyBorder="1"/>
    <xf numFmtId="0" fontId="0" fillId="0" borderId="73" xfId="0" applyBorder="1"/>
    <xf numFmtId="165" fontId="0" fillId="0" borderId="73" xfId="0" applyNumberFormat="1" applyBorder="1"/>
    <xf numFmtId="165" fontId="0" fillId="0" borderId="41" xfId="0" applyNumberFormat="1" applyBorder="1"/>
    <xf numFmtId="0" fontId="0" fillId="0" borderId="70" xfId="0" applyBorder="1" applyAlignment="1">
      <alignment horizontal="center"/>
    </xf>
    <xf numFmtId="0" fontId="0" fillId="0" borderId="0" xfId="0" applyAlignment="1">
      <alignment wrapText="1"/>
    </xf>
    <xf numFmtId="0" fontId="0" fillId="0" borderId="70" xfId="0" applyBorder="1" applyAlignment="1">
      <alignment horizontal="right" wrapText="1"/>
    </xf>
    <xf numFmtId="0" fontId="0" fillId="0" borderId="50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74" xfId="0" applyBorder="1"/>
    <xf numFmtId="0" fontId="0" fillId="0" borderId="76" xfId="0" applyBorder="1"/>
    <xf numFmtId="0" fontId="0" fillId="0" borderId="77" xfId="0" applyBorder="1"/>
    <xf numFmtId="166" fontId="0" fillId="0" borderId="77" xfId="0" applyNumberFormat="1" applyBorder="1" applyAlignment="1">
      <alignment horizontal="center"/>
    </xf>
    <xf numFmtId="166" fontId="0" fillId="0" borderId="53" xfId="0" applyNumberFormat="1" applyBorder="1" applyAlignment="1">
      <alignment horizontal="center"/>
    </xf>
    <xf numFmtId="166" fontId="0" fillId="0" borderId="41" xfId="0" applyNumberFormat="1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74" xfId="0" applyFont="1" applyBorder="1"/>
    <xf numFmtId="0" fontId="0" fillId="0" borderId="75" xfId="0" applyFont="1" applyBorder="1"/>
    <xf numFmtId="0" fontId="0" fillId="0" borderId="76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9" xfId="0" applyBorder="1"/>
    <xf numFmtId="0" fontId="0" fillId="0" borderId="80" xfId="0" applyBorder="1"/>
    <xf numFmtId="0" fontId="0" fillId="0" borderId="78" xfId="0" applyBorder="1" applyAlignment="1">
      <alignment horizontal="center"/>
    </xf>
    <xf numFmtId="0" fontId="0" fillId="0" borderId="81" xfId="0" applyBorder="1"/>
    <xf numFmtId="0" fontId="0" fillId="0" borderId="82" xfId="0" applyBorder="1"/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3" xfId="0" applyFill="1" applyBorder="1"/>
    <xf numFmtId="0" fontId="0" fillId="3" borderId="0" xfId="0" applyFill="1" applyBorder="1"/>
    <xf numFmtId="166" fontId="0" fillId="0" borderId="81" xfId="0" applyNumberFormat="1" applyBorder="1"/>
    <xf numFmtId="166" fontId="0" fillId="0" borderId="0" xfId="0" applyNumberFormat="1" applyBorder="1"/>
    <xf numFmtId="166" fontId="0" fillId="0" borderId="5" xfId="0" applyNumberFormat="1" applyBorder="1"/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0" fillId="0" borderId="85" xfId="0" applyBorder="1"/>
    <xf numFmtId="0" fontId="0" fillId="0" borderId="86" xfId="0" applyBorder="1"/>
    <xf numFmtId="0" fontId="0" fillId="0" borderId="87" xfId="0" applyBorder="1" applyAlignment="1">
      <alignment horizontal="center"/>
    </xf>
    <xf numFmtId="0" fontId="0" fillId="0" borderId="88" xfId="0" applyBorder="1" applyAlignment="1">
      <alignment horizontal="right"/>
    </xf>
    <xf numFmtId="0" fontId="0" fillId="0" borderId="87" xfId="0" applyBorder="1"/>
    <xf numFmtId="0" fontId="0" fillId="0" borderId="88" xfId="0" applyBorder="1"/>
    <xf numFmtId="0" fontId="0" fillId="0" borderId="85" xfId="0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90" xfId="0" applyBorder="1"/>
    <xf numFmtId="0" fontId="0" fillId="0" borderId="91" xfId="0" applyBorder="1"/>
    <xf numFmtId="0" fontId="0" fillId="0" borderId="92" xfId="0" applyBorder="1"/>
    <xf numFmtId="0" fontId="0" fillId="0" borderId="89" xfId="0" applyBorder="1"/>
    <xf numFmtId="0" fontId="0" fillId="0" borderId="9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94" xfId="0" applyBorder="1"/>
    <xf numFmtId="0" fontId="0" fillId="0" borderId="93" xfId="0" applyBorder="1"/>
    <xf numFmtId="0" fontId="0" fillId="0" borderId="88" xfId="0" applyNumberFormat="1" applyBorder="1"/>
    <xf numFmtId="0" fontId="0" fillId="0" borderId="91" xfId="0" applyNumberFormat="1" applyBorder="1"/>
    <xf numFmtId="0" fontId="0" fillId="0" borderId="0" xfId="0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88" xfId="0" applyFont="1" applyBorder="1"/>
    <xf numFmtId="0" fontId="0" fillId="0" borderId="99" xfId="0" applyBorder="1"/>
    <xf numFmtId="0" fontId="0" fillId="0" borderId="100" xfId="0" applyBorder="1"/>
    <xf numFmtId="0" fontId="0" fillId="0" borderId="95" xfId="0" applyBorder="1"/>
    <xf numFmtId="0" fontId="0" fillId="0" borderId="97" xfId="0" applyBorder="1"/>
    <xf numFmtId="0" fontId="0" fillId="0" borderId="101" xfId="0" applyBorder="1"/>
    <xf numFmtId="0" fontId="4" fillId="0" borderId="10" xfId="0" applyFont="1" applyFill="1" applyBorder="1" applyAlignment="1">
      <alignment horizontal="center"/>
    </xf>
    <xf numFmtId="0" fontId="0" fillId="0" borderId="102" xfId="0" applyBorder="1"/>
    <xf numFmtId="0" fontId="0" fillId="0" borderId="45" xfId="0" applyFont="1" applyBorder="1" applyAlignment="1">
      <alignment horizontal="center"/>
    </xf>
    <xf numFmtId="0" fontId="0" fillId="0" borderId="42" xfId="0" applyFont="1" applyBorder="1" applyAlignment="1">
      <alignment horizontal="center"/>
    </xf>
    <xf numFmtId="0" fontId="0" fillId="0" borderId="43" xfId="0" applyFont="1" applyBorder="1" applyAlignment="1">
      <alignment horizontal="center"/>
    </xf>
    <xf numFmtId="0" fontId="0" fillId="0" borderId="44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0" xfId="0" applyFont="1" applyFill="1" applyBorder="1" applyAlignment="1"/>
    <xf numFmtId="0" fontId="0" fillId="0" borderId="29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0" fillId="0" borderId="11" xfId="0" applyFont="1" applyFill="1" applyBorder="1" applyAlignment="1"/>
    <xf numFmtId="0" fontId="0" fillId="0" borderId="30" xfId="0" applyFont="1" applyFill="1" applyBorder="1" applyAlignment="1">
      <alignment horizontal="center"/>
    </xf>
    <xf numFmtId="0" fontId="0" fillId="0" borderId="101" xfId="0" applyFont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NumberFormat="1" applyFont="1"/>
    <xf numFmtId="0" fontId="0" fillId="0" borderId="104" xfId="0" applyBorder="1"/>
    <xf numFmtId="0" fontId="0" fillId="0" borderId="106" xfId="0" applyBorder="1"/>
    <xf numFmtId="0" fontId="9" fillId="0" borderId="0" xfId="0" applyFont="1"/>
    <xf numFmtId="0" fontId="0" fillId="0" borderId="107" xfId="0" applyBorder="1"/>
    <xf numFmtId="0" fontId="0" fillId="0" borderId="108" xfId="0" applyBorder="1"/>
    <xf numFmtId="0" fontId="4" fillId="0" borderId="109" xfId="0" applyFont="1" applyBorder="1" applyAlignment="1">
      <alignment horizontal="center"/>
    </xf>
    <xf numFmtId="0" fontId="9" fillId="0" borderId="12" xfId="0" applyFont="1" applyBorder="1"/>
    <xf numFmtId="0" fontId="9" fillId="0" borderId="12" xfId="0" applyFont="1" applyBorder="1" applyAlignment="1">
      <alignment horizontal="right"/>
    </xf>
    <xf numFmtId="0" fontId="9" fillId="0" borderId="0" xfId="2" applyFont="1" applyBorder="1" applyAlignment="1">
      <alignment horizontal="right"/>
    </xf>
    <xf numFmtId="164" fontId="9" fillId="0" borderId="0" xfId="2" quotePrefix="1" applyNumberFormat="1" applyFont="1" applyBorder="1" applyAlignment="1">
      <alignment horizontal="right"/>
    </xf>
    <xf numFmtId="164" fontId="9" fillId="0" borderId="0" xfId="0" applyNumberFormat="1" applyFont="1"/>
    <xf numFmtId="3" fontId="9" fillId="0" borderId="0" xfId="2" applyNumberFormat="1" applyFont="1" applyFill="1" applyBorder="1" applyAlignment="1">
      <alignment horizontal="right" wrapText="1"/>
    </xf>
    <xf numFmtId="164" fontId="9" fillId="0" borderId="0" xfId="2" applyNumberFormat="1" applyFont="1" applyBorder="1" applyAlignment="1"/>
    <xf numFmtId="2" fontId="9" fillId="0" borderId="0" xfId="2" applyNumberFormat="1" applyFont="1" applyAlignment="1"/>
    <xf numFmtId="164" fontId="9" fillId="0" borderId="0" xfId="2" applyNumberFormat="1" applyFont="1" applyBorder="1" applyAlignment="1">
      <alignment horizontal="right" wrapText="1"/>
    </xf>
    <xf numFmtId="164" fontId="9" fillId="0" borderId="0" xfId="3" applyNumberFormat="1" applyFont="1" applyAlignment="1"/>
    <xf numFmtId="3" fontId="9" fillId="0" borderId="0" xfId="2" applyNumberFormat="1" applyFont="1"/>
    <xf numFmtId="167" fontId="9" fillId="0" borderId="0" xfId="2" applyNumberFormat="1" applyFont="1" applyBorder="1" applyAlignment="1">
      <alignment horizontal="right"/>
    </xf>
    <xf numFmtId="164" fontId="9" fillId="0" borderId="0" xfId="0" applyNumberFormat="1" applyFont="1" applyBorder="1"/>
    <xf numFmtId="2" fontId="9" fillId="0" borderId="0" xfId="2" applyNumberFormat="1" applyFont="1" applyBorder="1" applyAlignment="1"/>
    <xf numFmtId="164" fontId="9" fillId="0" borderId="0" xfId="3" applyNumberFormat="1" applyFont="1" applyBorder="1" applyAlignment="1"/>
    <xf numFmtId="3" fontId="9" fillId="0" borderId="0" xfId="2" applyNumberFormat="1" applyFont="1" applyBorder="1"/>
    <xf numFmtId="0" fontId="0" fillId="0" borderId="9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10" xfId="0" applyBorder="1"/>
    <xf numFmtId="0" fontId="0" fillId="0" borderId="111" xfId="0" applyBorder="1"/>
    <xf numFmtId="0" fontId="0" fillId="0" borderId="112" xfId="0" applyBorder="1" applyAlignment="1">
      <alignment horizontal="center"/>
    </xf>
    <xf numFmtId="0" fontId="0" fillId="0" borderId="113" xfId="0" applyBorder="1"/>
    <xf numFmtId="0" fontId="0" fillId="3" borderId="105" xfId="0" applyFill="1" applyBorder="1"/>
    <xf numFmtId="0" fontId="0" fillId="3" borderId="87" xfId="0" applyFill="1" applyBorder="1"/>
    <xf numFmtId="0" fontId="0" fillId="3" borderId="97" xfId="0" applyFill="1" applyBorder="1"/>
    <xf numFmtId="0" fontId="0" fillId="0" borderId="114" xfId="0" applyBorder="1"/>
    <xf numFmtId="0" fontId="0" fillId="0" borderId="115" xfId="0" applyBorder="1"/>
    <xf numFmtId="0" fontId="0" fillId="3" borderId="116" xfId="0" applyFill="1" applyBorder="1"/>
    <xf numFmtId="0" fontId="4" fillId="0" borderId="117" xfId="0" applyFont="1" applyBorder="1" applyAlignment="1">
      <alignment horizontal="center"/>
    </xf>
    <xf numFmtId="0" fontId="0" fillId="0" borderId="118" xfId="0" applyBorder="1"/>
    <xf numFmtId="0" fontId="0" fillId="0" borderId="118" xfId="0" applyBorder="1" applyAlignment="1">
      <alignment horizontal="right"/>
    </xf>
    <xf numFmtId="0" fontId="0" fillId="0" borderId="119" xfId="0" applyBorder="1"/>
    <xf numFmtId="0" fontId="0" fillId="0" borderId="120" xfId="0" applyBorder="1"/>
    <xf numFmtId="0" fontId="0" fillId="0" borderId="121" xfId="0" applyBorder="1"/>
    <xf numFmtId="0" fontId="0" fillId="0" borderId="12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24" xfId="0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123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29" xfId="0" applyBorder="1"/>
    <xf numFmtId="0" fontId="0" fillId="0" borderId="130" xfId="0" applyBorder="1"/>
    <xf numFmtId="0" fontId="0" fillId="0" borderId="131" xfId="0" applyBorder="1"/>
    <xf numFmtId="0" fontId="0" fillId="0" borderId="128" xfId="0" applyBorder="1"/>
    <xf numFmtId="0" fontId="0" fillId="0" borderId="136" xfId="0" applyBorder="1"/>
    <xf numFmtId="0" fontId="0" fillId="0" borderId="137" xfId="0" applyBorder="1"/>
    <xf numFmtId="0" fontId="0" fillId="0" borderId="138" xfId="0" applyBorder="1"/>
    <xf numFmtId="0" fontId="0" fillId="0" borderId="135" xfId="0" applyBorder="1"/>
    <xf numFmtId="0" fontId="4" fillId="0" borderId="139" xfId="0" applyFont="1" applyBorder="1" applyAlignment="1">
      <alignment horizontal="center"/>
    </xf>
    <xf numFmtId="0" fontId="0" fillId="0" borderId="140" xfId="0" applyBorder="1"/>
    <xf numFmtId="0" fontId="0" fillId="0" borderId="0" xfId="0" applyFont="1" applyAlignment="1"/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3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41" xfId="0" applyBorder="1"/>
    <xf numFmtId="0" fontId="0" fillId="0" borderId="122" xfId="0" applyBorder="1" applyAlignment="1">
      <alignment horizontal="center"/>
    </xf>
    <xf numFmtId="0" fontId="0" fillId="0" borderId="98" xfId="0" applyBorder="1" applyAlignment="1">
      <alignment horizontal="center" vertical="center"/>
    </xf>
    <xf numFmtId="0" fontId="0" fillId="0" borderId="140" xfId="0" applyBorder="1" applyAlignment="1">
      <alignment horizontal="center"/>
    </xf>
    <xf numFmtId="0" fontId="0" fillId="0" borderId="142" xfId="0" applyBorder="1"/>
    <xf numFmtId="0" fontId="0" fillId="0" borderId="143" xfId="0" applyBorder="1"/>
    <xf numFmtId="0" fontId="0" fillId="0" borderId="144" xfId="0" applyBorder="1"/>
    <xf numFmtId="0" fontId="0" fillId="0" borderId="145" xfId="0" applyBorder="1"/>
    <xf numFmtId="0" fontId="0" fillId="0" borderId="145" xfId="0" applyBorder="1" applyAlignment="1">
      <alignment horizontal="right"/>
    </xf>
    <xf numFmtId="0" fontId="0" fillId="0" borderId="87" xfId="0" applyBorder="1" applyAlignment="1">
      <alignment horizontal="right"/>
    </xf>
    <xf numFmtId="0" fontId="0" fillId="0" borderId="122" xfId="0" applyBorder="1" applyAlignment="1">
      <alignment horizontal="right"/>
    </xf>
    <xf numFmtId="0" fontId="0" fillId="0" borderId="140" xfId="0" applyBorder="1" applyAlignment="1">
      <alignment horizontal="right"/>
    </xf>
    <xf numFmtId="0" fontId="4" fillId="0" borderId="1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9" fillId="0" borderId="0" xfId="0" applyFont="1"/>
    <xf numFmtId="0" fontId="9" fillId="0" borderId="86" xfId="0" applyFont="1" applyBorder="1"/>
    <xf numFmtId="0" fontId="9" fillId="0" borderId="86" xfId="2" applyFont="1" applyBorder="1" applyAlignment="1">
      <alignment horizontal="right"/>
    </xf>
    <xf numFmtId="164" fontId="9" fillId="0" borderId="86" xfId="2" quotePrefix="1" applyNumberFormat="1" applyFont="1" applyBorder="1" applyAlignment="1">
      <alignment horizontal="right"/>
    </xf>
    <xf numFmtId="164" fontId="9" fillId="0" borderId="86" xfId="0" applyNumberFormat="1" applyFont="1" applyBorder="1"/>
    <xf numFmtId="3" fontId="9" fillId="0" borderId="86" xfId="2" applyNumberFormat="1" applyFont="1" applyFill="1" applyBorder="1" applyAlignment="1">
      <alignment horizontal="right" wrapText="1"/>
    </xf>
    <xf numFmtId="164" fontId="9" fillId="0" borderId="86" xfId="2" applyNumberFormat="1" applyFont="1" applyBorder="1" applyAlignment="1"/>
    <xf numFmtId="2" fontId="9" fillId="0" borderId="86" xfId="2" applyNumberFormat="1" applyFont="1" applyBorder="1" applyAlignment="1"/>
    <xf numFmtId="164" fontId="9" fillId="0" borderId="86" xfId="2" applyNumberFormat="1" applyFont="1" applyBorder="1" applyAlignment="1">
      <alignment horizontal="right" wrapText="1"/>
    </xf>
    <xf numFmtId="164" fontId="9" fillId="0" borderId="86" xfId="3" applyNumberFormat="1" applyFont="1" applyBorder="1" applyAlignment="1"/>
    <xf numFmtId="3" fontId="9" fillId="0" borderId="86" xfId="2" applyNumberFormat="1" applyFont="1" applyBorder="1"/>
    <xf numFmtId="0" fontId="9" fillId="0" borderId="0" xfId="0" applyFont="1" applyAlignment="1">
      <alignment horizontal="right"/>
    </xf>
    <xf numFmtId="0" fontId="9" fillId="0" borderId="102" xfId="0" applyFont="1" applyBorder="1"/>
    <xf numFmtId="0" fontId="9" fillId="0" borderId="1" xfId="0" applyFont="1" applyBorder="1"/>
    <xf numFmtId="0" fontId="9" fillId="0" borderId="103" xfId="0" applyFont="1" applyBorder="1"/>
    <xf numFmtId="0" fontId="9" fillId="0" borderId="85" xfId="0" applyFont="1" applyBorder="1"/>
    <xf numFmtId="0" fontId="9" fillId="0" borderId="87" xfId="0" applyFont="1" applyBorder="1"/>
    <xf numFmtId="0" fontId="9" fillId="0" borderId="101" xfId="0" applyFont="1" applyBorder="1"/>
    <xf numFmtId="0" fontId="9" fillId="0" borderId="91" xfId="0" applyFont="1" applyBorder="1"/>
    <xf numFmtId="0" fontId="9" fillId="0" borderId="88" xfId="0" applyFont="1" applyBorder="1"/>
    <xf numFmtId="0" fontId="9" fillId="0" borderId="12" xfId="0" applyNumberFormat="1" applyFont="1" applyBorder="1" applyAlignment="1">
      <alignment horizontal="right"/>
    </xf>
    <xf numFmtId="0" fontId="0" fillId="0" borderId="5" xfId="0" applyFont="1" applyBorder="1" applyAlignment="1"/>
    <xf numFmtId="0" fontId="9" fillId="0" borderId="0" xfId="2" applyNumberFormat="1" applyFont="1" applyFill="1" applyBorder="1" applyAlignment="1">
      <alignment horizontal="right" wrapText="1"/>
    </xf>
    <xf numFmtId="0" fontId="0" fillId="0" borderId="77" xfId="0" applyFont="1" applyBorder="1"/>
    <xf numFmtId="0" fontId="0" fillId="0" borderId="53" xfId="0" applyFont="1" applyBorder="1"/>
    <xf numFmtId="0" fontId="0" fillId="0" borderId="41" xfId="0" applyFont="1" applyBorder="1"/>
    <xf numFmtId="0" fontId="0" fillId="0" borderId="40" xfId="0" applyFont="1" applyBorder="1"/>
    <xf numFmtId="0" fontId="0" fillId="0" borderId="8" xfId="0" applyFont="1" applyBorder="1"/>
    <xf numFmtId="164" fontId="9" fillId="0" borderId="0" xfId="2" applyNumberFormat="1" applyFont="1" applyBorder="1" applyAlignment="1">
      <alignment horizontal="right"/>
    </xf>
    <xf numFmtId="0" fontId="9" fillId="0" borderId="14" xfId="0" applyFont="1" applyBorder="1"/>
    <xf numFmtId="0" fontId="9" fillId="0" borderId="14" xfId="2" applyFont="1" applyBorder="1" applyAlignment="1">
      <alignment horizontal="right"/>
    </xf>
    <xf numFmtId="164" fontId="9" fillId="0" borderId="14" xfId="2" quotePrefix="1" applyNumberFormat="1" applyFont="1" applyBorder="1" applyAlignment="1">
      <alignment horizontal="right"/>
    </xf>
    <xf numFmtId="164" fontId="9" fillId="0" borderId="14" xfId="0" applyNumberFormat="1" applyFont="1" applyBorder="1"/>
    <xf numFmtId="0" fontId="9" fillId="0" borderId="14" xfId="2" applyNumberFormat="1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46" xfId="0" applyBorder="1"/>
    <xf numFmtId="0" fontId="0" fillId="0" borderId="147" xfId="0" applyBorder="1"/>
    <xf numFmtId="0" fontId="0" fillId="0" borderId="148" xfId="0" applyBorder="1"/>
    <xf numFmtId="0" fontId="0" fillId="0" borderId="0" xfId="0" applyAlignment="1"/>
    <xf numFmtId="0" fontId="0" fillId="0" borderId="140" xfId="0" applyFill="1" applyBorder="1" applyAlignment="1">
      <alignment horizontal="right"/>
    </xf>
    <xf numFmtId="0" fontId="0" fillId="0" borderId="122" xfId="0" applyFill="1" applyBorder="1" applyAlignment="1">
      <alignment horizontal="right"/>
    </xf>
    <xf numFmtId="1" fontId="0" fillId="0" borderId="145" xfId="0" applyNumberFormat="1" applyBorder="1"/>
    <xf numFmtId="1" fontId="0" fillId="0" borderId="87" xfId="0" applyNumberFormat="1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8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9" xfId="0" applyBorder="1" applyAlignment="1">
      <alignment horizontal="center"/>
    </xf>
    <xf numFmtId="0" fontId="0" fillId="0" borderId="150" xfId="0" applyBorder="1" applyAlignment="1">
      <alignment horizontal="center"/>
    </xf>
    <xf numFmtId="0" fontId="20" fillId="0" borderId="0" xfId="0" applyFont="1" applyAlignment="1">
      <alignment vertical="center"/>
    </xf>
    <xf numFmtId="0" fontId="0" fillId="0" borderId="151" xfId="0" applyBorder="1" applyAlignment="1">
      <alignment horizontal="center"/>
    </xf>
    <xf numFmtId="0" fontId="0" fillId="0" borderId="152" xfId="0" applyBorder="1"/>
    <xf numFmtId="0" fontId="0" fillId="0" borderId="157" xfId="0" applyBorder="1" applyAlignment="1">
      <alignment horizontal="center"/>
    </xf>
    <xf numFmtId="0" fontId="0" fillId="0" borderId="157" xfId="0" applyBorder="1"/>
    <xf numFmtId="0" fontId="0" fillId="0" borderId="155" xfId="0" applyBorder="1"/>
    <xf numFmtId="0" fontId="0" fillId="0" borderId="156" xfId="0" applyBorder="1"/>
    <xf numFmtId="0" fontId="0" fillId="0" borderId="153" xfId="0" applyBorder="1" applyAlignment="1">
      <alignment horizontal="right"/>
    </xf>
    <xf numFmtId="0" fontId="0" fillId="0" borderId="154" xfId="0" applyBorder="1"/>
    <xf numFmtId="0" fontId="0" fillId="0" borderId="155" xfId="0" applyBorder="1" applyAlignment="1">
      <alignment horizontal="center"/>
    </xf>
    <xf numFmtId="0" fontId="0" fillId="0" borderId="97" xfId="0" applyFill="1" applyBorder="1" applyAlignment="1">
      <alignment horizontal="center"/>
    </xf>
    <xf numFmtId="0" fontId="9" fillId="0" borderId="122" xfId="0" applyFont="1" applyBorder="1"/>
    <xf numFmtId="0" fontId="0" fillId="0" borderId="153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153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58" xfId="0" applyBorder="1"/>
    <xf numFmtId="0" fontId="0" fillId="0" borderId="159" xfId="0" applyBorder="1"/>
    <xf numFmtId="0" fontId="0" fillId="0" borderId="9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/>
    <xf numFmtId="0" fontId="0" fillId="0" borderId="158" xfId="0" applyBorder="1" applyAlignment="1">
      <alignment horizontal="center"/>
    </xf>
    <xf numFmtId="0" fontId="0" fillId="0" borderId="150" xfId="0" applyBorder="1"/>
    <xf numFmtId="0" fontId="0" fillId="0" borderId="154" xfId="0" applyBorder="1" applyAlignment="1">
      <alignment horizontal="center"/>
    </xf>
    <xf numFmtId="0" fontId="0" fillId="0" borderId="154" xfId="0" applyNumberFormat="1" applyBorder="1"/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13" fillId="0" borderId="153" xfId="0" applyFont="1" applyBorder="1"/>
    <xf numFmtId="0" fontId="13" fillId="0" borderId="153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13" fillId="0" borderId="122" xfId="0" applyFont="1" applyBorder="1"/>
    <xf numFmtId="3" fontId="13" fillId="0" borderId="122" xfId="2" applyNumberFormat="1" applyFont="1" applyFill="1" applyBorder="1" applyAlignment="1">
      <alignment horizontal="right" wrapText="1"/>
    </xf>
    <xf numFmtId="164" fontId="13" fillId="0" borderId="122" xfId="2" applyNumberFormat="1" applyFont="1" applyBorder="1" applyAlignment="1"/>
    <xf numFmtId="2" fontId="13" fillId="0" borderId="122" xfId="2" applyNumberFormat="1" applyFont="1" applyBorder="1" applyAlignment="1"/>
    <xf numFmtId="164" fontId="13" fillId="0" borderId="122" xfId="2" applyNumberFormat="1" applyFont="1" applyBorder="1" applyAlignment="1">
      <alignment horizontal="right" wrapText="1"/>
    </xf>
    <xf numFmtId="0" fontId="13" fillId="0" borderId="0" xfId="0" applyFont="1" applyFill="1" applyBorder="1"/>
    <xf numFmtId="0" fontId="8" fillId="0" borderId="0" xfId="0" applyFont="1" applyFill="1" applyBorder="1"/>
    <xf numFmtId="0" fontId="0" fillId="0" borderId="0" xfId="0" applyAlignment="1">
      <alignment horizontal="center"/>
    </xf>
    <xf numFmtId="0" fontId="0" fillId="3" borderId="93" xfId="0" applyFill="1" applyBorder="1"/>
    <xf numFmtId="0" fontId="0" fillId="0" borderId="15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2" xfId="0" applyBorder="1" applyAlignment="1">
      <alignment horizontal="center"/>
    </xf>
    <xf numFmtId="0" fontId="0" fillId="3" borderId="122" xfId="0" applyFill="1" applyBorder="1"/>
    <xf numFmtId="0" fontId="0" fillId="3" borderId="0" xfId="0" applyFill="1" applyAlignment="1">
      <alignment horizontal="center"/>
    </xf>
    <xf numFmtId="0" fontId="0" fillId="3" borderId="122" xfId="0" applyFill="1" applyBorder="1" applyAlignment="1">
      <alignment horizontal="center"/>
    </xf>
    <xf numFmtId="0" fontId="0" fillId="0" borderId="160" xfId="0" applyBorder="1"/>
    <xf numFmtId="0" fontId="0" fillId="0" borderId="161" xfId="0" applyBorder="1"/>
    <xf numFmtId="164" fontId="0" fillId="0" borderId="122" xfId="0" applyNumberFormat="1" applyBorder="1" applyAlignment="1">
      <alignment horizontal="center"/>
    </xf>
    <xf numFmtId="0" fontId="0" fillId="0" borderId="162" xfId="0" applyBorder="1"/>
    <xf numFmtId="0" fontId="0" fillId="0" borderId="163" xfId="0" applyBorder="1"/>
    <xf numFmtId="0" fontId="0" fillId="0" borderId="165" xfId="0" applyBorder="1"/>
    <xf numFmtId="0" fontId="0" fillId="0" borderId="166" xfId="0" applyBorder="1"/>
    <xf numFmtId="0" fontId="0" fillId="0" borderId="167" xfId="0" applyBorder="1"/>
    <xf numFmtId="0" fontId="0" fillId="0" borderId="168" xfId="0" applyBorder="1"/>
    <xf numFmtId="0" fontId="0" fillId="0" borderId="168" xfId="0" applyBorder="1" applyAlignment="1">
      <alignment horizontal="center"/>
    </xf>
    <xf numFmtId="0" fontId="0" fillId="0" borderId="169" xfId="0" applyBorder="1"/>
    <xf numFmtId="0" fontId="0" fillId="0" borderId="170" xfId="0" applyBorder="1"/>
    <xf numFmtId="0" fontId="0" fillId="0" borderId="15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22" xfId="0" applyBorder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164" xfId="0" applyBorder="1"/>
    <xf numFmtId="0" fontId="0" fillId="0" borderId="153" xfId="0" quotePrefix="1" applyFill="1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15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22" xfId="0" applyBorder="1" applyAlignment="1">
      <alignment horizontal="center"/>
    </xf>
    <xf numFmtId="0" fontId="20" fillId="0" borderId="168" xfId="0" applyFont="1" applyBorder="1" applyAlignment="1">
      <alignment horizontal="center" vertical="center"/>
    </xf>
    <xf numFmtId="0" fontId="0" fillId="0" borderId="149" xfId="0" applyBorder="1"/>
    <xf numFmtId="0" fontId="0" fillId="0" borderId="148" xfId="0" applyBorder="1" applyAlignment="1">
      <alignment horizontal="center"/>
    </xf>
    <xf numFmtId="0" fontId="20" fillId="0" borderId="122" xfId="0" applyFont="1" applyBorder="1" applyAlignment="1">
      <alignment vertical="center"/>
    </xf>
    <xf numFmtId="0" fontId="0" fillId="0" borderId="15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1" xfId="0" applyBorder="1"/>
    <xf numFmtId="0" fontId="0" fillId="0" borderId="95" xfId="0" applyBorder="1" applyAlignment="1">
      <alignment horizontal="center"/>
    </xf>
    <xf numFmtId="0" fontId="0" fillId="0" borderId="153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22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68" xfId="0" applyBorder="1" applyAlignment="1">
      <alignment horizontal="center" vertical="center"/>
    </xf>
    <xf numFmtId="0" fontId="0" fillId="0" borderId="171" xfId="0" applyBorder="1" applyAlignment="1">
      <alignment horizontal="center"/>
    </xf>
    <xf numFmtId="0" fontId="4" fillId="0" borderId="171" xfId="0" applyFont="1" applyBorder="1" applyAlignment="1">
      <alignment horizontal="center"/>
    </xf>
    <xf numFmtId="0" fontId="9" fillId="0" borderId="0" xfId="0" applyFont="1" applyBorder="1" applyAlignment="1">
      <alignment horizontal="left" vertical="center"/>
    </xf>
    <xf numFmtId="0" fontId="0" fillId="0" borderId="171" xfId="0" applyBorder="1" applyAlignment="1">
      <alignment horizontal="right"/>
    </xf>
    <xf numFmtId="0" fontId="0" fillId="0" borderId="91" xfId="0" applyBorder="1" applyAlignment="1">
      <alignment horizontal="right"/>
    </xf>
    <xf numFmtId="164" fontId="0" fillId="0" borderId="171" xfId="0" applyNumberFormat="1" applyBorder="1" applyAlignment="1">
      <alignment horizontal="center"/>
    </xf>
    <xf numFmtId="0" fontId="0" fillId="0" borderId="171" xfId="0" applyNumberFormat="1" applyBorder="1"/>
    <xf numFmtId="164" fontId="0" fillId="0" borderId="171" xfId="0" applyNumberFormat="1" applyBorder="1" applyAlignment="1">
      <alignment horizontal="right"/>
    </xf>
    <xf numFmtId="0" fontId="9" fillId="0" borderId="0" xfId="0" applyFont="1" applyBorder="1" applyAlignment="1">
      <alignment horizontal="center" vertical="center"/>
    </xf>
    <xf numFmtId="0" fontId="9" fillId="0" borderId="153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69" xfId="0" applyFill="1" applyBorder="1" applyAlignment="1">
      <alignment horizontal="center"/>
    </xf>
    <xf numFmtId="0" fontId="0" fillId="0" borderId="169" xfId="0" applyFill="1" applyBorder="1"/>
    <xf numFmtId="0" fontId="0" fillId="0" borderId="168" xfId="0" applyFill="1" applyBorder="1" applyAlignment="1">
      <alignment horizontal="center"/>
    </xf>
    <xf numFmtId="0" fontId="0" fillId="0" borderId="148" xfId="0" applyFill="1" applyBorder="1" applyAlignment="1">
      <alignment horizontal="right"/>
    </xf>
    <xf numFmtId="0" fontId="0" fillId="0" borderId="91" xfId="0" applyBorder="1" applyAlignment="1"/>
    <xf numFmtId="0" fontId="0" fillId="0" borderId="88" xfId="0" applyBorder="1" applyAlignment="1"/>
    <xf numFmtId="0" fontId="0" fillId="0" borderId="173" xfId="0" applyBorder="1"/>
    <xf numFmtId="0" fontId="0" fillId="0" borderId="153" xfId="0" applyBorder="1" applyAlignment="1">
      <alignment horizontal="center"/>
    </xf>
    <xf numFmtId="0" fontId="0" fillId="0" borderId="16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2" xfId="0" applyBorder="1" applyAlignment="1">
      <alignment horizontal="center"/>
    </xf>
    <xf numFmtId="0" fontId="0" fillId="0" borderId="16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9" xfId="0" applyBorder="1"/>
    <xf numFmtId="0" fontId="4" fillId="0" borderId="168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22" xfId="0" applyBorder="1" applyAlignment="1">
      <alignment horizontal="center"/>
    </xf>
    <xf numFmtId="0" fontId="0" fillId="0" borderId="16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2" xfId="0" applyBorder="1" applyAlignment="1">
      <alignment horizontal="center"/>
    </xf>
    <xf numFmtId="164" fontId="0" fillId="0" borderId="0" xfId="0" applyNumberFormat="1" applyFont="1"/>
    <xf numFmtId="2" fontId="0" fillId="0" borderId="0" xfId="0" applyNumberFormat="1" applyFont="1"/>
    <xf numFmtId="0" fontId="19" fillId="0" borderId="168" xfId="0" applyFont="1" applyFill="1" applyBorder="1" applyAlignment="1">
      <alignment horizontal="center" vertical="top" wrapText="1"/>
    </xf>
    <xf numFmtId="0" fontId="22" fillId="0" borderId="0" xfId="0" applyFont="1" applyFill="1" applyBorder="1" applyAlignment="1">
      <alignment horizontal="center" vertical="top" wrapText="1"/>
    </xf>
    <xf numFmtId="0" fontId="1" fillId="0" borderId="168" xfId="0" applyFont="1" applyBorder="1" applyAlignment="1">
      <alignment horizontal="center"/>
    </xf>
    <xf numFmtId="164" fontId="19" fillId="0" borderId="168" xfId="0" applyNumberFormat="1" applyFont="1" applyFill="1" applyBorder="1" applyAlignment="1">
      <alignment horizontal="center" vertical="top" wrapText="1"/>
    </xf>
    <xf numFmtId="2" fontId="19" fillId="0" borderId="168" xfId="0" applyNumberFormat="1" applyFont="1" applyFill="1" applyBorder="1" applyAlignment="1">
      <alignment horizontal="center" vertical="top" wrapText="1"/>
    </xf>
    <xf numFmtId="0" fontId="24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/>
    </xf>
    <xf numFmtId="164" fontId="7" fillId="0" borderId="0" xfId="0" applyNumberFormat="1" applyFont="1" applyFill="1" applyBorder="1" applyAlignment="1">
      <alignment horizontal="center" vertical="top" wrapText="1"/>
    </xf>
    <xf numFmtId="2" fontId="7" fillId="0" borderId="0" xfId="0" applyNumberFormat="1" applyFont="1" applyFill="1" applyBorder="1" applyAlignment="1">
      <alignment horizontal="center" vertical="top" wrapText="1"/>
    </xf>
    <xf numFmtId="164" fontId="9" fillId="0" borderId="0" xfId="0" applyNumberFormat="1" applyFont="1" applyFill="1" applyBorder="1" applyAlignment="1">
      <alignment horizontal="right" vertical="top" wrapText="1"/>
    </xf>
    <xf numFmtId="2" fontId="9" fillId="0" borderId="0" xfId="0" applyNumberFormat="1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9" fillId="0" borderId="110" xfId="0" applyFont="1" applyFill="1" applyBorder="1" applyAlignment="1">
      <alignment horizontal="left" vertical="top" wrapText="1"/>
    </xf>
    <xf numFmtId="0" fontId="9" fillId="0" borderId="122" xfId="0" applyFont="1" applyFill="1" applyBorder="1" applyAlignment="1">
      <alignment horizontal="left" vertical="top" wrapText="1"/>
    </xf>
    <xf numFmtId="0" fontId="25" fillId="0" borderId="139" xfId="0" applyFont="1" applyFill="1" applyBorder="1" applyAlignment="1">
      <alignment horizontal="left" vertical="top" wrapText="1"/>
    </xf>
    <xf numFmtId="0" fontId="0" fillId="0" borderId="122" xfId="0" applyFont="1" applyBorder="1" applyAlignment="1">
      <alignment horizontal="left"/>
    </xf>
    <xf numFmtId="164" fontId="7" fillId="0" borderId="122" xfId="0" applyNumberFormat="1" applyFont="1" applyFill="1" applyBorder="1" applyAlignment="1">
      <alignment horizontal="center" vertical="top" wrapText="1"/>
    </xf>
    <xf numFmtId="2" fontId="7" fillId="0" borderId="122" xfId="0" applyNumberFormat="1" applyFont="1" applyFill="1" applyBorder="1" applyAlignment="1">
      <alignment horizontal="center" vertical="top" wrapText="1"/>
    </xf>
    <xf numFmtId="0" fontId="0" fillId="0" borderId="122" xfId="0" applyFont="1" applyBorder="1"/>
    <xf numFmtId="0" fontId="0" fillId="0" borderId="122" xfId="0" applyNumberFormat="1" applyFont="1" applyBorder="1"/>
    <xf numFmtId="0" fontId="0" fillId="0" borderId="0" xfId="0" applyNumberFormat="1" applyFont="1" applyBorder="1"/>
    <xf numFmtId="164" fontId="9" fillId="0" borderId="122" xfId="0" applyNumberFormat="1" applyFont="1" applyFill="1" applyBorder="1" applyAlignment="1">
      <alignment horizontal="right" vertical="top" wrapText="1"/>
    </xf>
    <xf numFmtId="2" fontId="9" fillId="0" borderId="122" xfId="0" applyNumberFormat="1" applyFont="1" applyFill="1" applyBorder="1" applyAlignment="1">
      <alignment horizontal="right" vertical="top" wrapText="1"/>
    </xf>
    <xf numFmtId="0" fontId="0" fillId="0" borderId="172" xfId="0" applyBorder="1"/>
    <xf numFmtId="0" fontId="24" fillId="0" borderId="168" xfId="0" applyFont="1" applyFill="1" applyBorder="1" applyAlignment="1">
      <alignment horizontal="center" vertical="top" wrapText="1"/>
    </xf>
    <xf numFmtId="164" fontId="27" fillId="0" borderId="0" xfId="0" applyNumberFormat="1" applyFont="1" applyFill="1" applyBorder="1" applyAlignment="1">
      <alignment horizontal="center" vertical="top" wrapText="1"/>
    </xf>
    <xf numFmtId="2" fontId="27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Alignment="1">
      <alignment horizontal="center"/>
    </xf>
    <xf numFmtId="164" fontId="27" fillId="0" borderId="122" xfId="0" applyNumberFormat="1" applyFont="1" applyFill="1" applyBorder="1" applyAlignment="1">
      <alignment horizontal="center" vertical="top" wrapText="1"/>
    </xf>
    <xf numFmtId="2" fontId="27" fillId="0" borderId="122" xfId="0" applyNumberFormat="1" applyFont="1" applyFill="1" applyBorder="1" applyAlignment="1">
      <alignment horizontal="center" vertical="top" wrapText="1"/>
    </xf>
    <xf numFmtId="0" fontId="0" fillId="0" borderId="122" xfId="0" applyNumberFormat="1" applyBorder="1" applyAlignment="1">
      <alignment horizontal="center"/>
    </xf>
    <xf numFmtId="0" fontId="0" fillId="0" borderId="0" xfId="0" applyNumberFormat="1" applyBorder="1"/>
    <xf numFmtId="0" fontId="0" fillId="0" borderId="16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68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vertical="center"/>
    </xf>
    <xf numFmtId="0" fontId="0" fillId="4" borderId="172" xfId="0" applyFill="1" applyBorder="1"/>
    <xf numFmtId="0" fontId="0" fillId="4" borderId="174" xfId="0" applyFill="1" applyBorder="1"/>
    <xf numFmtId="0" fontId="0" fillId="4" borderId="173" xfId="0" applyFill="1" applyBorder="1"/>
    <xf numFmtId="0" fontId="0" fillId="4" borderId="172" xfId="0" applyFill="1" applyBorder="1" applyAlignment="1">
      <alignment horizontal="center"/>
    </xf>
    <xf numFmtId="0" fontId="0" fillId="4" borderId="174" xfId="0" applyFill="1" applyBorder="1" applyAlignment="1">
      <alignment horizontal="center"/>
    </xf>
    <xf numFmtId="0" fontId="0" fillId="4" borderId="173" xfId="0" applyFill="1" applyBorder="1" applyAlignment="1">
      <alignment horizontal="center"/>
    </xf>
    <xf numFmtId="0" fontId="0" fillId="4" borderId="159" xfId="0" applyFill="1" applyBorder="1"/>
    <xf numFmtId="0" fontId="0" fillId="4" borderId="92" xfId="0" applyFill="1" applyBorder="1"/>
    <xf numFmtId="0" fontId="0" fillId="4" borderId="0" xfId="0" applyFill="1" applyBorder="1"/>
    <xf numFmtId="0" fontId="0" fillId="4" borderId="89" xfId="0" applyFill="1" applyBorder="1"/>
    <xf numFmtId="0" fontId="0" fillId="4" borderId="92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89" xfId="0" applyFill="1" applyBorder="1" applyAlignment="1">
      <alignment horizontal="center"/>
    </xf>
    <xf numFmtId="0" fontId="0" fillId="4" borderId="91" xfId="0" applyFill="1" applyBorder="1"/>
    <xf numFmtId="0" fontId="0" fillId="4" borderId="85" xfId="0" applyFill="1" applyBorder="1"/>
    <xf numFmtId="0" fontId="0" fillId="4" borderId="87" xfId="0" applyFill="1" applyBorder="1"/>
    <xf numFmtId="0" fontId="0" fillId="4" borderId="85" xfId="0" applyFill="1" applyBorder="1" applyAlignment="1">
      <alignment horizontal="center"/>
    </xf>
    <xf numFmtId="0" fontId="0" fillId="4" borderId="87" xfId="0" applyFill="1" applyBorder="1" applyAlignment="1">
      <alignment horizontal="center"/>
    </xf>
    <xf numFmtId="0" fontId="0" fillId="4" borderId="88" xfId="0" applyFill="1" applyBorder="1"/>
    <xf numFmtId="0" fontId="0" fillId="4" borderId="113" xfId="0" applyFill="1" applyBorder="1"/>
    <xf numFmtId="0" fontId="0" fillId="4" borderId="113" xfId="0" applyFill="1" applyBorder="1" applyAlignment="1">
      <alignment horizontal="center"/>
    </xf>
    <xf numFmtId="0" fontId="0" fillId="0" borderId="174" xfId="0" applyBorder="1"/>
    <xf numFmtId="0" fontId="0" fillId="0" borderId="175" xfId="0" applyBorder="1"/>
    <xf numFmtId="0" fontId="0" fillId="4" borderId="162" xfId="0" applyFill="1" applyBorder="1"/>
    <xf numFmtId="0" fontId="0" fillId="4" borderId="176" xfId="0" applyFill="1" applyBorder="1"/>
    <xf numFmtId="0" fontId="0" fillId="4" borderId="163" xfId="0" applyFill="1" applyBorder="1"/>
    <xf numFmtId="0" fontId="0" fillId="0" borderId="177" xfId="0" applyBorder="1"/>
    <xf numFmtId="0" fontId="0" fillId="0" borderId="178" xfId="0" applyBorder="1"/>
    <xf numFmtId="0" fontId="0" fillId="0" borderId="179" xfId="0" applyBorder="1"/>
    <xf numFmtId="0" fontId="0" fillId="4" borderId="86" xfId="0" applyFill="1" applyBorder="1"/>
    <xf numFmtId="0" fontId="0" fillId="0" borderId="176" xfId="0" applyBorder="1"/>
    <xf numFmtId="0" fontId="0" fillId="0" borderId="180" xfId="0" applyBorder="1"/>
    <xf numFmtId="165" fontId="0" fillId="0" borderId="162" xfId="0" applyNumberFormat="1" applyBorder="1"/>
    <xf numFmtId="165" fontId="0" fillId="0" borderId="176" xfId="0" applyNumberFormat="1" applyBorder="1"/>
    <xf numFmtId="165" fontId="0" fillId="0" borderId="163" xfId="0" applyNumberFormat="1" applyBorder="1"/>
    <xf numFmtId="165" fontId="0" fillId="0" borderId="92" xfId="0" applyNumberFormat="1" applyBorder="1"/>
    <xf numFmtId="165" fontId="0" fillId="0" borderId="0" xfId="0" applyNumberFormat="1" applyBorder="1"/>
    <xf numFmtId="165" fontId="0" fillId="0" borderId="89" xfId="0" applyNumberFormat="1" applyBorder="1"/>
    <xf numFmtId="165" fontId="0" fillId="0" borderId="85" xfId="0" applyNumberFormat="1" applyBorder="1"/>
    <xf numFmtId="165" fontId="0" fillId="0" borderId="86" xfId="0" applyNumberFormat="1" applyBorder="1"/>
    <xf numFmtId="165" fontId="0" fillId="0" borderId="87" xfId="0" applyNumberFormat="1" applyBorder="1"/>
    <xf numFmtId="0" fontId="1" fillId="0" borderId="0" xfId="0" applyNumberFormat="1" applyFont="1"/>
    <xf numFmtId="165" fontId="0" fillId="0" borderId="0" xfId="0" applyNumberFormat="1"/>
    <xf numFmtId="0" fontId="0" fillId="0" borderId="0" xfId="0" applyNumberFormat="1" applyAlignment="1">
      <alignment horizontal="right"/>
    </xf>
    <xf numFmtId="0" fontId="0" fillId="0" borderId="86" xfId="0" applyNumberFormat="1" applyBorder="1" applyAlignment="1">
      <alignment horizontal="center"/>
    </xf>
    <xf numFmtId="0" fontId="0" fillId="0" borderId="175" xfId="0" applyNumberFormat="1" applyBorder="1"/>
    <xf numFmtId="0" fontId="2" fillId="0" borderId="0" xfId="1" applyNumberFormat="1" applyAlignment="1" applyProtection="1"/>
    <xf numFmtId="0" fontId="20" fillId="0" borderId="15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86" xfId="0" applyFont="1" applyBorder="1" applyAlignment="1">
      <alignment horizontal="center" vertical="center"/>
    </xf>
    <xf numFmtId="2" fontId="0" fillId="0" borderId="86" xfId="0" applyNumberFormat="1" applyBorder="1" applyAlignment="1">
      <alignment horizontal="center"/>
    </xf>
    <xf numFmtId="2" fontId="0" fillId="0" borderId="0" xfId="0" applyNumberFormat="1"/>
    <xf numFmtId="2" fontId="0" fillId="0" borderId="153" xfId="0" applyNumberFormat="1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181" xfId="0" applyBorder="1"/>
    <xf numFmtId="0" fontId="7" fillId="0" borderId="153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7" fillId="0" borderId="86" xfId="0" applyFont="1" applyBorder="1" applyAlignment="1">
      <alignment horizontal="center" vertical="center" wrapText="1"/>
    </xf>
    <xf numFmtId="0" fontId="0" fillId="0" borderId="182" xfId="0" applyBorder="1" applyAlignment="1">
      <alignment horizontal="center"/>
    </xf>
    <xf numFmtId="0" fontId="0" fillId="0" borderId="86" xfId="0" applyBorder="1" applyAlignment="1">
      <alignment horizontal="right"/>
    </xf>
    <xf numFmtId="2" fontId="0" fillId="0" borderId="182" xfId="0" applyNumberFormat="1" applyBorder="1" applyAlignment="1">
      <alignment horizontal="center"/>
    </xf>
    <xf numFmtId="0" fontId="0" fillId="0" borderId="183" xfId="0" applyBorder="1"/>
    <xf numFmtId="0" fontId="0" fillId="0" borderId="184" xfId="0" applyBorder="1"/>
    <xf numFmtId="0" fontId="0" fillId="0" borderId="185" xfId="0" applyBorder="1"/>
    <xf numFmtId="0" fontId="7" fillId="0" borderId="0" xfId="0" applyFont="1" applyAlignment="1">
      <alignment vertical="center"/>
    </xf>
    <xf numFmtId="0" fontId="0" fillId="0" borderId="26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 wrapText="1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2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30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132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ont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22" xfId="0" applyFill="1" applyBorder="1" applyAlignment="1">
      <alignment horizontal="center"/>
    </xf>
    <xf numFmtId="0" fontId="0" fillId="0" borderId="30" xfId="0" applyFont="1" applyBorder="1" applyAlignment="1">
      <alignment horizontal="center" vertical="center" wrapText="1"/>
    </xf>
    <xf numFmtId="0" fontId="0" fillId="0" borderId="86" xfId="0" applyNumberFormat="1" applyBorder="1" applyAlignment="1">
      <alignment horizontal="center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tyles" Target="styl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Longevity</a:t>
            </a:r>
            <a:r>
              <a:rPr lang="en-US" sz="1600" baseline="0"/>
              <a:t> vs Smoking</a:t>
            </a:r>
            <a:endParaRPr lang="en-US" sz="16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 1'!$B$3</c:f>
              <c:strCache>
                <c:ptCount val="1"/>
                <c:pt idx="0">
                  <c:v>Life Exp (y)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 1'!$A$4:$A$18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'Reg 1'!$B$4:$B$18</c:f>
              <c:numCache>
                <c:formatCode>General</c:formatCode>
                <c:ptCount val="15"/>
                <c:pt idx="0">
                  <c:v>80</c:v>
                </c:pt>
                <c:pt idx="1">
                  <c:v>78</c:v>
                </c:pt>
                <c:pt idx="2">
                  <c:v>60</c:v>
                </c:pt>
                <c:pt idx="3">
                  <c:v>53</c:v>
                </c:pt>
                <c:pt idx="4">
                  <c:v>85</c:v>
                </c:pt>
                <c:pt idx="5">
                  <c:v>84</c:v>
                </c:pt>
                <c:pt idx="6">
                  <c:v>73</c:v>
                </c:pt>
                <c:pt idx="7">
                  <c:v>79</c:v>
                </c:pt>
                <c:pt idx="8">
                  <c:v>81</c:v>
                </c:pt>
                <c:pt idx="9">
                  <c:v>75</c:v>
                </c:pt>
                <c:pt idx="10">
                  <c:v>68</c:v>
                </c:pt>
                <c:pt idx="11">
                  <c:v>72</c:v>
                </c:pt>
                <c:pt idx="12">
                  <c:v>58</c:v>
                </c:pt>
                <c:pt idx="13">
                  <c:v>92</c:v>
                </c:pt>
                <c:pt idx="14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25-43AC-8F1B-79432D56F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21448"/>
        <c:axId val="529623016"/>
      </c:scatterChart>
      <c:valAx>
        <c:axId val="529621448"/>
        <c:scaling>
          <c:orientation val="minMax"/>
          <c:max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Cigarettes smoked (per day)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23016"/>
        <c:crosses val="autoZero"/>
        <c:crossBetween val="midCat"/>
      </c:valAx>
      <c:valAx>
        <c:axId val="529623016"/>
        <c:scaling>
          <c:orientation val="minMax"/>
          <c:min val="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Life Expectancy (years)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21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Cig (x)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'Reg 2'!$A$4:$A$18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'Reg 4'!$T$5:$T$19</c:f>
              <c:numCache>
                <c:formatCode>General</c:formatCode>
                <c:ptCount val="15"/>
                <c:pt idx="0">
                  <c:v>-2.5794191686621133</c:v>
                </c:pt>
                <c:pt idx="1">
                  <c:v>6.7281881254988747</c:v>
                </c:pt>
                <c:pt idx="2">
                  <c:v>-10.015411064038801</c:v>
                </c:pt>
                <c:pt idx="3">
                  <c:v>-2.5668017437219817</c:v>
                </c:pt>
                <c:pt idx="4">
                  <c:v>9.958985694111874</c:v>
                </c:pt>
                <c:pt idx="5">
                  <c:v>3.30518204703138</c:v>
                </c:pt>
                <c:pt idx="6">
                  <c:v>-10.207619573893282</c:v>
                </c:pt>
                <c:pt idx="7">
                  <c:v>9.6127893411923679</c:v>
                </c:pt>
                <c:pt idx="8">
                  <c:v>2.1897832627248874</c:v>
                </c:pt>
                <c:pt idx="9">
                  <c:v>1.2153865045742123</c:v>
                </c:pt>
                <c:pt idx="10">
                  <c:v>-8.9256155215816193</c:v>
                </c:pt>
                <c:pt idx="11">
                  <c:v>8.2665929882728619</c:v>
                </c:pt>
                <c:pt idx="12">
                  <c:v>-9.5026094431141246</c:v>
                </c:pt>
                <c:pt idx="13">
                  <c:v>8.7923804261067176</c:v>
                </c:pt>
                <c:pt idx="14">
                  <c:v>-6.2718118745011253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7-471D-968D-ED661E4D2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22624"/>
        <c:axId val="529623408"/>
      </c:scatterChart>
      <c:valAx>
        <c:axId val="529622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Cig 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23408"/>
        <c:crosses val="autoZero"/>
        <c:crossBetween val="midCat"/>
      </c:valAx>
      <c:valAx>
        <c:axId val="529623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22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'Reg 4'!$W$5:$W$19</c:f>
              <c:numCache>
                <c:formatCode>General</c:formatCode>
                <c:ptCount val="15"/>
                <c:pt idx="0">
                  <c:v>3.3333333333333335</c:v>
                </c:pt>
                <c:pt idx="1">
                  <c:v>10</c:v>
                </c:pt>
                <c:pt idx="2">
                  <c:v>16.666666666666668</c:v>
                </c:pt>
                <c:pt idx="3">
                  <c:v>23.333333333333332</c:v>
                </c:pt>
                <c:pt idx="4">
                  <c:v>30</c:v>
                </c:pt>
                <c:pt idx="5">
                  <c:v>36.666666666666671</c:v>
                </c:pt>
                <c:pt idx="6">
                  <c:v>43.333333333333336</c:v>
                </c:pt>
                <c:pt idx="7">
                  <c:v>50.000000000000007</c:v>
                </c:pt>
                <c:pt idx="8">
                  <c:v>56.666666666666671</c:v>
                </c:pt>
                <c:pt idx="9">
                  <c:v>63.333333333333336</c:v>
                </c:pt>
                <c:pt idx="10">
                  <c:v>70</c:v>
                </c:pt>
                <c:pt idx="11">
                  <c:v>76.666666666666671</c:v>
                </c:pt>
                <c:pt idx="12">
                  <c:v>83.333333333333329</c:v>
                </c:pt>
                <c:pt idx="13">
                  <c:v>90</c:v>
                </c:pt>
                <c:pt idx="14">
                  <c:v>96.666666666666671</c:v>
                </c:pt>
              </c:numCache>
            </c:numRef>
          </c:xVal>
          <c:yVal>
            <c:numRef>
              <c:f>'Reg 4'!$X$5:$X$19</c:f>
              <c:numCache>
                <c:formatCode>General</c:formatCode>
                <c:ptCount val="15"/>
                <c:pt idx="0">
                  <c:v>53</c:v>
                </c:pt>
                <c:pt idx="1">
                  <c:v>58</c:v>
                </c:pt>
                <c:pt idx="2">
                  <c:v>60</c:v>
                </c:pt>
                <c:pt idx="3">
                  <c:v>65</c:v>
                </c:pt>
                <c:pt idx="4">
                  <c:v>68</c:v>
                </c:pt>
                <c:pt idx="5">
                  <c:v>72</c:v>
                </c:pt>
                <c:pt idx="6">
                  <c:v>73</c:v>
                </c:pt>
                <c:pt idx="7">
                  <c:v>75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84</c:v>
                </c:pt>
                <c:pt idx="13">
                  <c:v>85</c:v>
                </c:pt>
                <c:pt idx="14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42-49E0-9EB5-2D9551D01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26152"/>
        <c:axId val="529630856"/>
      </c:scatterChart>
      <c:valAx>
        <c:axId val="529626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30856"/>
        <c:crosses val="autoZero"/>
        <c:crossBetween val="midCat"/>
      </c:valAx>
      <c:valAx>
        <c:axId val="529630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Life Exp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26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Cig (x)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Life Exp (y)</c:v>
          </c:tx>
          <c:spPr>
            <a:ln w="28575">
              <a:noFill/>
            </a:ln>
          </c:spPr>
          <c:xVal>
            <c:numRef>
              <c:f>'Reg 2'!$A$4:$A$18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'Reg 2'!$B$4:$B$18</c:f>
              <c:numCache>
                <c:formatCode>General</c:formatCode>
                <c:ptCount val="15"/>
                <c:pt idx="0">
                  <c:v>80</c:v>
                </c:pt>
                <c:pt idx="1">
                  <c:v>78</c:v>
                </c:pt>
                <c:pt idx="2">
                  <c:v>60</c:v>
                </c:pt>
                <c:pt idx="3">
                  <c:v>53</c:v>
                </c:pt>
                <c:pt idx="4">
                  <c:v>85</c:v>
                </c:pt>
                <c:pt idx="5">
                  <c:v>84</c:v>
                </c:pt>
                <c:pt idx="6">
                  <c:v>73</c:v>
                </c:pt>
                <c:pt idx="7">
                  <c:v>79</c:v>
                </c:pt>
                <c:pt idx="8">
                  <c:v>81</c:v>
                </c:pt>
                <c:pt idx="9">
                  <c:v>75</c:v>
                </c:pt>
                <c:pt idx="10">
                  <c:v>68</c:v>
                </c:pt>
                <c:pt idx="11">
                  <c:v>72</c:v>
                </c:pt>
                <c:pt idx="12">
                  <c:v>58</c:v>
                </c:pt>
                <c:pt idx="13">
                  <c:v>92</c:v>
                </c:pt>
                <c:pt idx="14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56-40A3-BAF5-650ADE0E8D74}"/>
            </c:ext>
          </c:extLst>
        </c:ser>
        <c:ser>
          <c:idx val="1"/>
          <c:order val="1"/>
          <c:tx>
            <c:v>Predicted Life Exp (y)</c:v>
          </c:tx>
          <c:spPr>
            <a:ln w="28575">
              <a:noFill/>
            </a:ln>
          </c:spPr>
          <c:dPt>
            <c:idx val="5"/>
            <c:marker>
              <c:symbol val="square"/>
              <c:size val="6"/>
            </c:marker>
            <c:bubble3D val="0"/>
            <c:extLst>
              <c:ext xmlns:c16="http://schemas.microsoft.com/office/drawing/2014/chart" uri="{C3380CC4-5D6E-409C-BE32-E72D297353CC}">
                <c16:uniqueId val="{00000001-5956-40A3-BAF5-650ADE0E8D74}"/>
              </c:ext>
            </c:extLst>
          </c:dPt>
          <c:xVal>
            <c:numRef>
              <c:f>'Reg 2'!$A$4:$A$18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'Reg 4'!$S$5:$S$19</c:f>
              <c:numCache>
                <c:formatCode>General</c:formatCode>
                <c:ptCount val="15"/>
                <c:pt idx="0">
                  <c:v>82.579419168662113</c:v>
                </c:pt>
                <c:pt idx="1">
                  <c:v>71.271811874501125</c:v>
                </c:pt>
                <c:pt idx="2">
                  <c:v>70.015411064038801</c:v>
                </c:pt>
                <c:pt idx="3">
                  <c:v>55.566801743721982</c:v>
                </c:pt>
                <c:pt idx="4">
                  <c:v>75.041014305888126</c:v>
                </c:pt>
                <c:pt idx="5">
                  <c:v>80.69481795296862</c:v>
                </c:pt>
                <c:pt idx="6">
                  <c:v>83.207619573893282</c:v>
                </c:pt>
                <c:pt idx="7">
                  <c:v>69.387210658807632</c:v>
                </c:pt>
                <c:pt idx="8">
                  <c:v>78.810216737275113</c:v>
                </c:pt>
                <c:pt idx="9">
                  <c:v>73.784613495425788</c:v>
                </c:pt>
                <c:pt idx="10">
                  <c:v>76.925615521581619</c:v>
                </c:pt>
                <c:pt idx="11">
                  <c:v>63.733407011727138</c:v>
                </c:pt>
                <c:pt idx="12">
                  <c:v>67.502609443114125</c:v>
                </c:pt>
                <c:pt idx="13">
                  <c:v>83.207619573893282</c:v>
                </c:pt>
                <c:pt idx="14">
                  <c:v>71.271811874501125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56-40A3-BAF5-650ADE0E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26544"/>
        <c:axId val="529629288"/>
      </c:scatterChart>
      <c:valAx>
        <c:axId val="529626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Cig 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29288"/>
        <c:crosses val="autoZero"/>
        <c:crossBetween val="midCat"/>
      </c:valAx>
      <c:valAx>
        <c:axId val="529629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Life Exp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265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 5'!$A$5:$A$19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'Reg 5'!$B$5:$B$19</c:f>
              <c:numCache>
                <c:formatCode>General</c:formatCode>
                <c:ptCount val="15"/>
                <c:pt idx="0">
                  <c:v>80</c:v>
                </c:pt>
                <c:pt idx="1">
                  <c:v>78</c:v>
                </c:pt>
                <c:pt idx="2">
                  <c:v>60</c:v>
                </c:pt>
                <c:pt idx="3">
                  <c:v>53</c:v>
                </c:pt>
                <c:pt idx="4">
                  <c:v>85</c:v>
                </c:pt>
                <c:pt idx="5">
                  <c:v>84</c:v>
                </c:pt>
                <c:pt idx="6">
                  <c:v>73</c:v>
                </c:pt>
                <c:pt idx="7">
                  <c:v>79</c:v>
                </c:pt>
                <c:pt idx="8">
                  <c:v>81</c:v>
                </c:pt>
                <c:pt idx="9">
                  <c:v>75</c:v>
                </c:pt>
                <c:pt idx="10">
                  <c:v>68</c:v>
                </c:pt>
                <c:pt idx="11">
                  <c:v>72</c:v>
                </c:pt>
                <c:pt idx="12">
                  <c:v>58</c:v>
                </c:pt>
                <c:pt idx="13">
                  <c:v>92</c:v>
                </c:pt>
                <c:pt idx="14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97-42D1-AAF7-AE789B576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29680"/>
        <c:axId val="529630072"/>
      </c:scatterChart>
      <c:valAx>
        <c:axId val="529629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Cigarettes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30072"/>
        <c:crosses val="autoZero"/>
        <c:crossBetween val="midCat"/>
      </c:valAx>
      <c:valAx>
        <c:axId val="529630072"/>
        <c:scaling>
          <c:orientation val="minMax"/>
          <c:max val="100"/>
          <c:min val="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Longevity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29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Women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'Reg 5'!$D$5:$D$20</c:f>
              <c:numCache>
                <c:formatCode>General</c:formatCode>
                <c:ptCount val="16"/>
                <c:pt idx="0">
                  <c:v>22</c:v>
                </c:pt>
                <c:pt idx="1">
                  <c:v>7</c:v>
                </c:pt>
                <c:pt idx="2">
                  <c:v>20</c:v>
                </c:pt>
                <c:pt idx="3">
                  <c:v>23</c:v>
                </c:pt>
                <c:pt idx="4">
                  <c:v>15</c:v>
                </c:pt>
                <c:pt idx="5">
                  <c:v>34</c:v>
                </c:pt>
                <c:pt idx="6">
                  <c:v>4</c:v>
                </c:pt>
                <c:pt idx="7">
                  <c:v>40</c:v>
                </c:pt>
                <c:pt idx="8">
                  <c:v>8</c:v>
                </c:pt>
                <c:pt idx="9">
                  <c:v>16</c:v>
                </c:pt>
                <c:pt idx="10">
                  <c:v>11</c:v>
                </c:pt>
                <c:pt idx="11">
                  <c:v>52</c:v>
                </c:pt>
                <c:pt idx="12">
                  <c:v>3</c:v>
                </c:pt>
                <c:pt idx="13">
                  <c:v>31</c:v>
                </c:pt>
                <c:pt idx="14">
                  <c:v>18</c:v>
                </c:pt>
                <c:pt idx="15">
                  <c:v>8</c:v>
                </c:pt>
              </c:numCache>
            </c:numRef>
          </c:xVal>
          <c:yVal>
            <c:numRef>
              <c:f>'Reg 5'!$E$5:$E$20</c:f>
              <c:numCache>
                <c:formatCode>General</c:formatCode>
                <c:ptCount val="16"/>
                <c:pt idx="0">
                  <c:v>88</c:v>
                </c:pt>
                <c:pt idx="1">
                  <c:v>95</c:v>
                </c:pt>
                <c:pt idx="2">
                  <c:v>86</c:v>
                </c:pt>
                <c:pt idx="3">
                  <c:v>60</c:v>
                </c:pt>
                <c:pt idx="4">
                  <c:v>82</c:v>
                </c:pt>
                <c:pt idx="5">
                  <c:v>75</c:v>
                </c:pt>
                <c:pt idx="6">
                  <c:v>80</c:v>
                </c:pt>
                <c:pt idx="7">
                  <c:v>68</c:v>
                </c:pt>
                <c:pt idx="8">
                  <c:v>93</c:v>
                </c:pt>
                <c:pt idx="9">
                  <c:v>77</c:v>
                </c:pt>
                <c:pt idx="10">
                  <c:v>72</c:v>
                </c:pt>
                <c:pt idx="11">
                  <c:v>67</c:v>
                </c:pt>
                <c:pt idx="12">
                  <c:v>90</c:v>
                </c:pt>
                <c:pt idx="13">
                  <c:v>66</c:v>
                </c:pt>
                <c:pt idx="14">
                  <c:v>72</c:v>
                </c:pt>
                <c:pt idx="15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48-498A-88B6-ABEBBA4B7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41832"/>
        <c:axId val="529636344"/>
      </c:scatterChart>
      <c:valAx>
        <c:axId val="529641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Cigarettes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36344"/>
        <c:crosses val="autoZero"/>
        <c:crossBetween val="midCat"/>
      </c:valAx>
      <c:valAx>
        <c:axId val="529636344"/>
        <c:scaling>
          <c:orientation val="minMax"/>
          <c:max val="100"/>
          <c:min val="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Longevity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41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Confidence Interval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'Reg 7'!$H$3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cat>
            <c:numRef>
              <c:f>'Reg 7'!$G$4:$G$14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'Reg 7'!$H$4:$H$14</c:f>
              <c:numCache>
                <c:formatCode>General</c:formatCode>
                <c:ptCount val="11"/>
                <c:pt idx="0">
                  <c:v>85.720421194817945</c:v>
                </c:pt>
                <c:pt idx="1">
                  <c:v>82.579419168662113</c:v>
                </c:pt>
                <c:pt idx="2">
                  <c:v>79.438417142506282</c:v>
                </c:pt>
                <c:pt idx="3">
                  <c:v>76.29741511635045</c:v>
                </c:pt>
                <c:pt idx="4">
                  <c:v>73.156413090194633</c:v>
                </c:pt>
                <c:pt idx="5">
                  <c:v>70.015411064038801</c:v>
                </c:pt>
                <c:pt idx="6">
                  <c:v>66.87440903788297</c:v>
                </c:pt>
                <c:pt idx="7">
                  <c:v>63.733407011727138</c:v>
                </c:pt>
                <c:pt idx="8">
                  <c:v>60.592404985571306</c:v>
                </c:pt>
                <c:pt idx="9">
                  <c:v>57.451402959415475</c:v>
                </c:pt>
                <c:pt idx="10">
                  <c:v>54.310400933259643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C-4FDB-98E3-0A7725686D18}"/>
            </c:ext>
          </c:extLst>
        </c:ser>
        <c:ser>
          <c:idx val="1"/>
          <c:order val="1"/>
          <c:tx>
            <c:strRef>
              <c:f>'Reg 7'!$I$3</c:f>
              <c:strCache>
                <c:ptCount val="1"/>
                <c:pt idx="0">
                  <c:v>lower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'Reg 7'!$I$4:$I$14</c:f>
              <c:numCache>
                <c:formatCode>General</c:formatCode>
                <c:ptCount val="11"/>
                <c:pt idx="0">
                  <c:v>77.280744860496497</c:v>
                </c:pt>
                <c:pt idx="1">
                  <c:v>75.64188821274449</c:v>
                </c:pt>
                <c:pt idx="2">
                  <c:v>73.793552250134994</c:v>
                </c:pt>
                <c:pt idx="3">
                  <c:v>71.560999985205697</c:v>
                </c:pt>
                <c:pt idx="4">
                  <c:v>68.702569616457737</c:v>
                </c:pt>
                <c:pt idx="5">
                  <c:v>65.108907233900567</c:v>
                </c:pt>
                <c:pt idx="6">
                  <c:v>60.946103821855864</c:v>
                </c:pt>
                <c:pt idx="7">
                  <c:v>56.4498783074391</c:v>
                </c:pt>
                <c:pt idx="8">
                  <c:v>51.772612312803879</c:v>
                </c:pt>
                <c:pt idx="9">
                  <c:v>46.993790423677837</c:v>
                </c:pt>
                <c:pt idx="10">
                  <c:v>42.154392465952931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AC-4FDB-98E3-0A7725686D18}"/>
            </c:ext>
          </c:extLst>
        </c:ser>
        <c:ser>
          <c:idx val="2"/>
          <c:order val="2"/>
          <c:tx>
            <c:strRef>
              <c:f>'Reg 7'!$J$3</c:f>
              <c:strCache>
                <c:ptCount val="1"/>
                <c:pt idx="0">
                  <c:v>upper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'Reg 7'!$J$4:$J$14</c:f>
              <c:numCache>
                <c:formatCode>General</c:formatCode>
                <c:ptCount val="11"/>
                <c:pt idx="0">
                  <c:v>94.160097529139392</c:v>
                </c:pt>
                <c:pt idx="1">
                  <c:v>89.516950124579736</c:v>
                </c:pt>
                <c:pt idx="2">
                  <c:v>85.08328203487757</c:v>
                </c:pt>
                <c:pt idx="3">
                  <c:v>81.033830247495203</c:v>
                </c:pt>
                <c:pt idx="4">
                  <c:v>77.610256563931529</c:v>
                </c:pt>
                <c:pt idx="5">
                  <c:v>74.921914894177036</c:v>
                </c:pt>
                <c:pt idx="6">
                  <c:v>72.802714253910068</c:v>
                </c:pt>
                <c:pt idx="7">
                  <c:v>71.016935716015183</c:v>
                </c:pt>
                <c:pt idx="8">
                  <c:v>69.412197658338741</c:v>
                </c:pt>
                <c:pt idx="9">
                  <c:v>67.909015495153113</c:v>
                </c:pt>
                <c:pt idx="10">
                  <c:v>66.466409400566349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AC-4FDB-98E3-0A7725686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9630464"/>
        <c:axId val="529628896"/>
      </c:lineChart>
      <c:catAx>
        <c:axId val="52963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9628896"/>
        <c:crosses val="autoZero"/>
        <c:auto val="1"/>
        <c:lblAlgn val="ctr"/>
        <c:lblOffset val="100"/>
        <c:noMultiLvlLbl val="0"/>
      </c:catAx>
      <c:valAx>
        <c:axId val="529628896"/>
        <c:scaling>
          <c:orientation val="minMax"/>
          <c:min val="4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9630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Prediction Interval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'Reg 7'!$L$3</c:f>
              <c:strCache>
                <c:ptCount val="1"/>
                <c:pt idx="0">
                  <c:v>pred</c:v>
                </c:pt>
              </c:strCache>
            </c:strRef>
          </c:tx>
          <c:marker>
            <c:symbol val="none"/>
          </c:marker>
          <c:cat>
            <c:numRef>
              <c:f>'Reg 7'!$G$4:$G$14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'Reg 7'!$L$4:$L$14</c:f>
              <c:numCache>
                <c:formatCode>General</c:formatCode>
                <c:ptCount val="11"/>
                <c:pt idx="0">
                  <c:v>85.720421194817945</c:v>
                </c:pt>
                <c:pt idx="1">
                  <c:v>82.579419168662113</c:v>
                </c:pt>
                <c:pt idx="2">
                  <c:v>79.438417142506282</c:v>
                </c:pt>
                <c:pt idx="3">
                  <c:v>76.29741511635045</c:v>
                </c:pt>
                <c:pt idx="4">
                  <c:v>73.156413090194633</c:v>
                </c:pt>
                <c:pt idx="5">
                  <c:v>70.015411064038801</c:v>
                </c:pt>
                <c:pt idx="6">
                  <c:v>66.87440903788297</c:v>
                </c:pt>
                <c:pt idx="7">
                  <c:v>63.733407011727138</c:v>
                </c:pt>
                <c:pt idx="8">
                  <c:v>60.592404985571306</c:v>
                </c:pt>
                <c:pt idx="9">
                  <c:v>57.451402959415475</c:v>
                </c:pt>
                <c:pt idx="10">
                  <c:v>54.310400933259643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73-4DFA-8C17-E2D230E6CCA4}"/>
            </c:ext>
          </c:extLst>
        </c:ser>
        <c:ser>
          <c:idx val="1"/>
          <c:order val="1"/>
          <c:tx>
            <c:strRef>
              <c:f>'Reg 7'!$M$3</c:f>
              <c:strCache>
                <c:ptCount val="1"/>
                <c:pt idx="0">
                  <c:v>lower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'Reg 7'!$M$4:$M$14</c:f>
              <c:numCache>
                <c:formatCode>General</c:formatCode>
                <c:ptCount val="11"/>
                <c:pt idx="0">
                  <c:v>66.536029263796109</c:v>
                </c:pt>
                <c:pt idx="1">
                  <c:v>64.006802419822819</c:v>
                </c:pt>
                <c:pt idx="2">
                  <c:v>61.308958882864985</c:v>
                </c:pt>
                <c:pt idx="3">
                  <c:v>58.429947880351747</c:v>
                </c:pt>
                <c:pt idx="4">
                  <c:v>55.36176561339704</c:v>
                </c:pt>
                <c:pt idx="5">
                  <c:v>52.102104921115</c:v>
                </c:pt>
                <c:pt idx="6">
                  <c:v>48.654706519199394</c:v>
                </c:pt>
                <c:pt idx="7">
                  <c:v>45.028794010621283</c:v>
                </c:pt>
                <c:pt idx="8">
                  <c:v>41.237780217171576</c:v>
                </c:pt>
                <c:pt idx="9">
                  <c:v>37.297633657308054</c:v>
                </c:pt>
                <c:pt idx="10">
                  <c:v>33.225304324702627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73-4DFA-8C17-E2D230E6CCA4}"/>
            </c:ext>
          </c:extLst>
        </c:ser>
        <c:ser>
          <c:idx val="2"/>
          <c:order val="2"/>
          <c:tx>
            <c:strRef>
              <c:f>'Reg 7'!$N$3</c:f>
              <c:strCache>
                <c:ptCount val="1"/>
                <c:pt idx="0">
                  <c:v>upper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'Reg 7'!$N$4:$N$14</c:f>
              <c:numCache>
                <c:formatCode>General</c:formatCode>
                <c:ptCount val="11"/>
                <c:pt idx="0">
                  <c:v>104.90481312583978</c:v>
                </c:pt>
                <c:pt idx="1">
                  <c:v>101.15203591750141</c:v>
                </c:pt>
                <c:pt idx="2">
                  <c:v>97.567875402147578</c:v>
                </c:pt>
                <c:pt idx="3">
                  <c:v>94.164882352349153</c:v>
                </c:pt>
                <c:pt idx="4">
                  <c:v>90.951060566992226</c:v>
                </c:pt>
                <c:pt idx="5">
                  <c:v>87.928717206962602</c:v>
                </c:pt>
                <c:pt idx="6">
                  <c:v>85.094111556566546</c:v>
                </c:pt>
                <c:pt idx="7">
                  <c:v>82.438020012832993</c:v>
                </c:pt>
                <c:pt idx="8">
                  <c:v>79.947029753971037</c:v>
                </c:pt>
                <c:pt idx="9">
                  <c:v>77.605172261522895</c:v>
                </c:pt>
                <c:pt idx="10">
                  <c:v>75.395497541816667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73-4DFA-8C17-E2D230E6C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9624976"/>
        <c:axId val="529642224"/>
      </c:lineChart>
      <c:catAx>
        <c:axId val="529624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9642224"/>
        <c:crosses val="autoZero"/>
        <c:auto val="1"/>
        <c:lblAlgn val="ctr"/>
        <c:lblOffset val="100"/>
        <c:noMultiLvlLbl val="0"/>
      </c:catAx>
      <c:valAx>
        <c:axId val="529642224"/>
        <c:scaling>
          <c:orientation val="minMax"/>
          <c:min val="3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9624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 Transformation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'Exp Reg'!$D$6:$D$16</c:f>
              <c:numCache>
                <c:formatCode>General</c:formatCode>
                <c:ptCount val="11"/>
                <c:pt idx="0">
                  <c:v>45</c:v>
                </c:pt>
                <c:pt idx="1">
                  <c:v>99</c:v>
                </c:pt>
                <c:pt idx="2">
                  <c:v>31</c:v>
                </c:pt>
                <c:pt idx="3">
                  <c:v>57</c:v>
                </c:pt>
                <c:pt idx="4">
                  <c:v>37</c:v>
                </c:pt>
                <c:pt idx="5">
                  <c:v>85</c:v>
                </c:pt>
                <c:pt idx="6">
                  <c:v>21</c:v>
                </c:pt>
                <c:pt idx="7">
                  <c:v>64</c:v>
                </c:pt>
                <c:pt idx="8">
                  <c:v>17</c:v>
                </c:pt>
                <c:pt idx="9">
                  <c:v>41</c:v>
                </c:pt>
                <c:pt idx="10">
                  <c:v>103</c:v>
                </c:pt>
              </c:numCache>
            </c:numRef>
          </c:xVal>
          <c:yVal>
            <c:numRef>
              <c:f>'Exp Reg'!$E$6:$E$16</c:f>
              <c:numCache>
                <c:formatCode>General</c:formatCode>
                <c:ptCount val="11"/>
                <c:pt idx="0">
                  <c:v>3.4965075614664802</c:v>
                </c:pt>
                <c:pt idx="1">
                  <c:v>4.2766661190160553</c:v>
                </c:pt>
                <c:pt idx="2">
                  <c:v>2.9444389791664403</c:v>
                </c:pt>
                <c:pt idx="3">
                  <c:v>3.2958368660043291</c:v>
                </c:pt>
                <c:pt idx="4">
                  <c:v>3.1354942159291497</c:v>
                </c:pt>
                <c:pt idx="5">
                  <c:v>4.1271343850450917</c:v>
                </c:pt>
                <c:pt idx="6">
                  <c:v>3.1780538303479458</c:v>
                </c:pt>
                <c:pt idx="7">
                  <c:v>3.4657359027997265</c:v>
                </c:pt>
                <c:pt idx="8">
                  <c:v>2.8903717578961645</c:v>
                </c:pt>
                <c:pt idx="9">
                  <c:v>3.5835189384561099</c:v>
                </c:pt>
                <c:pt idx="10">
                  <c:v>4.3307333402863311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1F-4B69-8138-6C542A773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28504"/>
        <c:axId val="529633992"/>
      </c:scatterChart>
      <c:valAx>
        <c:axId val="529628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9633992"/>
        <c:crosses val="autoZero"/>
        <c:crossBetween val="midCat"/>
      </c:valAx>
      <c:valAx>
        <c:axId val="529633992"/>
        <c:scaling>
          <c:orientation val="minMax"/>
          <c:min val="2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96285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Original Data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exp"/>
            <c:dispRSqr val="0"/>
            <c:dispEq val="0"/>
          </c:trendline>
          <c:xVal>
            <c:numRef>
              <c:f>'Exp Reg'!$A$6:$A$16</c:f>
              <c:numCache>
                <c:formatCode>General</c:formatCode>
                <c:ptCount val="11"/>
                <c:pt idx="0">
                  <c:v>45</c:v>
                </c:pt>
                <c:pt idx="1">
                  <c:v>99</c:v>
                </c:pt>
                <c:pt idx="2">
                  <c:v>31</c:v>
                </c:pt>
                <c:pt idx="3">
                  <c:v>57</c:v>
                </c:pt>
                <c:pt idx="4">
                  <c:v>37</c:v>
                </c:pt>
                <c:pt idx="5">
                  <c:v>85</c:v>
                </c:pt>
                <c:pt idx="6">
                  <c:v>21</c:v>
                </c:pt>
                <c:pt idx="7">
                  <c:v>64</c:v>
                </c:pt>
                <c:pt idx="8">
                  <c:v>17</c:v>
                </c:pt>
                <c:pt idx="9">
                  <c:v>41</c:v>
                </c:pt>
                <c:pt idx="10">
                  <c:v>103</c:v>
                </c:pt>
              </c:numCache>
            </c:numRef>
          </c:xVal>
          <c:yVal>
            <c:numRef>
              <c:f>'Exp Reg'!$B$6:$B$16</c:f>
              <c:numCache>
                <c:formatCode>General</c:formatCode>
                <c:ptCount val="11"/>
                <c:pt idx="0">
                  <c:v>33</c:v>
                </c:pt>
                <c:pt idx="1">
                  <c:v>72</c:v>
                </c:pt>
                <c:pt idx="2">
                  <c:v>19</c:v>
                </c:pt>
                <c:pt idx="3">
                  <c:v>27</c:v>
                </c:pt>
                <c:pt idx="4">
                  <c:v>23</c:v>
                </c:pt>
                <c:pt idx="5">
                  <c:v>62</c:v>
                </c:pt>
                <c:pt idx="6">
                  <c:v>24</c:v>
                </c:pt>
                <c:pt idx="7">
                  <c:v>32</c:v>
                </c:pt>
                <c:pt idx="8">
                  <c:v>18</c:v>
                </c:pt>
                <c:pt idx="9">
                  <c:v>36</c:v>
                </c:pt>
                <c:pt idx="10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D6-454E-AC8F-5F5C1985C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39088"/>
        <c:axId val="529640264"/>
      </c:scatterChart>
      <c:valAx>
        <c:axId val="52963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9640264"/>
        <c:crosses val="autoZero"/>
        <c:crossBetween val="midCat"/>
      </c:valAx>
      <c:valAx>
        <c:axId val="529640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96390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Original Data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xVal>
            <c:numRef>
              <c:f>'Pow Reg'!$A$6:$A$16</c:f>
              <c:numCache>
                <c:formatCode>General</c:formatCode>
                <c:ptCount val="11"/>
                <c:pt idx="0">
                  <c:v>8.1</c:v>
                </c:pt>
                <c:pt idx="1">
                  <c:v>69.900000000000006</c:v>
                </c:pt>
                <c:pt idx="2">
                  <c:v>4.2</c:v>
                </c:pt>
                <c:pt idx="3">
                  <c:v>14.1</c:v>
                </c:pt>
                <c:pt idx="4">
                  <c:v>5.6</c:v>
                </c:pt>
                <c:pt idx="5">
                  <c:v>52.1</c:v>
                </c:pt>
                <c:pt idx="6">
                  <c:v>44.6</c:v>
                </c:pt>
                <c:pt idx="7">
                  <c:v>19.600000000000001</c:v>
                </c:pt>
                <c:pt idx="8">
                  <c:v>33</c:v>
                </c:pt>
                <c:pt idx="9">
                  <c:v>6.7</c:v>
                </c:pt>
                <c:pt idx="10">
                  <c:v>30.1</c:v>
                </c:pt>
              </c:numCache>
            </c:numRef>
          </c:xVal>
          <c:yVal>
            <c:numRef>
              <c:f>'Pow Reg'!$B$6:$B$16</c:f>
              <c:numCache>
                <c:formatCode>General</c:formatCode>
                <c:ptCount val="11"/>
                <c:pt idx="0">
                  <c:v>33</c:v>
                </c:pt>
                <c:pt idx="1">
                  <c:v>49</c:v>
                </c:pt>
                <c:pt idx="2">
                  <c:v>18.999999999999996</c:v>
                </c:pt>
                <c:pt idx="3">
                  <c:v>27</c:v>
                </c:pt>
                <c:pt idx="4">
                  <c:v>23</c:v>
                </c:pt>
                <c:pt idx="5">
                  <c:v>51</c:v>
                </c:pt>
                <c:pt idx="6">
                  <c:v>34</c:v>
                </c:pt>
                <c:pt idx="7">
                  <c:v>32</c:v>
                </c:pt>
                <c:pt idx="8">
                  <c:v>28</c:v>
                </c:pt>
                <c:pt idx="9">
                  <c:v>36</c:v>
                </c:pt>
                <c:pt idx="10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7D-45F6-AF55-67D02A1CE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50456"/>
        <c:axId val="529651632"/>
      </c:scatterChart>
      <c:valAx>
        <c:axId val="529650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9651632"/>
        <c:crosses val="autoZero"/>
        <c:crossBetween val="midCat"/>
      </c:valAx>
      <c:valAx>
        <c:axId val="529651632"/>
        <c:scaling>
          <c:orientation val="minMax"/>
          <c:min val="1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96504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Log-Log Transformation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'Pow Reg'!$D$6:$D$16</c:f>
              <c:numCache>
                <c:formatCode>General</c:formatCode>
                <c:ptCount val="11"/>
                <c:pt idx="0">
                  <c:v>2.0918640616783932</c:v>
                </c:pt>
                <c:pt idx="1">
                  <c:v>4.2470656492397643</c:v>
                </c:pt>
                <c:pt idx="2">
                  <c:v>1.4350845252893227</c:v>
                </c:pt>
                <c:pt idx="3">
                  <c:v>2.6461747973841225</c:v>
                </c:pt>
                <c:pt idx="4">
                  <c:v>1.7227665977411035</c:v>
                </c:pt>
                <c:pt idx="5">
                  <c:v>3.9531649487593215</c:v>
                </c:pt>
                <c:pt idx="6">
                  <c:v>3.7977338590260183</c:v>
                </c:pt>
                <c:pt idx="7">
                  <c:v>2.9755295662364718</c:v>
                </c:pt>
                <c:pt idx="8">
                  <c:v>3.4965075614664802</c:v>
                </c:pt>
                <c:pt idx="9">
                  <c:v>1.9021075263969205</c:v>
                </c:pt>
                <c:pt idx="10">
                  <c:v>3.4045251717548299</c:v>
                </c:pt>
              </c:numCache>
            </c:numRef>
          </c:xVal>
          <c:yVal>
            <c:numRef>
              <c:f>'Pow Reg'!$E$6:$E$16</c:f>
              <c:numCache>
                <c:formatCode>General</c:formatCode>
                <c:ptCount val="11"/>
                <c:pt idx="0">
                  <c:v>3.4965075614664802</c:v>
                </c:pt>
                <c:pt idx="1">
                  <c:v>3.8918202981106265</c:v>
                </c:pt>
                <c:pt idx="2">
                  <c:v>2.9444389791664403</c:v>
                </c:pt>
                <c:pt idx="3">
                  <c:v>3.2958368660043291</c:v>
                </c:pt>
                <c:pt idx="4">
                  <c:v>3.1354942159291497</c:v>
                </c:pt>
                <c:pt idx="5">
                  <c:v>3.9318256327243257</c:v>
                </c:pt>
                <c:pt idx="6">
                  <c:v>3.5263605246161616</c:v>
                </c:pt>
                <c:pt idx="7">
                  <c:v>3.4657359027997265</c:v>
                </c:pt>
                <c:pt idx="8">
                  <c:v>3.3322045101752038</c:v>
                </c:pt>
                <c:pt idx="9">
                  <c:v>3.5835189384561099</c:v>
                </c:pt>
                <c:pt idx="10">
                  <c:v>3.7612001156935624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90-4275-A5E4-2B366412A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48104"/>
        <c:axId val="529652808"/>
      </c:scatterChart>
      <c:valAx>
        <c:axId val="529648104"/>
        <c:scaling>
          <c:orientation val="minMax"/>
          <c:min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529652808"/>
        <c:crosses val="autoZero"/>
        <c:crossBetween val="midCat"/>
      </c:valAx>
      <c:valAx>
        <c:axId val="529652808"/>
        <c:scaling>
          <c:orientation val="minMax"/>
          <c:min val="2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9648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'Reg T 1'!$D$4:$D$23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'Reg T 1A'!$C$25:$C$44</c:f>
              <c:numCache>
                <c:formatCode>General</c:formatCode>
                <c:ptCount val="20"/>
                <c:pt idx="0">
                  <c:v>-2</c:v>
                </c:pt>
                <c:pt idx="1">
                  <c:v>2</c:v>
                </c:pt>
                <c:pt idx="2">
                  <c:v>4</c:v>
                </c:pt>
                <c:pt idx="3">
                  <c:v>-4</c:v>
                </c:pt>
                <c:pt idx="4">
                  <c:v>5</c:v>
                </c:pt>
                <c:pt idx="5">
                  <c:v>0</c:v>
                </c:pt>
                <c:pt idx="6">
                  <c:v>3</c:v>
                </c:pt>
                <c:pt idx="7">
                  <c:v>-6</c:v>
                </c:pt>
                <c:pt idx="8">
                  <c:v>-3</c:v>
                </c:pt>
                <c:pt idx="9">
                  <c:v>1</c:v>
                </c:pt>
                <c:pt idx="10">
                  <c:v>0.89999999999999858</c:v>
                </c:pt>
                <c:pt idx="11">
                  <c:v>-3.1000000000000014</c:v>
                </c:pt>
                <c:pt idx="12">
                  <c:v>-5.1000000000000014</c:v>
                </c:pt>
                <c:pt idx="13">
                  <c:v>4.8999999999999986</c:v>
                </c:pt>
                <c:pt idx="14">
                  <c:v>0.89999999999999858</c:v>
                </c:pt>
                <c:pt idx="15">
                  <c:v>2.8999999999999986</c:v>
                </c:pt>
                <c:pt idx="16">
                  <c:v>-1.1000000000000014</c:v>
                </c:pt>
                <c:pt idx="17">
                  <c:v>6.8999999999999986</c:v>
                </c:pt>
                <c:pt idx="18">
                  <c:v>-7.1000000000000014</c:v>
                </c:pt>
                <c:pt idx="19">
                  <c:v>-0.10000000000000142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7A-4E9F-93B9-0D5623497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50848"/>
        <c:axId val="529650064"/>
      </c:scatterChart>
      <c:valAx>
        <c:axId val="52965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50064"/>
        <c:crosses val="autoZero"/>
        <c:crossBetween val="midCat"/>
      </c:valAx>
      <c:valAx>
        <c:axId val="529650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508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'Reg T 1'!$D$4:$D$23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'Reg T 1A'!$C$25:$C$44</c:f>
              <c:numCache>
                <c:formatCode>General</c:formatCode>
                <c:ptCount val="20"/>
                <c:pt idx="0">
                  <c:v>-2</c:v>
                </c:pt>
                <c:pt idx="1">
                  <c:v>2</c:v>
                </c:pt>
                <c:pt idx="2">
                  <c:v>4</c:v>
                </c:pt>
                <c:pt idx="3">
                  <c:v>-4</c:v>
                </c:pt>
                <c:pt idx="4">
                  <c:v>5</c:v>
                </c:pt>
                <c:pt idx="5">
                  <c:v>0</c:v>
                </c:pt>
                <c:pt idx="6">
                  <c:v>3</c:v>
                </c:pt>
                <c:pt idx="7">
                  <c:v>-6</c:v>
                </c:pt>
                <c:pt idx="8">
                  <c:v>-3</c:v>
                </c:pt>
                <c:pt idx="9">
                  <c:v>1</c:v>
                </c:pt>
                <c:pt idx="10">
                  <c:v>0.89999999999999858</c:v>
                </c:pt>
                <c:pt idx="11">
                  <c:v>-3.1000000000000014</c:v>
                </c:pt>
                <c:pt idx="12">
                  <c:v>-5.1000000000000014</c:v>
                </c:pt>
                <c:pt idx="13">
                  <c:v>4.8999999999999986</c:v>
                </c:pt>
                <c:pt idx="14">
                  <c:v>0.89999999999999858</c:v>
                </c:pt>
                <c:pt idx="15">
                  <c:v>2.8999999999999986</c:v>
                </c:pt>
                <c:pt idx="16">
                  <c:v>-1.1000000000000014</c:v>
                </c:pt>
                <c:pt idx="17">
                  <c:v>6.8999999999999986</c:v>
                </c:pt>
                <c:pt idx="18">
                  <c:v>-7.1000000000000014</c:v>
                </c:pt>
                <c:pt idx="19">
                  <c:v>-0.10000000000000142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CB-4562-B12F-64E582E67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51240"/>
        <c:axId val="529646928"/>
      </c:scatterChart>
      <c:valAx>
        <c:axId val="529651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46928"/>
        <c:crosses val="autoZero"/>
        <c:crossBetween val="midCat"/>
      </c:valAx>
      <c:valAx>
        <c:axId val="529646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512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'Reg T 1'!$D$4:$D$23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'Reg T 1'!$E$4:$E$23</c:f>
              <c:numCache>
                <c:formatCode>General</c:formatCode>
                <c:ptCount val="20"/>
                <c:pt idx="0">
                  <c:v>13</c:v>
                </c:pt>
                <c:pt idx="1">
                  <c:v>17</c:v>
                </c:pt>
                <c:pt idx="2">
                  <c:v>19</c:v>
                </c:pt>
                <c:pt idx="3">
                  <c:v>11</c:v>
                </c:pt>
                <c:pt idx="4">
                  <c:v>20</c:v>
                </c:pt>
                <c:pt idx="5">
                  <c:v>15</c:v>
                </c:pt>
                <c:pt idx="6">
                  <c:v>18</c:v>
                </c:pt>
                <c:pt idx="7">
                  <c:v>9</c:v>
                </c:pt>
                <c:pt idx="8">
                  <c:v>12</c:v>
                </c:pt>
                <c:pt idx="9">
                  <c:v>16</c:v>
                </c:pt>
                <c:pt idx="10">
                  <c:v>12</c:v>
                </c:pt>
                <c:pt idx="11">
                  <c:v>8</c:v>
                </c:pt>
                <c:pt idx="12">
                  <c:v>6</c:v>
                </c:pt>
                <c:pt idx="13">
                  <c:v>16</c:v>
                </c:pt>
                <c:pt idx="14">
                  <c:v>12</c:v>
                </c:pt>
                <c:pt idx="15">
                  <c:v>14</c:v>
                </c:pt>
                <c:pt idx="16">
                  <c:v>10</c:v>
                </c:pt>
                <c:pt idx="17">
                  <c:v>18</c:v>
                </c:pt>
                <c:pt idx="18">
                  <c:v>4</c:v>
                </c:pt>
                <c:pt idx="19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77-4517-A055-3127ABB7EF96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'Reg T 1'!$D$4:$D$23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'Reg T 1A'!$B$25:$B$44</c:f>
              <c:numCache>
                <c:formatCode>General</c:formatCode>
                <c:ptCount val="2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11.100000000000001</c:v>
                </c:pt>
                <c:pt idx="11">
                  <c:v>11.100000000000001</c:v>
                </c:pt>
                <c:pt idx="12">
                  <c:v>11.100000000000001</c:v>
                </c:pt>
                <c:pt idx="13">
                  <c:v>11.100000000000001</c:v>
                </c:pt>
                <c:pt idx="14">
                  <c:v>11.100000000000001</c:v>
                </c:pt>
                <c:pt idx="15">
                  <c:v>11.100000000000001</c:v>
                </c:pt>
                <c:pt idx="16">
                  <c:v>11.100000000000001</c:v>
                </c:pt>
                <c:pt idx="17">
                  <c:v>11.100000000000001</c:v>
                </c:pt>
                <c:pt idx="18">
                  <c:v>11.100000000000001</c:v>
                </c:pt>
                <c:pt idx="19">
                  <c:v>11.100000000000001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77-4517-A055-3127ABB7E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48888"/>
        <c:axId val="529652416"/>
      </c:scatterChart>
      <c:valAx>
        <c:axId val="529648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52416"/>
        <c:crosses val="autoZero"/>
        <c:crossBetween val="midCat"/>
      </c:valAx>
      <c:valAx>
        <c:axId val="529652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48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'Reg T 1A'!$F$25:$F$44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'Reg T 1A'!$G$25:$G$44</c:f>
              <c:numCache>
                <c:formatCode>General</c:formatCode>
                <c:ptCount val="20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E1-4347-812D-39856374F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49280"/>
        <c:axId val="530902744"/>
      </c:scatterChart>
      <c:valAx>
        <c:axId val="52964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902744"/>
        <c:crosses val="autoZero"/>
        <c:crossBetween val="midCat"/>
      </c:valAx>
      <c:valAx>
        <c:axId val="5309027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649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'Reg T 2'!$D$4:$D$23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'Reg T 2A'!$C$25:$C$44</c:f>
              <c:numCache>
                <c:formatCode>General</c:formatCode>
                <c:ptCount val="20"/>
                <c:pt idx="0">
                  <c:v>0.5</c:v>
                </c:pt>
                <c:pt idx="1">
                  <c:v>18.5</c:v>
                </c:pt>
                <c:pt idx="2">
                  <c:v>-16.5</c:v>
                </c:pt>
                <c:pt idx="3">
                  <c:v>11.5</c:v>
                </c:pt>
                <c:pt idx="4">
                  <c:v>-28.5</c:v>
                </c:pt>
                <c:pt idx="5">
                  <c:v>-4.5</c:v>
                </c:pt>
                <c:pt idx="6">
                  <c:v>-2.5</c:v>
                </c:pt>
                <c:pt idx="7">
                  <c:v>-27.5</c:v>
                </c:pt>
                <c:pt idx="8">
                  <c:v>18.5</c:v>
                </c:pt>
                <c:pt idx="9">
                  <c:v>30.5</c:v>
                </c:pt>
                <c:pt idx="10">
                  <c:v>0.89999999999999503</c:v>
                </c:pt>
                <c:pt idx="11">
                  <c:v>-3.100000000000005</c:v>
                </c:pt>
                <c:pt idx="12">
                  <c:v>-5.100000000000005</c:v>
                </c:pt>
                <c:pt idx="13">
                  <c:v>4.899999999999995</c:v>
                </c:pt>
                <c:pt idx="14">
                  <c:v>0.89999999999999503</c:v>
                </c:pt>
                <c:pt idx="15">
                  <c:v>2.899999999999995</c:v>
                </c:pt>
                <c:pt idx="16">
                  <c:v>-1.100000000000005</c:v>
                </c:pt>
                <c:pt idx="17">
                  <c:v>6.899999999999995</c:v>
                </c:pt>
                <c:pt idx="18">
                  <c:v>-7.100000000000005</c:v>
                </c:pt>
                <c:pt idx="19">
                  <c:v>-0.10000000000000497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F-4839-A78D-18FE5F31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99608"/>
        <c:axId val="530894904"/>
      </c:scatterChart>
      <c:valAx>
        <c:axId val="530899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94904"/>
        <c:crosses val="autoZero"/>
        <c:crossBetween val="midCat"/>
      </c:valAx>
      <c:valAx>
        <c:axId val="530894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99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'Reg T 2'!$D$4:$D$23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'Reg T 2A'!$C$25:$C$44</c:f>
              <c:numCache>
                <c:formatCode>General</c:formatCode>
                <c:ptCount val="20"/>
                <c:pt idx="0">
                  <c:v>0.5</c:v>
                </c:pt>
                <c:pt idx="1">
                  <c:v>18.5</c:v>
                </c:pt>
                <c:pt idx="2">
                  <c:v>-16.5</c:v>
                </c:pt>
                <c:pt idx="3">
                  <c:v>11.5</c:v>
                </c:pt>
                <c:pt idx="4">
                  <c:v>-28.5</c:v>
                </c:pt>
                <c:pt idx="5">
                  <c:v>-4.5</c:v>
                </c:pt>
                <c:pt idx="6">
                  <c:v>-2.5</c:v>
                </c:pt>
                <c:pt idx="7">
                  <c:v>-27.5</c:v>
                </c:pt>
                <c:pt idx="8">
                  <c:v>18.5</c:v>
                </c:pt>
                <c:pt idx="9">
                  <c:v>30.5</c:v>
                </c:pt>
                <c:pt idx="10">
                  <c:v>0.89999999999999503</c:v>
                </c:pt>
                <c:pt idx="11">
                  <c:v>-3.100000000000005</c:v>
                </c:pt>
                <c:pt idx="12">
                  <c:v>-5.100000000000005</c:v>
                </c:pt>
                <c:pt idx="13">
                  <c:v>4.899999999999995</c:v>
                </c:pt>
                <c:pt idx="14">
                  <c:v>0.89999999999999503</c:v>
                </c:pt>
                <c:pt idx="15">
                  <c:v>2.899999999999995</c:v>
                </c:pt>
                <c:pt idx="16">
                  <c:v>-1.100000000000005</c:v>
                </c:pt>
                <c:pt idx="17">
                  <c:v>6.899999999999995</c:v>
                </c:pt>
                <c:pt idx="18">
                  <c:v>-7.100000000000005</c:v>
                </c:pt>
                <c:pt idx="19">
                  <c:v>-0.10000000000000497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FD-4444-9D2F-72EBCD7F2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01176"/>
        <c:axId val="530903136"/>
      </c:scatterChart>
      <c:valAx>
        <c:axId val="530901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903136"/>
        <c:crosses val="autoZero"/>
        <c:crossBetween val="midCat"/>
      </c:valAx>
      <c:valAx>
        <c:axId val="530903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9011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'Reg T 2'!$D$4:$D$23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'Reg T 2'!$E$4:$E$23</c:f>
              <c:numCache>
                <c:formatCode>General</c:formatCode>
                <c:ptCount val="20"/>
                <c:pt idx="0">
                  <c:v>34</c:v>
                </c:pt>
                <c:pt idx="1">
                  <c:v>52</c:v>
                </c:pt>
                <c:pt idx="2">
                  <c:v>17</c:v>
                </c:pt>
                <c:pt idx="3">
                  <c:v>45</c:v>
                </c:pt>
                <c:pt idx="4">
                  <c:v>5</c:v>
                </c:pt>
                <c:pt idx="5">
                  <c:v>29</c:v>
                </c:pt>
                <c:pt idx="6">
                  <c:v>31</c:v>
                </c:pt>
                <c:pt idx="7">
                  <c:v>6</c:v>
                </c:pt>
                <c:pt idx="8">
                  <c:v>52</c:v>
                </c:pt>
                <c:pt idx="9">
                  <c:v>64</c:v>
                </c:pt>
                <c:pt idx="10">
                  <c:v>12</c:v>
                </c:pt>
                <c:pt idx="11">
                  <c:v>8</c:v>
                </c:pt>
                <c:pt idx="12">
                  <c:v>6</c:v>
                </c:pt>
                <c:pt idx="13">
                  <c:v>16</c:v>
                </c:pt>
                <c:pt idx="14">
                  <c:v>12</c:v>
                </c:pt>
                <c:pt idx="15">
                  <c:v>14</c:v>
                </c:pt>
                <c:pt idx="16">
                  <c:v>10</c:v>
                </c:pt>
                <c:pt idx="17">
                  <c:v>18</c:v>
                </c:pt>
                <c:pt idx="18">
                  <c:v>4</c:v>
                </c:pt>
                <c:pt idx="19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85-4DB2-931A-D690DEEB82AE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'Reg T 2'!$D$4:$D$23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'Reg T 2A'!$B$25:$B$44</c:f>
              <c:numCache>
                <c:formatCode>General</c:formatCode>
                <c:ptCount val="20"/>
                <c:pt idx="0">
                  <c:v>33.5</c:v>
                </c:pt>
                <c:pt idx="1">
                  <c:v>33.5</c:v>
                </c:pt>
                <c:pt idx="2">
                  <c:v>33.5</c:v>
                </c:pt>
                <c:pt idx="3">
                  <c:v>33.5</c:v>
                </c:pt>
                <c:pt idx="4">
                  <c:v>33.5</c:v>
                </c:pt>
                <c:pt idx="5">
                  <c:v>33.5</c:v>
                </c:pt>
                <c:pt idx="6">
                  <c:v>33.5</c:v>
                </c:pt>
                <c:pt idx="7">
                  <c:v>33.5</c:v>
                </c:pt>
                <c:pt idx="8">
                  <c:v>33.5</c:v>
                </c:pt>
                <c:pt idx="9">
                  <c:v>33.5</c:v>
                </c:pt>
                <c:pt idx="10">
                  <c:v>11.100000000000005</c:v>
                </c:pt>
                <c:pt idx="11">
                  <c:v>11.100000000000005</c:v>
                </c:pt>
                <c:pt idx="12">
                  <c:v>11.100000000000005</c:v>
                </c:pt>
                <c:pt idx="13">
                  <c:v>11.100000000000005</c:v>
                </c:pt>
                <c:pt idx="14">
                  <c:v>11.100000000000005</c:v>
                </c:pt>
                <c:pt idx="15">
                  <c:v>11.100000000000005</c:v>
                </c:pt>
                <c:pt idx="16">
                  <c:v>11.100000000000005</c:v>
                </c:pt>
                <c:pt idx="17">
                  <c:v>11.100000000000005</c:v>
                </c:pt>
                <c:pt idx="18">
                  <c:v>11.100000000000005</c:v>
                </c:pt>
                <c:pt idx="19">
                  <c:v>11.100000000000005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85-4DB2-931A-D690DEEB8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04704"/>
        <c:axId val="530908624"/>
      </c:scatterChart>
      <c:valAx>
        <c:axId val="53090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908624"/>
        <c:crosses val="autoZero"/>
        <c:crossBetween val="midCat"/>
      </c:valAx>
      <c:valAx>
        <c:axId val="530908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904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'Reg T 2A'!$F$25:$F$44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'Reg T 2A'!$G$25:$G$44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14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29</c:v>
                </c:pt>
                <c:pt idx="14">
                  <c:v>31</c:v>
                </c:pt>
                <c:pt idx="15">
                  <c:v>34</c:v>
                </c:pt>
                <c:pt idx="16">
                  <c:v>45</c:v>
                </c:pt>
                <c:pt idx="17">
                  <c:v>52</c:v>
                </c:pt>
                <c:pt idx="18">
                  <c:v>52</c:v>
                </c:pt>
                <c:pt idx="19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0-4674-A1CB-6A02D587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03528"/>
        <c:axId val="530907056"/>
      </c:scatterChart>
      <c:valAx>
        <c:axId val="530903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907056"/>
        <c:crosses val="autoZero"/>
        <c:crossBetween val="midCat"/>
      </c:valAx>
      <c:valAx>
        <c:axId val="530907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903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Life Expectancy vs. Smoking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TReg!$B$3</c:f>
              <c:strCache>
                <c:ptCount val="1"/>
                <c:pt idx="0">
                  <c:v>Life Exp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TReg!$A$4:$A$18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TReg!$B$4:$B$18</c:f>
              <c:numCache>
                <c:formatCode>General</c:formatCode>
                <c:ptCount val="15"/>
                <c:pt idx="0">
                  <c:v>80</c:v>
                </c:pt>
                <c:pt idx="1">
                  <c:v>78</c:v>
                </c:pt>
                <c:pt idx="2">
                  <c:v>60</c:v>
                </c:pt>
                <c:pt idx="3">
                  <c:v>53</c:v>
                </c:pt>
                <c:pt idx="4">
                  <c:v>85</c:v>
                </c:pt>
                <c:pt idx="5">
                  <c:v>84</c:v>
                </c:pt>
                <c:pt idx="6">
                  <c:v>73</c:v>
                </c:pt>
                <c:pt idx="7">
                  <c:v>79</c:v>
                </c:pt>
                <c:pt idx="8">
                  <c:v>81</c:v>
                </c:pt>
                <c:pt idx="9">
                  <c:v>75</c:v>
                </c:pt>
                <c:pt idx="10">
                  <c:v>68</c:v>
                </c:pt>
                <c:pt idx="11">
                  <c:v>72</c:v>
                </c:pt>
                <c:pt idx="12">
                  <c:v>58</c:v>
                </c:pt>
                <c:pt idx="13">
                  <c:v>92</c:v>
                </c:pt>
                <c:pt idx="14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11-4484-9EDC-C6AA57A97DAC}"/>
            </c:ext>
          </c:extLst>
        </c:ser>
        <c:ser>
          <c:idx val="1"/>
          <c:order val="1"/>
          <c:tx>
            <c:v>TLS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TReg!$Q$6:$Q$20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TReg!$R$6:$R$20</c:f>
              <c:numCache>
                <c:formatCode>General</c:formatCode>
                <c:ptCount val="15"/>
                <c:pt idx="0">
                  <c:v>85.586857437276166</c:v>
                </c:pt>
                <c:pt idx="1">
                  <c:v>70.519952307347609</c:v>
                </c:pt>
                <c:pt idx="2">
                  <c:v>68.845851737355559</c:v>
                </c:pt>
                <c:pt idx="3">
                  <c:v>49.593695182446851</c:v>
                </c:pt>
                <c:pt idx="4">
                  <c:v>75.542254017323799</c:v>
                </c:pt>
                <c:pt idx="5">
                  <c:v>83.075706582288078</c:v>
                </c:pt>
                <c:pt idx="6">
                  <c:v>86.42390772227219</c:v>
                </c:pt>
                <c:pt idx="7">
                  <c:v>68.008801452359521</c:v>
                </c:pt>
                <c:pt idx="8">
                  <c:v>80.564555727299989</c:v>
                </c:pt>
                <c:pt idx="9">
                  <c:v>73.868153447331736</c:v>
                </c:pt>
                <c:pt idx="10">
                  <c:v>78.053404872311887</c:v>
                </c:pt>
                <c:pt idx="11">
                  <c:v>60.475348887395249</c:v>
                </c:pt>
                <c:pt idx="12">
                  <c:v>65.497650597371432</c:v>
                </c:pt>
                <c:pt idx="13">
                  <c:v>86.42390772227219</c:v>
                </c:pt>
                <c:pt idx="14">
                  <c:v>70.519952307347609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11-4484-9EDC-C6AA57A97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88632"/>
        <c:axId val="530878048"/>
      </c:scatterChart>
      <c:valAx>
        <c:axId val="53088863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78048"/>
        <c:crosses val="autoZero"/>
        <c:crossBetween val="midCat"/>
      </c:valAx>
      <c:valAx>
        <c:axId val="53087804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88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QQ Plot - Optimized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Linear (Series1)</c:name>
            <c:trendlineType val="linear"/>
            <c:dispRSqr val="0"/>
            <c:dispEq val="0"/>
          </c:trendline>
          <c:xVal>
            <c:numRef>
              <c:f>'Dem 1'!$AF$10:$AF$19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'Dem 1'!$AG$10:$AG$19</c:f>
              <c:numCache>
                <c:formatCode>General</c:formatCode>
                <c:ptCount val="10"/>
                <c:pt idx="0">
                  <c:v>-1.6448536269514726</c:v>
                </c:pt>
                <c:pt idx="1">
                  <c:v>-1.0364333894937898</c:v>
                </c:pt>
                <c:pt idx="2">
                  <c:v>-0.67448975019608193</c:v>
                </c:pt>
                <c:pt idx="3">
                  <c:v>-0.38532046640756784</c:v>
                </c:pt>
                <c:pt idx="4">
                  <c:v>-0.12566134685507402</c:v>
                </c:pt>
                <c:pt idx="5">
                  <c:v>0.12566134685507416</c:v>
                </c:pt>
                <c:pt idx="6">
                  <c:v>0.38532046640756784</c:v>
                </c:pt>
                <c:pt idx="7">
                  <c:v>0.67448975019608193</c:v>
                </c:pt>
                <c:pt idx="8">
                  <c:v>1.0364333894937898</c:v>
                </c:pt>
                <c:pt idx="9">
                  <c:v>1.6448536269514715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0C-44E4-A1B7-54867EAC6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85496"/>
        <c:axId val="530878440"/>
      </c:scatterChart>
      <c:valAx>
        <c:axId val="53088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78440"/>
        <c:crosses val="autoZero"/>
        <c:crossBetween val="midCat"/>
      </c:valAx>
      <c:valAx>
        <c:axId val="5308784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Std Normal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5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QQ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Linear (Series1)</c:name>
            <c:trendlineType val="linear"/>
            <c:dispRSqr val="0"/>
            <c:dispEq val="0"/>
          </c:trendline>
          <c:xVal>
            <c:numRef>
              <c:f>'Mult Reg 2'!$B$30:$B$40</c:f>
              <c:numCache>
                <c:formatCode>General</c:formatCode>
                <c:ptCount val="11"/>
                <c:pt idx="0">
                  <c:v>-1.3236303505689102</c:v>
                </c:pt>
                <c:pt idx="1">
                  <c:v>-1.0711234253885886</c:v>
                </c:pt>
                <c:pt idx="2">
                  <c:v>-0.95698541007981308</c:v>
                </c:pt>
                <c:pt idx="3">
                  <c:v>-0.85947290855377767</c:v>
                </c:pt>
                <c:pt idx="4">
                  <c:v>-0.40782898942708506</c:v>
                </c:pt>
                <c:pt idx="5">
                  <c:v>-0.23339821457085794</c:v>
                </c:pt>
                <c:pt idx="6">
                  <c:v>0.31381862189921916</c:v>
                </c:pt>
                <c:pt idx="7">
                  <c:v>0.79973849933219099</c:v>
                </c:pt>
                <c:pt idx="8">
                  <c:v>0.86327382787517848</c:v>
                </c:pt>
                <c:pt idx="9">
                  <c:v>0.95211784652177578</c:v>
                </c:pt>
                <c:pt idx="10">
                  <c:v>1.8529159932154711</c:v>
                </c:pt>
              </c:numCache>
            </c:numRef>
          </c:xVal>
          <c:yVal>
            <c:numRef>
              <c:f>'Mult Reg 2'!$C$30:$C$40</c:f>
              <c:numCache>
                <c:formatCode>General</c:formatCode>
                <c:ptCount val="11"/>
                <c:pt idx="0">
                  <c:v>-1.6906216295848977</c:v>
                </c:pt>
                <c:pt idx="1">
                  <c:v>-1.096803562093513</c:v>
                </c:pt>
                <c:pt idx="2">
                  <c:v>-0.74785859476330196</c:v>
                </c:pt>
                <c:pt idx="3">
                  <c:v>-0.47278912099226744</c:v>
                </c:pt>
                <c:pt idx="4">
                  <c:v>-0.22988411757923208</c:v>
                </c:pt>
                <c:pt idx="5">
                  <c:v>0</c:v>
                </c:pt>
                <c:pt idx="6">
                  <c:v>0.22988411757923222</c:v>
                </c:pt>
                <c:pt idx="7">
                  <c:v>0.47278912099226728</c:v>
                </c:pt>
                <c:pt idx="8">
                  <c:v>0.74785859476330196</c:v>
                </c:pt>
                <c:pt idx="9">
                  <c:v>1.096803562093513</c:v>
                </c:pt>
                <c:pt idx="10">
                  <c:v>1.6906216295848984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73-495B-9C14-8109AFE88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87064"/>
        <c:axId val="530883536"/>
      </c:scatterChart>
      <c:valAx>
        <c:axId val="530887064"/>
        <c:scaling>
          <c:orientation val="minMax"/>
          <c:max val="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3536"/>
        <c:crosses val="autoZero"/>
        <c:crossBetween val="midCat"/>
      </c:valAx>
      <c:valAx>
        <c:axId val="5308835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Std Normal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7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QQ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62751531058618"/>
          <c:y val="0.20406277340332457"/>
          <c:w val="0.80895581802274719"/>
          <c:h val="0.6838768591426072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Linear (Series1)</c:name>
            <c:trendlineType val="linear"/>
            <c:dispRSqr val="0"/>
            <c:dispEq val="0"/>
          </c:trendline>
          <c:xVal>
            <c:numRef>
              <c:f>'Mult Reg 2'!$S$30:$S$40</c:f>
              <c:numCache>
                <c:formatCode>General</c:formatCode>
                <c:ptCount val="11"/>
                <c:pt idx="0">
                  <c:v>25</c:v>
                </c:pt>
                <c:pt idx="1">
                  <c:v>33</c:v>
                </c:pt>
                <c:pt idx="2">
                  <c:v>38</c:v>
                </c:pt>
                <c:pt idx="3">
                  <c:v>38</c:v>
                </c:pt>
                <c:pt idx="4">
                  <c:v>43</c:v>
                </c:pt>
                <c:pt idx="5">
                  <c:v>49</c:v>
                </c:pt>
                <c:pt idx="6">
                  <c:v>51</c:v>
                </c:pt>
                <c:pt idx="7">
                  <c:v>51</c:v>
                </c:pt>
                <c:pt idx="8">
                  <c:v>55</c:v>
                </c:pt>
                <c:pt idx="9">
                  <c:v>65</c:v>
                </c:pt>
                <c:pt idx="10">
                  <c:v>71</c:v>
                </c:pt>
              </c:numCache>
            </c:numRef>
          </c:xVal>
          <c:yVal>
            <c:numRef>
              <c:f>'Mult Reg 2'!$T$30:$T$40</c:f>
              <c:numCache>
                <c:formatCode>General</c:formatCode>
                <c:ptCount val="11"/>
                <c:pt idx="0">
                  <c:v>-1.6906216295848977</c:v>
                </c:pt>
                <c:pt idx="1">
                  <c:v>-1.096803562093513</c:v>
                </c:pt>
                <c:pt idx="2">
                  <c:v>-0.74785859476330196</c:v>
                </c:pt>
                <c:pt idx="3">
                  <c:v>-0.47278912099226744</c:v>
                </c:pt>
                <c:pt idx="4">
                  <c:v>-0.22988411757923208</c:v>
                </c:pt>
                <c:pt idx="5">
                  <c:v>0</c:v>
                </c:pt>
                <c:pt idx="6">
                  <c:v>0.22988411757923222</c:v>
                </c:pt>
                <c:pt idx="7">
                  <c:v>0.47278912099226728</c:v>
                </c:pt>
                <c:pt idx="8">
                  <c:v>0.74785859476330196</c:v>
                </c:pt>
                <c:pt idx="9">
                  <c:v>1.096803562093513</c:v>
                </c:pt>
                <c:pt idx="10">
                  <c:v>1.6906216295848984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14-4549-BDB8-B87A165FD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84712"/>
        <c:axId val="530889024"/>
      </c:scatterChart>
      <c:valAx>
        <c:axId val="530884712"/>
        <c:scaling>
          <c:orientation val="minMax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9024"/>
        <c:crosses val="autoZero"/>
        <c:crossBetween val="midCat"/>
      </c:valAx>
      <c:valAx>
        <c:axId val="530889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Std Normal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4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2'!$A$48:$A$58</c:f>
              <c:numCache>
                <c:formatCode>0.00000</c:formatCode>
                <c:ptCount val="11"/>
                <c:pt idx="0">
                  <c:v>54.810499624828537</c:v>
                </c:pt>
                <c:pt idx="1">
                  <c:v>42.746177132655433</c:v>
                </c:pt>
                <c:pt idx="2">
                  <c:v>56.295169344614322</c:v>
                </c:pt>
                <c:pt idx="3">
                  <c:v>44.672126057595207</c:v>
                </c:pt>
                <c:pt idx="4">
                  <c:v>57.08424538797891</c:v>
                </c:pt>
                <c:pt idx="5">
                  <c:v>41.261507412869634</c:v>
                </c:pt>
                <c:pt idx="6">
                  <c:v>21.332557116613586</c:v>
                </c:pt>
                <c:pt idx="7">
                  <c:v>34.092473285207895</c:v>
                </c:pt>
                <c:pt idx="8">
                  <c:v>67.222618955212241</c:v>
                </c:pt>
                <c:pt idx="9">
                  <c:v>46.156795777380999</c:v>
                </c:pt>
                <c:pt idx="10">
                  <c:v>53.325829905042738</c:v>
                </c:pt>
              </c:numCache>
            </c:numRef>
          </c:xVal>
          <c:yVal>
            <c:numRef>
              <c:f>'Mult Reg 2'!$B$48:$B$58</c:f>
              <c:numCache>
                <c:formatCode>General</c:formatCode>
                <c:ptCount val="11"/>
                <c:pt idx="0">
                  <c:v>1.8529159932154711</c:v>
                </c:pt>
                <c:pt idx="1">
                  <c:v>-0.95698541007981308</c:v>
                </c:pt>
                <c:pt idx="2">
                  <c:v>-1.0711234253885886</c:v>
                </c:pt>
                <c:pt idx="3">
                  <c:v>-1.3236303505689102</c:v>
                </c:pt>
                <c:pt idx="4">
                  <c:v>-0.40782898942708506</c:v>
                </c:pt>
                <c:pt idx="5">
                  <c:v>0.31381862189921916</c:v>
                </c:pt>
                <c:pt idx="6">
                  <c:v>0.95211784652177578</c:v>
                </c:pt>
                <c:pt idx="7">
                  <c:v>-0.23339821457085794</c:v>
                </c:pt>
                <c:pt idx="8">
                  <c:v>0.79973849933219099</c:v>
                </c:pt>
                <c:pt idx="9">
                  <c:v>0.86327382787517848</c:v>
                </c:pt>
                <c:pt idx="10">
                  <c:v>-0.85947290855377767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88-44DE-B57E-E4D565936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80400"/>
        <c:axId val="530887848"/>
      </c:scatterChart>
      <c:valAx>
        <c:axId val="530880400"/>
        <c:scaling>
          <c:orientation val="minMax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Predicted values of price (y variable)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30887848"/>
        <c:crosses val="autoZero"/>
        <c:crossBetween val="midCat"/>
      </c:valAx>
      <c:valAx>
        <c:axId val="530887848"/>
        <c:scaling>
          <c:orientation val="minMax"/>
          <c:max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Studentized 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0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QQ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Linear (Series1)</c:name>
            <c:trendlineType val="linear"/>
            <c:dispRSqr val="0"/>
            <c:dispEq val="0"/>
          </c:trendline>
          <c:xVal>
            <c:numRef>
              <c:f>'Mult Reg 4A'!$O$10:$O$59</c:f>
              <c:numCache>
                <c:formatCode>General</c:formatCode>
                <c:ptCount val="50"/>
                <c:pt idx="0">
                  <c:v>7.6</c:v>
                </c:pt>
                <c:pt idx="1">
                  <c:v>8.1</c:v>
                </c:pt>
                <c:pt idx="2">
                  <c:v>8.4</c:v>
                </c:pt>
                <c:pt idx="3">
                  <c:v>8.6999999999999993</c:v>
                </c:pt>
                <c:pt idx="4">
                  <c:v>9.1</c:v>
                </c:pt>
                <c:pt idx="5">
                  <c:v>9.3000000000000007</c:v>
                </c:pt>
                <c:pt idx="6">
                  <c:v>9.4</c:v>
                </c:pt>
                <c:pt idx="7">
                  <c:v>9.6</c:v>
                </c:pt>
                <c:pt idx="8">
                  <c:v>9.6</c:v>
                </c:pt>
                <c:pt idx="9">
                  <c:v>10</c:v>
                </c:pt>
                <c:pt idx="10">
                  <c:v>10</c:v>
                </c:pt>
                <c:pt idx="11">
                  <c:v>10.199999999999999</c:v>
                </c:pt>
                <c:pt idx="12">
                  <c:v>10.4</c:v>
                </c:pt>
                <c:pt idx="13">
                  <c:v>10.6</c:v>
                </c:pt>
                <c:pt idx="14">
                  <c:v>10.8</c:v>
                </c:pt>
                <c:pt idx="15">
                  <c:v>11.3</c:v>
                </c:pt>
                <c:pt idx="16">
                  <c:v>11.3</c:v>
                </c:pt>
                <c:pt idx="17">
                  <c:v>11.3</c:v>
                </c:pt>
                <c:pt idx="18">
                  <c:v>11.4</c:v>
                </c:pt>
                <c:pt idx="19">
                  <c:v>11.5</c:v>
                </c:pt>
                <c:pt idx="20">
                  <c:v>11.7</c:v>
                </c:pt>
                <c:pt idx="21">
                  <c:v>12</c:v>
                </c:pt>
                <c:pt idx="22">
                  <c:v>12.1</c:v>
                </c:pt>
                <c:pt idx="23">
                  <c:v>12.2</c:v>
                </c:pt>
                <c:pt idx="24">
                  <c:v>12.3</c:v>
                </c:pt>
                <c:pt idx="25">
                  <c:v>12.5</c:v>
                </c:pt>
                <c:pt idx="26">
                  <c:v>12.6</c:v>
                </c:pt>
                <c:pt idx="27">
                  <c:v>13.1</c:v>
                </c:pt>
                <c:pt idx="28">
                  <c:v>13.2</c:v>
                </c:pt>
                <c:pt idx="29">
                  <c:v>13.3</c:v>
                </c:pt>
                <c:pt idx="30">
                  <c:v>13.4</c:v>
                </c:pt>
                <c:pt idx="31">
                  <c:v>13.4</c:v>
                </c:pt>
                <c:pt idx="32">
                  <c:v>13.6</c:v>
                </c:pt>
                <c:pt idx="33">
                  <c:v>13.6</c:v>
                </c:pt>
                <c:pt idx="34">
                  <c:v>14.4</c:v>
                </c:pt>
                <c:pt idx="35">
                  <c:v>14.6</c:v>
                </c:pt>
                <c:pt idx="36">
                  <c:v>14.7</c:v>
                </c:pt>
                <c:pt idx="37">
                  <c:v>14.7</c:v>
                </c:pt>
                <c:pt idx="38">
                  <c:v>14.8</c:v>
                </c:pt>
                <c:pt idx="39">
                  <c:v>15.5</c:v>
                </c:pt>
                <c:pt idx="40">
                  <c:v>15.7</c:v>
                </c:pt>
                <c:pt idx="41">
                  <c:v>15.7</c:v>
                </c:pt>
                <c:pt idx="42">
                  <c:v>15.8</c:v>
                </c:pt>
                <c:pt idx="43">
                  <c:v>15.9</c:v>
                </c:pt>
                <c:pt idx="44">
                  <c:v>17</c:v>
                </c:pt>
                <c:pt idx="45">
                  <c:v>17.100000000000001</c:v>
                </c:pt>
                <c:pt idx="46">
                  <c:v>17.3</c:v>
                </c:pt>
                <c:pt idx="47">
                  <c:v>17.3</c:v>
                </c:pt>
                <c:pt idx="48">
                  <c:v>17.3</c:v>
                </c:pt>
                <c:pt idx="49">
                  <c:v>21.2</c:v>
                </c:pt>
              </c:numCache>
            </c:numRef>
          </c:xVal>
          <c:yVal>
            <c:numRef>
              <c:f>'Mult Reg 4A'!$P$10:$P$59</c:f>
              <c:numCache>
                <c:formatCode>General</c:formatCode>
                <c:ptCount val="50"/>
                <c:pt idx="0">
                  <c:v>-2.3263478740408408</c:v>
                </c:pt>
                <c:pt idx="1">
                  <c:v>-1.8807936081512509</c:v>
                </c:pt>
                <c:pt idx="2">
                  <c:v>-1.6448536269514726</c:v>
                </c:pt>
                <c:pt idx="3">
                  <c:v>-1.4757910281791702</c:v>
                </c:pt>
                <c:pt idx="4">
                  <c:v>-1.3407550336902161</c:v>
                </c:pt>
                <c:pt idx="5">
                  <c:v>-1.2265281200366105</c:v>
                </c:pt>
                <c:pt idx="6">
                  <c:v>-1.1263911290388013</c:v>
                </c:pt>
                <c:pt idx="7">
                  <c:v>-1.0364333894937898</c:v>
                </c:pt>
                <c:pt idx="8">
                  <c:v>-0.95416525314619549</c:v>
                </c:pt>
                <c:pt idx="9">
                  <c:v>-0.87789629505122846</c:v>
                </c:pt>
                <c:pt idx="10">
                  <c:v>-0.80642124701824058</c:v>
                </c:pt>
                <c:pt idx="11">
                  <c:v>-0.73884684918521393</c:v>
                </c:pt>
                <c:pt idx="12">
                  <c:v>-0.67448975019608193</c:v>
                </c:pt>
                <c:pt idx="13">
                  <c:v>-0.61281299101662734</c:v>
                </c:pt>
                <c:pt idx="14">
                  <c:v>-0.55338471955567303</c:v>
                </c:pt>
                <c:pt idx="15">
                  <c:v>-0.49585034734745354</c:v>
                </c:pt>
                <c:pt idx="16">
                  <c:v>-0.43991316567323374</c:v>
                </c:pt>
                <c:pt idx="17">
                  <c:v>-0.38532046640756784</c:v>
                </c:pt>
                <c:pt idx="18">
                  <c:v>-0.33185334643681658</c:v>
                </c:pt>
                <c:pt idx="19">
                  <c:v>-0.27931903444745415</c:v>
                </c:pt>
                <c:pt idx="20">
                  <c:v>-0.2275449766411495</c:v>
                </c:pt>
                <c:pt idx="21">
                  <c:v>-0.17637416478086138</c:v>
                </c:pt>
                <c:pt idx="22">
                  <c:v>-0.12566134685507402</c:v>
                </c:pt>
                <c:pt idx="23">
                  <c:v>-7.5269862099829901E-2</c:v>
                </c:pt>
                <c:pt idx="24">
                  <c:v>-2.506890825871106E-2</c:v>
                </c:pt>
                <c:pt idx="25">
                  <c:v>2.506890825871106E-2</c:v>
                </c:pt>
                <c:pt idx="26">
                  <c:v>7.5269862099829901E-2</c:v>
                </c:pt>
                <c:pt idx="27">
                  <c:v>0.12566134685507416</c:v>
                </c:pt>
                <c:pt idx="28">
                  <c:v>0.17637416478086121</c:v>
                </c:pt>
                <c:pt idx="29">
                  <c:v>0.22754497664114934</c:v>
                </c:pt>
                <c:pt idx="30">
                  <c:v>0.27931903444745415</c:v>
                </c:pt>
                <c:pt idx="31">
                  <c:v>0.33185334643681658</c:v>
                </c:pt>
                <c:pt idx="32">
                  <c:v>0.38532046640756784</c:v>
                </c:pt>
                <c:pt idx="33">
                  <c:v>0.43991316567323396</c:v>
                </c:pt>
                <c:pt idx="34">
                  <c:v>0.49585034734745331</c:v>
                </c:pt>
                <c:pt idx="35">
                  <c:v>0.5533847195556727</c:v>
                </c:pt>
                <c:pt idx="36">
                  <c:v>0.61281299101662734</c:v>
                </c:pt>
                <c:pt idx="37">
                  <c:v>0.67448975019608193</c:v>
                </c:pt>
                <c:pt idx="38">
                  <c:v>0.73884684918521393</c:v>
                </c:pt>
                <c:pt idx="39">
                  <c:v>0.80642124701824058</c:v>
                </c:pt>
                <c:pt idx="40">
                  <c:v>0.87789629505122857</c:v>
                </c:pt>
                <c:pt idx="41">
                  <c:v>0.95416525314619549</c:v>
                </c:pt>
                <c:pt idx="42">
                  <c:v>1.0364333894937898</c:v>
                </c:pt>
                <c:pt idx="43">
                  <c:v>1.1263911290388013</c:v>
                </c:pt>
                <c:pt idx="44">
                  <c:v>1.2265281200366105</c:v>
                </c:pt>
                <c:pt idx="45">
                  <c:v>1.3407550336902161</c:v>
                </c:pt>
                <c:pt idx="46">
                  <c:v>1.4757910281791713</c:v>
                </c:pt>
                <c:pt idx="47">
                  <c:v>1.6448536269514715</c:v>
                </c:pt>
                <c:pt idx="48">
                  <c:v>1.8807936081512504</c:v>
                </c:pt>
                <c:pt idx="49">
                  <c:v>2.3263478740408408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39-484B-818B-11ECEAC91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86672"/>
        <c:axId val="530885888"/>
      </c:scatterChart>
      <c:valAx>
        <c:axId val="530886672"/>
        <c:scaling>
          <c:orientation val="minMax"/>
          <c:max val="25"/>
          <c:min val="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5888"/>
        <c:crosses val="autoZero"/>
        <c:crossBetween val="midCat"/>
      </c:valAx>
      <c:valAx>
        <c:axId val="530885888"/>
        <c:scaling>
          <c:orientation val="minMax"/>
          <c:max val="3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Std Normal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66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Color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5'!$A$4:$A$14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9</c:v>
                </c:pt>
              </c:numCache>
            </c:numRef>
          </c:xVal>
          <c:yVal>
            <c:numRef>
              <c:f>'Mult Reg 5'!$G$28:$G$38</c:f>
              <c:numCache>
                <c:formatCode>General</c:formatCode>
                <c:ptCount val="11"/>
                <c:pt idx="0">
                  <c:v>10.18950037517142</c:v>
                </c:pt>
                <c:pt idx="1">
                  <c:v>-4.7461771326554327</c:v>
                </c:pt>
                <c:pt idx="2">
                  <c:v>-5.2951693446143437</c:v>
                </c:pt>
                <c:pt idx="3">
                  <c:v>-6.6721260575952854</c:v>
                </c:pt>
                <c:pt idx="4">
                  <c:v>-2.0842453879789957</c:v>
                </c:pt>
                <c:pt idx="5">
                  <c:v>1.7384925871303238</c:v>
                </c:pt>
                <c:pt idx="6">
                  <c:v>3.6674428833863679</c:v>
                </c:pt>
                <c:pt idx="7">
                  <c:v>-1.0924732852078947</c:v>
                </c:pt>
                <c:pt idx="8">
                  <c:v>3.7773810447877167</c:v>
                </c:pt>
                <c:pt idx="9">
                  <c:v>4.843204222618958</c:v>
                </c:pt>
                <c:pt idx="10">
                  <c:v>-4.3258299050428306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70-4284-B841-199FE14EA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87456"/>
        <c:axId val="530889416"/>
      </c:scatterChart>
      <c:valAx>
        <c:axId val="530887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Color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9416"/>
        <c:crosses val="autoZero"/>
        <c:crossBetween val="midCat"/>
      </c:valAx>
      <c:valAx>
        <c:axId val="530889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74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Quality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5'!$B$4:$B$14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'Mult Reg 5'!$G$28:$G$38</c:f>
              <c:numCache>
                <c:formatCode>General</c:formatCode>
                <c:ptCount val="11"/>
                <c:pt idx="0">
                  <c:v>10.18950037517142</c:v>
                </c:pt>
                <c:pt idx="1">
                  <c:v>-4.7461771326554327</c:v>
                </c:pt>
                <c:pt idx="2">
                  <c:v>-5.2951693446143437</c:v>
                </c:pt>
                <c:pt idx="3">
                  <c:v>-6.6721260575952854</c:v>
                </c:pt>
                <c:pt idx="4">
                  <c:v>-2.0842453879789957</c:v>
                </c:pt>
                <c:pt idx="5">
                  <c:v>1.7384925871303238</c:v>
                </c:pt>
                <c:pt idx="6">
                  <c:v>3.6674428833863679</c:v>
                </c:pt>
                <c:pt idx="7">
                  <c:v>-1.0924732852078947</c:v>
                </c:pt>
                <c:pt idx="8">
                  <c:v>3.7773810447877167</c:v>
                </c:pt>
                <c:pt idx="9">
                  <c:v>4.843204222618958</c:v>
                </c:pt>
                <c:pt idx="10">
                  <c:v>-4.3258299050428306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21-4371-BF5E-882C57B0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88240"/>
        <c:axId val="530890200"/>
      </c:scatterChart>
      <c:valAx>
        <c:axId val="53088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Quality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90200"/>
        <c:crosses val="autoZero"/>
        <c:crossBetween val="midCat"/>
      </c:valAx>
      <c:valAx>
        <c:axId val="530890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82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Color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</c:v>
          </c:tx>
          <c:spPr>
            <a:ln w="28575">
              <a:noFill/>
            </a:ln>
          </c:spPr>
          <c:xVal>
            <c:numRef>
              <c:f>'Mult Reg 5'!$A$4:$A$14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9</c:v>
                </c:pt>
              </c:numCache>
            </c:numRef>
          </c:xVal>
          <c:yVal>
            <c:numRef>
              <c:f>'Mult Reg 5'!$C$4:$C$14</c:f>
              <c:numCache>
                <c:formatCode>General</c:formatCode>
                <c:ptCount val="11"/>
                <c:pt idx="0">
                  <c:v>65</c:v>
                </c:pt>
                <c:pt idx="1">
                  <c:v>38</c:v>
                </c:pt>
                <c:pt idx="2">
                  <c:v>51</c:v>
                </c:pt>
                <c:pt idx="3">
                  <c:v>38</c:v>
                </c:pt>
                <c:pt idx="4">
                  <c:v>55</c:v>
                </c:pt>
                <c:pt idx="5">
                  <c:v>43</c:v>
                </c:pt>
                <c:pt idx="6">
                  <c:v>25</c:v>
                </c:pt>
                <c:pt idx="7">
                  <c:v>33</c:v>
                </c:pt>
                <c:pt idx="8">
                  <c:v>71</c:v>
                </c:pt>
                <c:pt idx="9">
                  <c:v>51</c:v>
                </c:pt>
                <c:pt idx="10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A-40F9-8EAB-9DE7560F4B30}"/>
            </c:ext>
          </c:extLst>
        </c:ser>
        <c:ser>
          <c:idx val="1"/>
          <c:order val="1"/>
          <c:tx>
            <c:v>Predicted Price</c:v>
          </c:tx>
          <c:spPr>
            <a:ln w="28575">
              <a:noFill/>
            </a:ln>
          </c:spPr>
          <c:xVal>
            <c:numRef>
              <c:f>'Mult Reg 5'!$A$4:$A$14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9</c:v>
                </c:pt>
              </c:numCache>
            </c:numRef>
          </c:xVal>
          <c:yVal>
            <c:numRef>
              <c:f>'Mult Reg 5'!$F$28:$F$38</c:f>
              <c:numCache>
                <c:formatCode>General</c:formatCode>
                <c:ptCount val="11"/>
                <c:pt idx="0">
                  <c:v>54.81049962482858</c:v>
                </c:pt>
                <c:pt idx="1">
                  <c:v>42.746177132655433</c:v>
                </c:pt>
                <c:pt idx="2">
                  <c:v>56.295169344614344</c:v>
                </c:pt>
                <c:pt idx="3">
                  <c:v>44.672126057595285</c:v>
                </c:pt>
                <c:pt idx="4">
                  <c:v>57.084245387978996</c:v>
                </c:pt>
                <c:pt idx="5">
                  <c:v>41.261507412869676</c:v>
                </c:pt>
                <c:pt idx="6">
                  <c:v>21.332557116613632</c:v>
                </c:pt>
                <c:pt idx="7">
                  <c:v>34.092473285207895</c:v>
                </c:pt>
                <c:pt idx="8">
                  <c:v>67.222618955212283</c:v>
                </c:pt>
                <c:pt idx="9">
                  <c:v>46.156795777381042</c:v>
                </c:pt>
                <c:pt idx="10">
                  <c:v>53.325829905042831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BA-40F9-8EAB-9DE7560F4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80792"/>
        <c:axId val="530885104"/>
      </c:scatterChart>
      <c:valAx>
        <c:axId val="530880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Color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5104"/>
        <c:crosses val="autoZero"/>
        <c:crossBetween val="midCat"/>
      </c:valAx>
      <c:valAx>
        <c:axId val="530885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0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Quality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</c:v>
          </c:tx>
          <c:spPr>
            <a:ln w="28575">
              <a:noFill/>
            </a:ln>
          </c:spPr>
          <c:xVal>
            <c:numRef>
              <c:f>'Mult Reg 5'!$B$4:$B$14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'Mult Reg 5'!$C$4:$C$14</c:f>
              <c:numCache>
                <c:formatCode>General</c:formatCode>
                <c:ptCount val="11"/>
                <c:pt idx="0">
                  <c:v>65</c:v>
                </c:pt>
                <c:pt idx="1">
                  <c:v>38</c:v>
                </c:pt>
                <c:pt idx="2">
                  <c:v>51</c:v>
                </c:pt>
                <c:pt idx="3">
                  <c:v>38</c:v>
                </c:pt>
                <c:pt idx="4">
                  <c:v>55</c:v>
                </c:pt>
                <c:pt idx="5">
                  <c:v>43</c:v>
                </c:pt>
                <c:pt idx="6">
                  <c:v>25</c:v>
                </c:pt>
                <c:pt idx="7">
                  <c:v>33</c:v>
                </c:pt>
                <c:pt idx="8">
                  <c:v>71</c:v>
                </c:pt>
                <c:pt idx="9">
                  <c:v>51</c:v>
                </c:pt>
                <c:pt idx="10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46-44AD-A083-C8AE0505EA37}"/>
            </c:ext>
          </c:extLst>
        </c:ser>
        <c:ser>
          <c:idx val="1"/>
          <c:order val="1"/>
          <c:tx>
            <c:v>Predicted Price</c:v>
          </c:tx>
          <c:spPr>
            <a:ln w="28575">
              <a:noFill/>
            </a:ln>
          </c:spPr>
          <c:xVal>
            <c:numRef>
              <c:f>'Mult Reg 5'!$B$4:$B$14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'Mult Reg 5'!$F$28:$F$38</c:f>
              <c:numCache>
                <c:formatCode>General</c:formatCode>
                <c:ptCount val="11"/>
                <c:pt idx="0">
                  <c:v>54.81049962482858</c:v>
                </c:pt>
                <c:pt idx="1">
                  <c:v>42.746177132655433</c:v>
                </c:pt>
                <c:pt idx="2">
                  <c:v>56.295169344614344</c:v>
                </c:pt>
                <c:pt idx="3">
                  <c:v>44.672126057595285</c:v>
                </c:pt>
                <c:pt idx="4">
                  <c:v>57.084245387978996</c:v>
                </c:pt>
                <c:pt idx="5">
                  <c:v>41.261507412869676</c:v>
                </c:pt>
                <c:pt idx="6">
                  <c:v>21.332557116613632</c:v>
                </c:pt>
                <c:pt idx="7">
                  <c:v>34.092473285207895</c:v>
                </c:pt>
                <c:pt idx="8">
                  <c:v>67.222618955212283</c:v>
                </c:pt>
                <c:pt idx="9">
                  <c:v>46.156795777381042</c:v>
                </c:pt>
                <c:pt idx="10">
                  <c:v>53.325829905042831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46-44AD-A083-C8AE0505E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78832"/>
        <c:axId val="530879224"/>
      </c:scatterChart>
      <c:valAx>
        <c:axId val="530878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Quality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79224"/>
        <c:crosses val="autoZero"/>
        <c:crossBetween val="midCat"/>
      </c:valAx>
      <c:valAx>
        <c:axId val="530879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788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5'!$J$28:$J$38</c:f>
              <c:numCache>
                <c:formatCode>General</c:formatCode>
                <c:ptCount val="11"/>
                <c:pt idx="0">
                  <c:v>4.5454545454545459</c:v>
                </c:pt>
                <c:pt idx="1">
                  <c:v>13.636363636363637</c:v>
                </c:pt>
                <c:pt idx="2">
                  <c:v>22.72727272727273</c:v>
                </c:pt>
                <c:pt idx="3">
                  <c:v>31.81818181818182</c:v>
                </c:pt>
                <c:pt idx="4">
                  <c:v>40.909090909090914</c:v>
                </c:pt>
                <c:pt idx="5">
                  <c:v>50.000000000000007</c:v>
                </c:pt>
                <c:pt idx="6">
                  <c:v>59.090909090909093</c:v>
                </c:pt>
                <c:pt idx="7">
                  <c:v>68.181818181818187</c:v>
                </c:pt>
                <c:pt idx="8">
                  <c:v>77.27272727272728</c:v>
                </c:pt>
                <c:pt idx="9">
                  <c:v>86.363636363636374</c:v>
                </c:pt>
                <c:pt idx="10">
                  <c:v>95.454545454545467</c:v>
                </c:pt>
              </c:numCache>
            </c:numRef>
          </c:xVal>
          <c:yVal>
            <c:numRef>
              <c:f>'Mult Reg 5'!$K$28:$K$38</c:f>
              <c:numCache>
                <c:formatCode>General</c:formatCode>
                <c:ptCount val="11"/>
                <c:pt idx="0">
                  <c:v>25</c:v>
                </c:pt>
                <c:pt idx="1">
                  <c:v>33</c:v>
                </c:pt>
                <c:pt idx="2">
                  <c:v>38</c:v>
                </c:pt>
                <c:pt idx="3">
                  <c:v>38</c:v>
                </c:pt>
                <c:pt idx="4">
                  <c:v>43</c:v>
                </c:pt>
                <c:pt idx="5">
                  <c:v>49</c:v>
                </c:pt>
                <c:pt idx="6">
                  <c:v>51</c:v>
                </c:pt>
                <c:pt idx="7">
                  <c:v>51</c:v>
                </c:pt>
                <c:pt idx="8">
                  <c:v>55</c:v>
                </c:pt>
                <c:pt idx="9">
                  <c:v>65</c:v>
                </c:pt>
                <c:pt idx="10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4-488A-9FBC-7AA467A99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82360"/>
        <c:axId val="530882752"/>
      </c:scatterChart>
      <c:valAx>
        <c:axId val="530882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2752"/>
        <c:crosses val="autoZero"/>
        <c:crossBetween val="midCat"/>
      </c:valAx>
      <c:valAx>
        <c:axId val="530882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882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5'!$N$40:$N$59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'Mult Reg 5'!$O$40:$O$59</c:f>
              <c:numCache>
                <c:formatCode>General</c:formatCode>
                <c:ptCount val="20"/>
                <c:pt idx="0">
                  <c:v>-1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  <c:pt idx="4">
                  <c:v>0</c:v>
                </c:pt>
                <c:pt idx="5">
                  <c:v>-7</c:v>
                </c:pt>
                <c:pt idx="6">
                  <c:v>-4</c:v>
                </c:pt>
                <c:pt idx="7">
                  <c:v>1</c:v>
                </c:pt>
                <c:pt idx="8">
                  <c:v>8</c:v>
                </c:pt>
                <c:pt idx="9">
                  <c:v>5</c:v>
                </c:pt>
                <c:pt idx="10">
                  <c:v>6</c:v>
                </c:pt>
                <c:pt idx="11">
                  <c:v>-2</c:v>
                </c:pt>
                <c:pt idx="12">
                  <c:v>-1</c:v>
                </c:pt>
                <c:pt idx="13">
                  <c:v>7</c:v>
                </c:pt>
                <c:pt idx="14">
                  <c:v>0</c:v>
                </c:pt>
                <c:pt idx="15">
                  <c:v>-4</c:v>
                </c:pt>
                <c:pt idx="16">
                  <c:v>6</c:v>
                </c:pt>
                <c:pt idx="17">
                  <c:v>5</c:v>
                </c:pt>
                <c:pt idx="18">
                  <c:v>-8</c:v>
                </c:pt>
                <c:pt idx="19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9E-4119-BB58-4B97DF60F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381032"/>
        <c:axId val="423375544"/>
      </c:scatterChart>
      <c:valAx>
        <c:axId val="42338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23375544"/>
        <c:crosses val="autoZero"/>
        <c:crossBetween val="midCat"/>
      </c:valAx>
      <c:valAx>
        <c:axId val="423375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233810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5'!$N$61:$N$80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'Mult Reg 5'!$O$61:$O$80</c:f>
              <c:numCache>
                <c:formatCode>General</c:formatCode>
                <c:ptCount val="20"/>
                <c:pt idx="0">
                  <c:v>-1</c:v>
                </c:pt>
                <c:pt idx="1">
                  <c:v>1</c:v>
                </c:pt>
                <c:pt idx="2">
                  <c:v>-2</c:v>
                </c:pt>
                <c:pt idx="3">
                  <c:v>1</c:v>
                </c:pt>
                <c:pt idx="4">
                  <c:v>0</c:v>
                </c:pt>
                <c:pt idx="5">
                  <c:v>-3</c:v>
                </c:pt>
                <c:pt idx="6">
                  <c:v>-1</c:v>
                </c:pt>
                <c:pt idx="7">
                  <c:v>0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-2</c:v>
                </c:pt>
                <c:pt idx="12">
                  <c:v>-1</c:v>
                </c:pt>
                <c:pt idx="13">
                  <c:v>4</c:v>
                </c:pt>
                <c:pt idx="14">
                  <c:v>0</c:v>
                </c:pt>
                <c:pt idx="15">
                  <c:v>-4</c:v>
                </c:pt>
                <c:pt idx="16">
                  <c:v>8</c:v>
                </c:pt>
                <c:pt idx="17">
                  <c:v>5</c:v>
                </c:pt>
                <c:pt idx="18">
                  <c:v>-8</c:v>
                </c:pt>
                <c:pt idx="19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3D-4025-B8A5-C67420B72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377504"/>
        <c:axId val="423380248"/>
      </c:scatterChart>
      <c:valAx>
        <c:axId val="42337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23380248"/>
        <c:crosses val="autoZero"/>
        <c:crossBetween val="midCat"/>
      </c:valAx>
      <c:valAx>
        <c:axId val="423380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233775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5'!$N$82:$N$101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'Mult Reg 5'!$O$82:$O$101</c:f>
              <c:numCache>
                <c:formatCode>General</c:formatCode>
                <c:ptCount val="20"/>
                <c:pt idx="0">
                  <c:v>-1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-2</c:v>
                </c:pt>
                <c:pt idx="12">
                  <c:v>-1</c:v>
                </c:pt>
                <c:pt idx="13">
                  <c:v>2</c:v>
                </c:pt>
                <c:pt idx="14">
                  <c:v>0</c:v>
                </c:pt>
                <c:pt idx="15">
                  <c:v>6</c:v>
                </c:pt>
                <c:pt idx="16">
                  <c:v>8</c:v>
                </c:pt>
                <c:pt idx="17">
                  <c:v>-3</c:v>
                </c:pt>
                <c:pt idx="18">
                  <c:v>6</c:v>
                </c:pt>
                <c:pt idx="1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FD-48DE-8545-2DB523BB7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373976"/>
        <c:axId val="423380640"/>
      </c:scatterChart>
      <c:valAx>
        <c:axId val="42337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23380640"/>
        <c:crosses val="autoZero"/>
        <c:crossBetween val="midCat"/>
      </c:valAx>
      <c:valAx>
        <c:axId val="42338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233739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Infant Mort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4'!$C$4:$C$53</c:f>
              <c:numCache>
                <c:formatCode>0.0</c:formatCode>
                <c:ptCount val="50"/>
                <c:pt idx="0">
                  <c:v>9</c:v>
                </c:pt>
                <c:pt idx="1">
                  <c:v>6.9</c:v>
                </c:pt>
                <c:pt idx="2">
                  <c:v>6.4</c:v>
                </c:pt>
                <c:pt idx="3">
                  <c:v>8.5</c:v>
                </c:pt>
                <c:pt idx="4">
                  <c:v>5</c:v>
                </c:pt>
                <c:pt idx="5">
                  <c:v>5.7</c:v>
                </c:pt>
                <c:pt idx="6">
                  <c:v>6.2</c:v>
                </c:pt>
                <c:pt idx="7">
                  <c:v>8.3000000000000007</c:v>
                </c:pt>
                <c:pt idx="8">
                  <c:v>7.3</c:v>
                </c:pt>
                <c:pt idx="9">
                  <c:v>8.1</c:v>
                </c:pt>
                <c:pt idx="10">
                  <c:v>5.6</c:v>
                </c:pt>
                <c:pt idx="11">
                  <c:v>6.8</c:v>
                </c:pt>
                <c:pt idx="12">
                  <c:v>7.3</c:v>
                </c:pt>
                <c:pt idx="13">
                  <c:v>8</c:v>
                </c:pt>
                <c:pt idx="14">
                  <c:v>5.0999999999999996</c:v>
                </c:pt>
                <c:pt idx="15">
                  <c:v>7.1</c:v>
                </c:pt>
                <c:pt idx="16">
                  <c:v>7.5</c:v>
                </c:pt>
                <c:pt idx="17">
                  <c:v>9.9</c:v>
                </c:pt>
                <c:pt idx="18">
                  <c:v>6.3</c:v>
                </c:pt>
                <c:pt idx="19">
                  <c:v>8</c:v>
                </c:pt>
                <c:pt idx="20">
                  <c:v>4.8</c:v>
                </c:pt>
                <c:pt idx="21">
                  <c:v>7.4</c:v>
                </c:pt>
                <c:pt idx="22">
                  <c:v>5.2</c:v>
                </c:pt>
                <c:pt idx="23">
                  <c:v>10.6</c:v>
                </c:pt>
                <c:pt idx="24">
                  <c:v>7.4</c:v>
                </c:pt>
                <c:pt idx="25">
                  <c:v>5.8</c:v>
                </c:pt>
                <c:pt idx="26">
                  <c:v>5.6</c:v>
                </c:pt>
                <c:pt idx="27">
                  <c:v>6.4</c:v>
                </c:pt>
                <c:pt idx="28">
                  <c:v>6.1</c:v>
                </c:pt>
                <c:pt idx="29">
                  <c:v>5.5</c:v>
                </c:pt>
                <c:pt idx="30">
                  <c:v>5.8</c:v>
                </c:pt>
                <c:pt idx="31">
                  <c:v>5.6</c:v>
                </c:pt>
                <c:pt idx="32">
                  <c:v>8.1</c:v>
                </c:pt>
                <c:pt idx="33">
                  <c:v>5.8</c:v>
                </c:pt>
                <c:pt idx="34">
                  <c:v>7.8</c:v>
                </c:pt>
                <c:pt idx="35">
                  <c:v>8</c:v>
                </c:pt>
                <c:pt idx="36">
                  <c:v>5.5</c:v>
                </c:pt>
                <c:pt idx="37">
                  <c:v>7.6</c:v>
                </c:pt>
                <c:pt idx="38">
                  <c:v>6.1</c:v>
                </c:pt>
                <c:pt idx="39">
                  <c:v>8.4</c:v>
                </c:pt>
                <c:pt idx="40">
                  <c:v>6.9</c:v>
                </c:pt>
                <c:pt idx="41">
                  <c:v>8.6999999999999993</c:v>
                </c:pt>
                <c:pt idx="42">
                  <c:v>6.2</c:v>
                </c:pt>
                <c:pt idx="43">
                  <c:v>5.0999999999999996</c:v>
                </c:pt>
                <c:pt idx="44">
                  <c:v>5.5</c:v>
                </c:pt>
                <c:pt idx="45">
                  <c:v>7.1</c:v>
                </c:pt>
                <c:pt idx="46">
                  <c:v>4.7</c:v>
                </c:pt>
                <c:pt idx="47">
                  <c:v>7.4</c:v>
                </c:pt>
                <c:pt idx="48">
                  <c:v>6.4</c:v>
                </c:pt>
                <c:pt idx="49">
                  <c:v>7</c:v>
                </c:pt>
              </c:numCache>
            </c:numRef>
          </c:xVal>
          <c:yVal>
            <c:numRef>
              <c:f>'Mult Reg 5A'!$C$27:$C$76</c:f>
              <c:numCache>
                <c:formatCode>General</c:formatCode>
                <c:ptCount val="50"/>
                <c:pt idx="0">
                  <c:v>0.53151753471999008</c:v>
                </c:pt>
                <c:pt idx="1">
                  <c:v>-4.3701940963279213</c:v>
                </c:pt>
                <c:pt idx="2">
                  <c:v>2.2462656486003425</c:v>
                </c:pt>
                <c:pt idx="3">
                  <c:v>2.3010586126454893</c:v>
                </c:pt>
                <c:pt idx="4">
                  <c:v>2.9390538653623732</c:v>
                </c:pt>
                <c:pt idx="5">
                  <c:v>-8.3693052508371224E-2</c:v>
                </c:pt>
                <c:pt idx="6">
                  <c:v>-2.4947049280746594</c:v>
                </c:pt>
                <c:pt idx="7">
                  <c:v>-4.733447771089935</c:v>
                </c:pt>
                <c:pt idx="8">
                  <c:v>-0.5029894018649923</c:v>
                </c:pt>
                <c:pt idx="9">
                  <c:v>0.82356267893254831</c:v>
                </c:pt>
                <c:pt idx="10">
                  <c:v>3.2896849450136045E-2</c:v>
                </c:pt>
                <c:pt idx="11">
                  <c:v>-0.31369663181623331</c:v>
                </c:pt>
                <c:pt idx="12">
                  <c:v>-1.2091293343592771</c:v>
                </c:pt>
                <c:pt idx="13">
                  <c:v>-1.243063758629301</c:v>
                </c:pt>
                <c:pt idx="14">
                  <c:v>0.69825056776613792</c:v>
                </c:pt>
                <c:pt idx="15">
                  <c:v>-2.0864954336057906</c:v>
                </c:pt>
                <c:pt idx="16">
                  <c:v>3.5823125986140916</c:v>
                </c:pt>
                <c:pt idx="17">
                  <c:v>0.80471058834260845</c:v>
                </c:pt>
                <c:pt idx="18">
                  <c:v>0.13356232046473338</c:v>
                </c:pt>
                <c:pt idx="19">
                  <c:v>-5.7875976693676634</c:v>
                </c:pt>
                <c:pt idx="20">
                  <c:v>-0.32299043884211009</c:v>
                </c:pt>
                <c:pt idx="21">
                  <c:v>0.78447243635617347</c:v>
                </c:pt>
                <c:pt idx="22">
                  <c:v>-1.1349852544480097</c:v>
                </c:pt>
                <c:pt idx="23">
                  <c:v>4.5861284116821146</c:v>
                </c:pt>
                <c:pt idx="24">
                  <c:v>-0.31101336697906667</c:v>
                </c:pt>
                <c:pt idx="25">
                  <c:v>3.2474355930402812</c:v>
                </c:pt>
                <c:pt idx="26">
                  <c:v>-0.55073752484253724</c:v>
                </c:pt>
                <c:pt idx="27">
                  <c:v>-1.3305975324749575</c:v>
                </c:pt>
                <c:pt idx="28">
                  <c:v>-4.3052076088216076</c:v>
                </c:pt>
                <c:pt idx="29">
                  <c:v>-2.0037708049472513</c:v>
                </c:pt>
                <c:pt idx="30">
                  <c:v>5.247036016924115</c:v>
                </c:pt>
                <c:pt idx="31">
                  <c:v>2.7425474244084391</c:v>
                </c:pt>
                <c:pt idx="32">
                  <c:v>0.45107724189759857</c:v>
                </c:pt>
                <c:pt idx="33">
                  <c:v>0.62006434129559196</c:v>
                </c:pt>
                <c:pt idx="34">
                  <c:v>-0.58329089015636626</c:v>
                </c:pt>
                <c:pt idx="35">
                  <c:v>1.6791058988210104</c:v>
                </c:pt>
                <c:pt idx="36">
                  <c:v>2.4429935212216041</c:v>
                </c:pt>
                <c:pt idx="37">
                  <c:v>-1.7556004573916262</c:v>
                </c:pt>
                <c:pt idx="38">
                  <c:v>-7.8733948462614833E-2</c:v>
                </c:pt>
                <c:pt idx="39">
                  <c:v>0.89819379286492129</c:v>
                </c:pt>
                <c:pt idx="40">
                  <c:v>-0.20895717155026716</c:v>
                </c:pt>
                <c:pt idx="41">
                  <c:v>-5.8122806587869391E-2</c:v>
                </c:pt>
                <c:pt idx="42">
                  <c:v>3.7115298123194638</c:v>
                </c:pt>
                <c:pt idx="43">
                  <c:v>-1.0710112494406534</c:v>
                </c:pt>
                <c:pt idx="44">
                  <c:v>-0.55258597785637065</c:v>
                </c:pt>
                <c:pt idx="45">
                  <c:v>-2.3570521008724015</c:v>
                </c:pt>
                <c:pt idx="46">
                  <c:v>1.31430697733256</c:v>
                </c:pt>
                <c:pt idx="47">
                  <c:v>3.2705481858594432</c:v>
                </c:pt>
                <c:pt idx="48">
                  <c:v>-1.8961744980388389</c:v>
                </c:pt>
                <c:pt idx="49">
                  <c:v>-3.742787209565174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FC-45F1-B029-342BF8854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375936"/>
        <c:axId val="423374368"/>
      </c:scatterChart>
      <c:valAx>
        <c:axId val="42337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Infant Mort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23374368"/>
        <c:crosses val="autoZero"/>
        <c:crossBetween val="midCat"/>
      </c:valAx>
      <c:valAx>
        <c:axId val="423374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33759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White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4'!$D$4:$D$53</c:f>
              <c:numCache>
                <c:formatCode>0.0</c:formatCode>
                <c:ptCount val="50"/>
                <c:pt idx="0">
                  <c:v>71.027177760140717</c:v>
                </c:pt>
                <c:pt idx="1">
                  <c:v>70.62318863808899</c:v>
                </c:pt>
                <c:pt idx="2">
                  <c:v>86.505696765320337</c:v>
                </c:pt>
                <c:pt idx="3">
                  <c:v>80.783955956979611</c:v>
                </c:pt>
                <c:pt idx="4">
                  <c:v>76.640052174481781</c:v>
                </c:pt>
                <c:pt idx="5">
                  <c:v>89.734092175332663</c:v>
                </c:pt>
                <c:pt idx="6">
                  <c:v>84.278652322083644</c:v>
                </c:pt>
                <c:pt idx="7">
                  <c:v>74.266056727126113</c:v>
                </c:pt>
                <c:pt idx="8">
                  <c:v>79.811068541941054</c:v>
                </c:pt>
                <c:pt idx="9">
                  <c:v>65.387718279566343</c:v>
                </c:pt>
                <c:pt idx="10">
                  <c:v>29.667333748383395</c:v>
                </c:pt>
                <c:pt idx="11">
                  <c:v>94.600660447193093</c:v>
                </c:pt>
                <c:pt idx="12">
                  <c:v>79.13310968601246</c:v>
                </c:pt>
                <c:pt idx="13">
                  <c:v>88.000000627274659</c:v>
                </c:pt>
                <c:pt idx="14">
                  <c:v>94.170464820794294</c:v>
                </c:pt>
                <c:pt idx="15">
                  <c:v>88.703716524620162</c:v>
                </c:pt>
                <c:pt idx="16">
                  <c:v>89.904327345935869</c:v>
                </c:pt>
                <c:pt idx="17">
                  <c:v>64.839543701408999</c:v>
                </c:pt>
                <c:pt idx="18">
                  <c:v>96.389852756187835</c:v>
                </c:pt>
                <c:pt idx="19">
                  <c:v>63.398020838196281</c:v>
                </c:pt>
                <c:pt idx="20">
                  <c:v>86.203669547721617</c:v>
                </c:pt>
                <c:pt idx="21">
                  <c:v>81.183409037427396</c:v>
                </c:pt>
                <c:pt idx="22">
                  <c:v>89.045556531854984</c:v>
                </c:pt>
                <c:pt idx="23">
                  <c:v>60.598179144073846</c:v>
                </c:pt>
                <c:pt idx="24">
                  <c:v>85.028888093842554</c:v>
                </c:pt>
                <c:pt idx="25">
                  <c:v>90.467729264863962</c:v>
                </c:pt>
                <c:pt idx="26">
                  <c:v>91.372477335833381</c:v>
                </c:pt>
                <c:pt idx="27">
                  <c:v>80.891227371165002</c:v>
                </c:pt>
                <c:pt idx="28">
                  <c:v>95.487186970145373</c:v>
                </c:pt>
                <c:pt idx="29">
                  <c:v>76.032117342828414</c:v>
                </c:pt>
                <c:pt idx="30">
                  <c:v>83.996520785584835</c:v>
                </c:pt>
                <c:pt idx="31">
                  <c:v>73.422529169257928</c:v>
                </c:pt>
                <c:pt idx="32">
                  <c:v>73.937344387272134</c:v>
                </c:pt>
                <c:pt idx="33">
                  <c:v>91.393509706444945</c:v>
                </c:pt>
                <c:pt idx="34">
                  <c:v>84.764237226305966</c:v>
                </c:pt>
                <c:pt idx="35">
                  <c:v>78.141238608693655</c:v>
                </c:pt>
                <c:pt idx="36">
                  <c:v>90.140446325387984</c:v>
                </c:pt>
                <c:pt idx="37">
                  <c:v>85.424563507935517</c:v>
                </c:pt>
                <c:pt idx="38">
                  <c:v>88.483880668602993</c:v>
                </c:pt>
                <c:pt idx="39">
                  <c:v>68.748136077503446</c:v>
                </c:pt>
                <c:pt idx="40">
                  <c:v>88.189790025789804</c:v>
                </c:pt>
                <c:pt idx="41">
                  <c:v>80.371971305033981</c:v>
                </c:pt>
                <c:pt idx="42">
                  <c:v>82.402677784750395</c:v>
                </c:pt>
                <c:pt idx="43">
                  <c:v>92.915461931338129</c:v>
                </c:pt>
                <c:pt idx="44">
                  <c:v>96.408807764739961</c:v>
                </c:pt>
                <c:pt idx="45">
                  <c:v>73.031896017666924</c:v>
                </c:pt>
                <c:pt idx="46">
                  <c:v>84.290902250404002</c:v>
                </c:pt>
                <c:pt idx="47">
                  <c:v>94.524786328554711</c:v>
                </c:pt>
                <c:pt idx="48">
                  <c:v>89.673695670212709</c:v>
                </c:pt>
                <c:pt idx="49">
                  <c:v>93.867286940458214</c:v>
                </c:pt>
              </c:numCache>
            </c:numRef>
          </c:xVal>
          <c:yVal>
            <c:numRef>
              <c:f>'Mult Reg 5A'!$C$27:$C$76</c:f>
              <c:numCache>
                <c:formatCode>General</c:formatCode>
                <c:ptCount val="50"/>
                <c:pt idx="0">
                  <c:v>0.53151753471999008</c:v>
                </c:pt>
                <c:pt idx="1">
                  <c:v>-4.3701940963279213</c:v>
                </c:pt>
                <c:pt idx="2">
                  <c:v>2.2462656486003425</c:v>
                </c:pt>
                <c:pt idx="3">
                  <c:v>2.3010586126454893</c:v>
                </c:pt>
                <c:pt idx="4">
                  <c:v>2.9390538653623732</c:v>
                </c:pt>
                <c:pt idx="5">
                  <c:v>-8.3693052508371224E-2</c:v>
                </c:pt>
                <c:pt idx="6">
                  <c:v>-2.4947049280746594</c:v>
                </c:pt>
                <c:pt idx="7">
                  <c:v>-4.733447771089935</c:v>
                </c:pt>
                <c:pt idx="8">
                  <c:v>-0.5029894018649923</c:v>
                </c:pt>
                <c:pt idx="9">
                  <c:v>0.82356267893254831</c:v>
                </c:pt>
                <c:pt idx="10">
                  <c:v>3.2896849450136045E-2</c:v>
                </c:pt>
                <c:pt idx="11">
                  <c:v>-0.31369663181623331</c:v>
                </c:pt>
                <c:pt idx="12">
                  <c:v>-1.2091293343592771</c:v>
                </c:pt>
                <c:pt idx="13">
                  <c:v>-1.243063758629301</c:v>
                </c:pt>
                <c:pt idx="14">
                  <c:v>0.69825056776613792</c:v>
                </c:pt>
                <c:pt idx="15">
                  <c:v>-2.0864954336057906</c:v>
                </c:pt>
                <c:pt idx="16">
                  <c:v>3.5823125986140916</c:v>
                </c:pt>
                <c:pt idx="17">
                  <c:v>0.80471058834260845</c:v>
                </c:pt>
                <c:pt idx="18">
                  <c:v>0.13356232046473338</c:v>
                </c:pt>
                <c:pt idx="19">
                  <c:v>-5.7875976693676634</c:v>
                </c:pt>
                <c:pt idx="20">
                  <c:v>-0.32299043884211009</c:v>
                </c:pt>
                <c:pt idx="21">
                  <c:v>0.78447243635617347</c:v>
                </c:pt>
                <c:pt idx="22">
                  <c:v>-1.1349852544480097</c:v>
                </c:pt>
                <c:pt idx="23">
                  <c:v>4.5861284116821146</c:v>
                </c:pt>
                <c:pt idx="24">
                  <c:v>-0.31101336697906667</c:v>
                </c:pt>
                <c:pt idx="25">
                  <c:v>3.2474355930402812</c:v>
                </c:pt>
                <c:pt idx="26">
                  <c:v>-0.55073752484253724</c:v>
                </c:pt>
                <c:pt idx="27">
                  <c:v>-1.3305975324749575</c:v>
                </c:pt>
                <c:pt idx="28">
                  <c:v>-4.3052076088216076</c:v>
                </c:pt>
                <c:pt idx="29">
                  <c:v>-2.0037708049472513</c:v>
                </c:pt>
                <c:pt idx="30">
                  <c:v>5.247036016924115</c:v>
                </c:pt>
                <c:pt idx="31">
                  <c:v>2.7425474244084391</c:v>
                </c:pt>
                <c:pt idx="32">
                  <c:v>0.45107724189759857</c:v>
                </c:pt>
                <c:pt idx="33">
                  <c:v>0.62006434129559196</c:v>
                </c:pt>
                <c:pt idx="34">
                  <c:v>-0.58329089015636626</c:v>
                </c:pt>
                <c:pt idx="35">
                  <c:v>1.6791058988210104</c:v>
                </c:pt>
                <c:pt idx="36">
                  <c:v>2.4429935212216041</c:v>
                </c:pt>
                <c:pt idx="37">
                  <c:v>-1.7556004573916262</c:v>
                </c:pt>
                <c:pt idx="38">
                  <c:v>-7.8733948462614833E-2</c:v>
                </c:pt>
                <c:pt idx="39">
                  <c:v>0.89819379286492129</c:v>
                </c:pt>
                <c:pt idx="40">
                  <c:v>-0.20895717155026716</c:v>
                </c:pt>
                <c:pt idx="41">
                  <c:v>-5.8122806587869391E-2</c:v>
                </c:pt>
                <c:pt idx="42">
                  <c:v>3.7115298123194638</c:v>
                </c:pt>
                <c:pt idx="43">
                  <c:v>-1.0710112494406534</c:v>
                </c:pt>
                <c:pt idx="44">
                  <c:v>-0.55258597785637065</c:v>
                </c:pt>
                <c:pt idx="45">
                  <c:v>-2.3570521008724015</c:v>
                </c:pt>
                <c:pt idx="46">
                  <c:v>1.31430697733256</c:v>
                </c:pt>
                <c:pt idx="47">
                  <c:v>3.2705481858594432</c:v>
                </c:pt>
                <c:pt idx="48">
                  <c:v>-1.8961744980388389</c:v>
                </c:pt>
                <c:pt idx="49">
                  <c:v>-3.742787209565174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58-46DB-9FB3-AC0AE4329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378680"/>
        <c:axId val="423379072"/>
      </c:scatterChart>
      <c:valAx>
        <c:axId val="423378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White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23379072"/>
        <c:crosses val="autoZero"/>
        <c:crossBetween val="midCat"/>
      </c:valAx>
      <c:valAx>
        <c:axId val="423379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3378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Crime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4'!$E$4:$E$53</c:f>
              <c:numCache>
                <c:formatCode>#,##0</c:formatCode>
                <c:ptCount val="50"/>
                <c:pt idx="0">
                  <c:v>448</c:v>
                </c:pt>
                <c:pt idx="1">
                  <c:v>661.2</c:v>
                </c:pt>
                <c:pt idx="2">
                  <c:v>482.7</c:v>
                </c:pt>
                <c:pt idx="3">
                  <c:v>529.4</c:v>
                </c:pt>
                <c:pt idx="4">
                  <c:v>522.6</c:v>
                </c:pt>
                <c:pt idx="5">
                  <c:v>347.8</c:v>
                </c:pt>
                <c:pt idx="6">
                  <c:v>256</c:v>
                </c:pt>
                <c:pt idx="7">
                  <c:v>689.2</c:v>
                </c:pt>
                <c:pt idx="8">
                  <c:v>722.6</c:v>
                </c:pt>
                <c:pt idx="9">
                  <c:v>493.2</c:v>
                </c:pt>
                <c:pt idx="10">
                  <c:v>272.8</c:v>
                </c:pt>
                <c:pt idx="11">
                  <c:v>239.4</c:v>
                </c:pt>
                <c:pt idx="12">
                  <c:v>533.20000000000005</c:v>
                </c:pt>
                <c:pt idx="13">
                  <c:v>333.6</c:v>
                </c:pt>
                <c:pt idx="14">
                  <c:v>294.7</c:v>
                </c:pt>
                <c:pt idx="15">
                  <c:v>452.7</c:v>
                </c:pt>
                <c:pt idx="16">
                  <c:v>295</c:v>
                </c:pt>
                <c:pt idx="17">
                  <c:v>729.5</c:v>
                </c:pt>
                <c:pt idx="18">
                  <c:v>118</c:v>
                </c:pt>
                <c:pt idx="19">
                  <c:v>641.9</c:v>
                </c:pt>
                <c:pt idx="20">
                  <c:v>431.5</c:v>
                </c:pt>
                <c:pt idx="21">
                  <c:v>536</c:v>
                </c:pt>
                <c:pt idx="22">
                  <c:v>288.7</c:v>
                </c:pt>
                <c:pt idx="23">
                  <c:v>291.3</c:v>
                </c:pt>
                <c:pt idx="24">
                  <c:v>504.9</c:v>
                </c:pt>
                <c:pt idx="25">
                  <c:v>287.5</c:v>
                </c:pt>
                <c:pt idx="26">
                  <c:v>302.39999999999998</c:v>
                </c:pt>
                <c:pt idx="27">
                  <c:v>750.6</c:v>
                </c:pt>
                <c:pt idx="28">
                  <c:v>137.30000000000001</c:v>
                </c:pt>
                <c:pt idx="29">
                  <c:v>329.3</c:v>
                </c:pt>
                <c:pt idx="30">
                  <c:v>664.2</c:v>
                </c:pt>
                <c:pt idx="31">
                  <c:v>414.1</c:v>
                </c:pt>
                <c:pt idx="32">
                  <c:v>466.4</c:v>
                </c:pt>
                <c:pt idx="33">
                  <c:v>142.4</c:v>
                </c:pt>
                <c:pt idx="34">
                  <c:v>343.2</c:v>
                </c:pt>
                <c:pt idx="35">
                  <c:v>499.6</c:v>
                </c:pt>
                <c:pt idx="36">
                  <c:v>287.60000000000002</c:v>
                </c:pt>
                <c:pt idx="37">
                  <c:v>416.5</c:v>
                </c:pt>
                <c:pt idx="38">
                  <c:v>227.3</c:v>
                </c:pt>
                <c:pt idx="39">
                  <c:v>788.3</c:v>
                </c:pt>
                <c:pt idx="40">
                  <c:v>169.2</c:v>
                </c:pt>
                <c:pt idx="41">
                  <c:v>753.3</c:v>
                </c:pt>
                <c:pt idx="42">
                  <c:v>510.6</c:v>
                </c:pt>
                <c:pt idx="43">
                  <c:v>234.8</c:v>
                </c:pt>
                <c:pt idx="44">
                  <c:v>124.3</c:v>
                </c:pt>
                <c:pt idx="45">
                  <c:v>269.7</c:v>
                </c:pt>
                <c:pt idx="46">
                  <c:v>333.1</c:v>
                </c:pt>
                <c:pt idx="47">
                  <c:v>275.2</c:v>
                </c:pt>
                <c:pt idx="48">
                  <c:v>290.89999999999998</c:v>
                </c:pt>
                <c:pt idx="49">
                  <c:v>239.3</c:v>
                </c:pt>
              </c:numCache>
            </c:numRef>
          </c:xVal>
          <c:yVal>
            <c:numRef>
              <c:f>'Mult Reg 5A'!$C$27:$C$76</c:f>
              <c:numCache>
                <c:formatCode>General</c:formatCode>
                <c:ptCount val="50"/>
                <c:pt idx="0">
                  <c:v>0.53151753471999008</c:v>
                </c:pt>
                <c:pt idx="1">
                  <c:v>-4.3701940963279213</c:v>
                </c:pt>
                <c:pt idx="2">
                  <c:v>2.2462656486003425</c:v>
                </c:pt>
                <c:pt idx="3">
                  <c:v>2.3010586126454893</c:v>
                </c:pt>
                <c:pt idx="4">
                  <c:v>2.9390538653623732</c:v>
                </c:pt>
                <c:pt idx="5">
                  <c:v>-8.3693052508371224E-2</c:v>
                </c:pt>
                <c:pt idx="6">
                  <c:v>-2.4947049280746594</c:v>
                </c:pt>
                <c:pt idx="7">
                  <c:v>-4.733447771089935</c:v>
                </c:pt>
                <c:pt idx="8">
                  <c:v>-0.5029894018649923</c:v>
                </c:pt>
                <c:pt idx="9">
                  <c:v>0.82356267893254831</c:v>
                </c:pt>
                <c:pt idx="10">
                  <c:v>3.2896849450136045E-2</c:v>
                </c:pt>
                <c:pt idx="11">
                  <c:v>-0.31369663181623331</c:v>
                </c:pt>
                <c:pt idx="12">
                  <c:v>-1.2091293343592771</c:v>
                </c:pt>
                <c:pt idx="13">
                  <c:v>-1.243063758629301</c:v>
                </c:pt>
                <c:pt idx="14">
                  <c:v>0.69825056776613792</c:v>
                </c:pt>
                <c:pt idx="15">
                  <c:v>-2.0864954336057906</c:v>
                </c:pt>
                <c:pt idx="16">
                  <c:v>3.5823125986140916</c:v>
                </c:pt>
                <c:pt idx="17">
                  <c:v>0.80471058834260845</c:v>
                </c:pt>
                <c:pt idx="18">
                  <c:v>0.13356232046473338</c:v>
                </c:pt>
                <c:pt idx="19">
                  <c:v>-5.7875976693676634</c:v>
                </c:pt>
                <c:pt idx="20">
                  <c:v>-0.32299043884211009</c:v>
                </c:pt>
                <c:pt idx="21">
                  <c:v>0.78447243635617347</c:v>
                </c:pt>
                <c:pt idx="22">
                  <c:v>-1.1349852544480097</c:v>
                </c:pt>
                <c:pt idx="23">
                  <c:v>4.5861284116821146</c:v>
                </c:pt>
                <c:pt idx="24">
                  <c:v>-0.31101336697906667</c:v>
                </c:pt>
                <c:pt idx="25">
                  <c:v>3.2474355930402812</c:v>
                </c:pt>
                <c:pt idx="26">
                  <c:v>-0.55073752484253724</c:v>
                </c:pt>
                <c:pt idx="27">
                  <c:v>-1.3305975324749575</c:v>
                </c:pt>
                <c:pt idx="28">
                  <c:v>-4.3052076088216076</c:v>
                </c:pt>
                <c:pt idx="29">
                  <c:v>-2.0037708049472513</c:v>
                </c:pt>
                <c:pt idx="30">
                  <c:v>5.247036016924115</c:v>
                </c:pt>
                <c:pt idx="31">
                  <c:v>2.7425474244084391</c:v>
                </c:pt>
                <c:pt idx="32">
                  <c:v>0.45107724189759857</c:v>
                </c:pt>
                <c:pt idx="33">
                  <c:v>0.62006434129559196</c:v>
                </c:pt>
                <c:pt idx="34">
                  <c:v>-0.58329089015636626</c:v>
                </c:pt>
                <c:pt idx="35">
                  <c:v>1.6791058988210104</c:v>
                </c:pt>
                <c:pt idx="36">
                  <c:v>2.4429935212216041</c:v>
                </c:pt>
                <c:pt idx="37">
                  <c:v>-1.7556004573916262</c:v>
                </c:pt>
                <c:pt idx="38">
                  <c:v>-7.8733948462614833E-2</c:v>
                </c:pt>
                <c:pt idx="39">
                  <c:v>0.89819379286492129</c:v>
                </c:pt>
                <c:pt idx="40">
                  <c:v>-0.20895717155026716</c:v>
                </c:pt>
                <c:pt idx="41">
                  <c:v>-5.8122806587869391E-2</c:v>
                </c:pt>
                <c:pt idx="42">
                  <c:v>3.7115298123194638</c:v>
                </c:pt>
                <c:pt idx="43">
                  <c:v>-1.0710112494406534</c:v>
                </c:pt>
                <c:pt idx="44">
                  <c:v>-0.55258597785637065</c:v>
                </c:pt>
                <c:pt idx="45">
                  <c:v>-2.3570521008724015</c:v>
                </c:pt>
                <c:pt idx="46">
                  <c:v>1.31430697733256</c:v>
                </c:pt>
                <c:pt idx="47">
                  <c:v>3.2705481858594432</c:v>
                </c:pt>
                <c:pt idx="48">
                  <c:v>-1.8961744980388389</c:v>
                </c:pt>
                <c:pt idx="49">
                  <c:v>-3.742787209565174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E2-4E40-B3B0-53F52C920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377112"/>
        <c:axId val="423377896"/>
      </c:scatterChart>
      <c:valAx>
        <c:axId val="423377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Crime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23377896"/>
        <c:crosses val="autoZero"/>
        <c:crossBetween val="midCat"/>
      </c:valAx>
      <c:valAx>
        <c:axId val="423377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33771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Infant Mort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Poverty</c:v>
          </c:tx>
          <c:spPr>
            <a:ln w="28575">
              <a:noFill/>
            </a:ln>
          </c:spPr>
          <c:xVal>
            <c:numRef>
              <c:f>'Mult Reg 4'!$C$4:$C$53</c:f>
              <c:numCache>
                <c:formatCode>0.0</c:formatCode>
                <c:ptCount val="50"/>
                <c:pt idx="0">
                  <c:v>9</c:v>
                </c:pt>
                <c:pt idx="1">
                  <c:v>6.9</c:v>
                </c:pt>
                <c:pt idx="2">
                  <c:v>6.4</c:v>
                </c:pt>
                <c:pt idx="3">
                  <c:v>8.5</c:v>
                </c:pt>
                <c:pt idx="4">
                  <c:v>5</c:v>
                </c:pt>
                <c:pt idx="5">
                  <c:v>5.7</c:v>
                </c:pt>
                <c:pt idx="6">
                  <c:v>6.2</c:v>
                </c:pt>
                <c:pt idx="7">
                  <c:v>8.3000000000000007</c:v>
                </c:pt>
                <c:pt idx="8">
                  <c:v>7.3</c:v>
                </c:pt>
                <c:pt idx="9">
                  <c:v>8.1</c:v>
                </c:pt>
                <c:pt idx="10">
                  <c:v>5.6</c:v>
                </c:pt>
                <c:pt idx="11">
                  <c:v>6.8</c:v>
                </c:pt>
                <c:pt idx="12">
                  <c:v>7.3</c:v>
                </c:pt>
                <c:pt idx="13">
                  <c:v>8</c:v>
                </c:pt>
                <c:pt idx="14">
                  <c:v>5.0999999999999996</c:v>
                </c:pt>
                <c:pt idx="15">
                  <c:v>7.1</c:v>
                </c:pt>
                <c:pt idx="16">
                  <c:v>7.5</c:v>
                </c:pt>
                <c:pt idx="17">
                  <c:v>9.9</c:v>
                </c:pt>
                <c:pt idx="18">
                  <c:v>6.3</c:v>
                </c:pt>
                <c:pt idx="19">
                  <c:v>8</c:v>
                </c:pt>
                <c:pt idx="20">
                  <c:v>4.8</c:v>
                </c:pt>
                <c:pt idx="21">
                  <c:v>7.4</c:v>
                </c:pt>
                <c:pt idx="22">
                  <c:v>5.2</c:v>
                </c:pt>
                <c:pt idx="23">
                  <c:v>10.6</c:v>
                </c:pt>
                <c:pt idx="24">
                  <c:v>7.4</c:v>
                </c:pt>
                <c:pt idx="25">
                  <c:v>5.8</c:v>
                </c:pt>
                <c:pt idx="26">
                  <c:v>5.6</c:v>
                </c:pt>
                <c:pt idx="27">
                  <c:v>6.4</c:v>
                </c:pt>
                <c:pt idx="28">
                  <c:v>6.1</c:v>
                </c:pt>
                <c:pt idx="29">
                  <c:v>5.5</c:v>
                </c:pt>
                <c:pt idx="30">
                  <c:v>5.8</c:v>
                </c:pt>
                <c:pt idx="31">
                  <c:v>5.6</c:v>
                </c:pt>
                <c:pt idx="32">
                  <c:v>8.1</c:v>
                </c:pt>
                <c:pt idx="33">
                  <c:v>5.8</c:v>
                </c:pt>
                <c:pt idx="34">
                  <c:v>7.8</c:v>
                </c:pt>
                <c:pt idx="35">
                  <c:v>8</c:v>
                </c:pt>
                <c:pt idx="36">
                  <c:v>5.5</c:v>
                </c:pt>
                <c:pt idx="37">
                  <c:v>7.6</c:v>
                </c:pt>
                <c:pt idx="38">
                  <c:v>6.1</c:v>
                </c:pt>
                <c:pt idx="39">
                  <c:v>8.4</c:v>
                </c:pt>
                <c:pt idx="40">
                  <c:v>6.9</c:v>
                </c:pt>
                <c:pt idx="41">
                  <c:v>8.6999999999999993</c:v>
                </c:pt>
                <c:pt idx="42">
                  <c:v>6.2</c:v>
                </c:pt>
                <c:pt idx="43">
                  <c:v>5.0999999999999996</c:v>
                </c:pt>
                <c:pt idx="44">
                  <c:v>5.5</c:v>
                </c:pt>
                <c:pt idx="45">
                  <c:v>7.1</c:v>
                </c:pt>
                <c:pt idx="46">
                  <c:v>4.7</c:v>
                </c:pt>
                <c:pt idx="47">
                  <c:v>7.4</c:v>
                </c:pt>
                <c:pt idx="48">
                  <c:v>6.4</c:v>
                </c:pt>
                <c:pt idx="49">
                  <c:v>7</c:v>
                </c:pt>
              </c:numCache>
            </c:numRef>
          </c:xVal>
          <c:yVal>
            <c:numRef>
              <c:f>'Mult Reg 4'!$B$4:$B$53</c:f>
              <c:numCache>
                <c:formatCode>General</c:formatCode>
                <c:ptCount val="50"/>
                <c:pt idx="0">
                  <c:v>15.7</c:v>
                </c:pt>
                <c:pt idx="1">
                  <c:v>8.4</c:v>
                </c:pt>
                <c:pt idx="2">
                  <c:v>14.7</c:v>
                </c:pt>
                <c:pt idx="3">
                  <c:v>17.3</c:v>
                </c:pt>
                <c:pt idx="4">
                  <c:v>13.3</c:v>
                </c:pt>
                <c:pt idx="5">
                  <c:v>11.4</c:v>
                </c:pt>
                <c:pt idx="6">
                  <c:v>9.3000000000000007</c:v>
                </c:pt>
                <c:pt idx="7" formatCode="#,##0.0">
                  <c:v>10</c:v>
                </c:pt>
                <c:pt idx="8">
                  <c:v>13.2</c:v>
                </c:pt>
                <c:pt idx="9">
                  <c:v>14.7</c:v>
                </c:pt>
                <c:pt idx="10">
                  <c:v>9.1</c:v>
                </c:pt>
                <c:pt idx="11">
                  <c:v>12.6</c:v>
                </c:pt>
                <c:pt idx="12">
                  <c:v>12.2</c:v>
                </c:pt>
                <c:pt idx="13">
                  <c:v>13.1</c:v>
                </c:pt>
                <c:pt idx="14">
                  <c:v>11.5</c:v>
                </c:pt>
                <c:pt idx="15">
                  <c:v>11.3</c:v>
                </c:pt>
                <c:pt idx="16">
                  <c:v>17.3</c:v>
                </c:pt>
                <c:pt idx="17">
                  <c:v>17.3</c:v>
                </c:pt>
                <c:pt idx="18">
                  <c:v>12.3</c:v>
                </c:pt>
                <c:pt idx="19">
                  <c:v>8.1</c:v>
                </c:pt>
                <c:pt idx="20" formatCode="#,##0.0">
                  <c:v>10</c:v>
                </c:pt>
                <c:pt idx="21">
                  <c:v>14.4</c:v>
                </c:pt>
                <c:pt idx="22">
                  <c:v>9.6</c:v>
                </c:pt>
                <c:pt idx="23">
                  <c:v>21.2</c:v>
                </c:pt>
                <c:pt idx="24">
                  <c:v>13.4</c:v>
                </c:pt>
                <c:pt idx="25">
                  <c:v>14.8</c:v>
                </c:pt>
                <c:pt idx="26">
                  <c:v>10.8</c:v>
                </c:pt>
                <c:pt idx="27">
                  <c:v>11.3</c:v>
                </c:pt>
                <c:pt idx="28">
                  <c:v>7.6</c:v>
                </c:pt>
                <c:pt idx="29">
                  <c:v>8.6999999999999993</c:v>
                </c:pt>
                <c:pt idx="30">
                  <c:v>17.100000000000001</c:v>
                </c:pt>
                <c:pt idx="31">
                  <c:v>13.6</c:v>
                </c:pt>
                <c:pt idx="32">
                  <c:v>14.6</c:v>
                </c:pt>
                <c:pt idx="33" formatCode="0.0">
                  <c:v>12</c:v>
                </c:pt>
                <c:pt idx="34">
                  <c:v>13.4</c:v>
                </c:pt>
                <c:pt idx="35">
                  <c:v>15.9</c:v>
                </c:pt>
                <c:pt idx="36">
                  <c:v>13.6</c:v>
                </c:pt>
                <c:pt idx="37">
                  <c:v>12.1</c:v>
                </c:pt>
                <c:pt idx="38">
                  <c:v>11.7</c:v>
                </c:pt>
                <c:pt idx="39">
                  <c:v>15.7</c:v>
                </c:pt>
                <c:pt idx="40">
                  <c:v>12.5</c:v>
                </c:pt>
                <c:pt idx="41">
                  <c:v>15.5</c:v>
                </c:pt>
                <c:pt idx="42">
                  <c:v>15.8</c:v>
                </c:pt>
                <c:pt idx="43">
                  <c:v>9.6</c:v>
                </c:pt>
                <c:pt idx="44">
                  <c:v>10.6</c:v>
                </c:pt>
                <c:pt idx="45">
                  <c:v>10.199999999999999</c:v>
                </c:pt>
                <c:pt idx="46">
                  <c:v>11.3</c:v>
                </c:pt>
                <c:pt idx="47" formatCode="0.0">
                  <c:v>17</c:v>
                </c:pt>
                <c:pt idx="48">
                  <c:v>10.4</c:v>
                </c:pt>
                <c:pt idx="49">
                  <c:v>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28-46D7-AB0A-CF7072D1E41C}"/>
            </c:ext>
          </c:extLst>
        </c:ser>
        <c:ser>
          <c:idx val="1"/>
          <c:order val="1"/>
          <c:tx>
            <c:v>Predicted Poverty</c:v>
          </c:tx>
          <c:spPr>
            <a:ln w="28575">
              <a:noFill/>
            </a:ln>
          </c:spPr>
          <c:xVal>
            <c:numRef>
              <c:f>'Mult Reg 4'!$C$4:$C$53</c:f>
              <c:numCache>
                <c:formatCode>0.0</c:formatCode>
                <c:ptCount val="50"/>
                <c:pt idx="0">
                  <c:v>9</c:v>
                </c:pt>
                <c:pt idx="1">
                  <c:v>6.9</c:v>
                </c:pt>
                <c:pt idx="2">
                  <c:v>6.4</c:v>
                </c:pt>
                <c:pt idx="3">
                  <c:v>8.5</c:v>
                </c:pt>
                <c:pt idx="4">
                  <c:v>5</c:v>
                </c:pt>
                <c:pt idx="5">
                  <c:v>5.7</c:v>
                </c:pt>
                <c:pt idx="6">
                  <c:v>6.2</c:v>
                </c:pt>
                <c:pt idx="7">
                  <c:v>8.3000000000000007</c:v>
                </c:pt>
                <c:pt idx="8">
                  <c:v>7.3</c:v>
                </c:pt>
                <c:pt idx="9">
                  <c:v>8.1</c:v>
                </c:pt>
                <c:pt idx="10">
                  <c:v>5.6</c:v>
                </c:pt>
                <c:pt idx="11">
                  <c:v>6.8</c:v>
                </c:pt>
                <c:pt idx="12">
                  <c:v>7.3</c:v>
                </c:pt>
                <c:pt idx="13">
                  <c:v>8</c:v>
                </c:pt>
                <c:pt idx="14">
                  <c:v>5.0999999999999996</c:v>
                </c:pt>
                <c:pt idx="15">
                  <c:v>7.1</c:v>
                </c:pt>
                <c:pt idx="16">
                  <c:v>7.5</c:v>
                </c:pt>
                <c:pt idx="17">
                  <c:v>9.9</c:v>
                </c:pt>
                <c:pt idx="18">
                  <c:v>6.3</c:v>
                </c:pt>
                <c:pt idx="19">
                  <c:v>8</c:v>
                </c:pt>
                <c:pt idx="20">
                  <c:v>4.8</c:v>
                </c:pt>
                <c:pt idx="21">
                  <c:v>7.4</c:v>
                </c:pt>
                <c:pt idx="22">
                  <c:v>5.2</c:v>
                </c:pt>
                <c:pt idx="23">
                  <c:v>10.6</c:v>
                </c:pt>
                <c:pt idx="24">
                  <c:v>7.4</c:v>
                </c:pt>
                <c:pt idx="25">
                  <c:v>5.8</c:v>
                </c:pt>
                <c:pt idx="26">
                  <c:v>5.6</c:v>
                </c:pt>
                <c:pt idx="27">
                  <c:v>6.4</c:v>
                </c:pt>
                <c:pt idx="28">
                  <c:v>6.1</c:v>
                </c:pt>
                <c:pt idx="29">
                  <c:v>5.5</c:v>
                </c:pt>
                <c:pt idx="30">
                  <c:v>5.8</c:v>
                </c:pt>
                <c:pt idx="31">
                  <c:v>5.6</c:v>
                </c:pt>
                <c:pt idx="32">
                  <c:v>8.1</c:v>
                </c:pt>
                <c:pt idx="33">
                  <c:v>5.8</c:v>
                </c:pt>
                <c:pt idx="34">
                  <c:v>7.8</c:v>
                </c:pt>
                <c:pt idx="35">
                  <c:v>8</c:v>
                </c:pt>
                <c:pt idx="36">
                  <c:v>5.5</c:v>
                </c:pt>
                <c:pt idx="37">
                  <c:v>7.6</c:v>
                </c:pt>
                <c:pt idx="38">
                  <c:v>6.1</c:v>
                </c:pt>
                <c:pt idx="39">
                  <c:v>8.4</c:v>
                </c:pt>
                <c:pt idx="40">
                  <c:v>6.9</c:v>
                </c:pt>
                <c:pt idx="41">
                  <c:v>8.6999999999999993</c:v>
                </c:pt>
                <c:pt idx="42">
                  <c:v>6.2</c:v>
                </c:pt>
                <c:pt idx="43">
                  <c:v>5.0999999999999996</c:v>
                </c:pt>
                <c:pt idx="44">
                  <c:v>5.5</c:v>
                </c:pt>
                <c:pt idx="45">
                  <c:v>7.1</c:v>
                </c:pt>
                <c:pt idx="46">
                  <c:v>4.7</c:v>
                </c:pt>
                <c:pt idx="47">
                  <c:v>7.4</c:v>
                </c:pt>
                <c:pt idx="48">
                  <c:v>6.4</c:v>
                </c:pt>
                <c:pt idx="49">
                  <c:v>7</c:v>
                </c:pt>
              </c:numCache>
            </c:numRef>
          </c:xVal>
          <c:yVal>
            <c:numRef>
              <c:f>'Mult Reg 5A'!$B$27:$B$76</c:f>
              <c:numCache>
                <c:formatCode>General</c:formatCode>
                <c:ptCount val="50"/>
                <c:pt idx="0">
                  <c:v>15.168482465280009</c:v>
                </c:pt>
                <c:pt idx="1">
                  <c:v>12.770194096327922</c:v>
                </c:pt>
                <c:pt idx="2">
                  <c:v>12.453734351399657</c:v>
                </c:pt>
                <c:pt idx="3">
                  <c:v>14.998941387354511</c:v>
                </c:pt>
                <c:pt idx="4">
                  <c:v>10.360946134637627</c:v>
                </c:pt>
                <c:pt idx="5">
                  <c:v>11.483693052508372</c:v>
                </c:pt>
                <c:pt idx="6">
                  <c:v>11.79470492807466</c:v>
                </c:pt>
                <c:pt idx="7">
                  <c:v>14.733447771089935</c:v>
                </c:pt>
                <c:pt idx="8">
                  <c:v>13.702989401864992</c:v>
                </c:pt>
                <c:pt idx="9">
                  <c:v>13.876437321067451</c:v>
                </c:pt>
                <c:pt idx="10">
                  <c:v>9.0671031505498636</c:v>
                </c:pt>
                <c:pt idx="11">
                  <c:v>12.913696631816233</c:v>
                </c:pt>
                <c:pt idx="12">
                  <c:v>13.409129334359276</c:v>
                </c:pt>
                <c:pt idx="13">
                  <c:v>14.343063758629301</c:v>
                </c:pt>
                <c:pt idx="14">
                  <c:v>10.801749432233862</c:v>
                </c:pt>
                <c:pt idx="15">
                  <c:v>13.386495433605791</c:v>
                </c:pt>
                <c:pt idx="16">
                  <c:v>13.717687401385909</c:v>
                </c:pt>
                <c:pt idx="17">
                  <c:v>16.495289411657392</c:v>
                </c:pt>
                <c:pt idx="18">
                  <c:v>12.166437679535267</c:v>
                </c:pt>
                <c:pt idx="19">
                  <c:v>13.887597669367663</c:v>
                </c:pt>
                <c:pt idx="20">
                  <c:v>10.32299043884211</c:v>
                </c:pt>
                <c:pt idx="21">
                  <c:v>13.615527563643827</c:v>
                </c:pt>
                <c:pt idx="22">
                  <c:v>10.734985254448009</c:v>
                </c:pt>
                <c:pt idx="23">
                  <c:v>16.613871588317885</c:v>
                </c:pt>
                <c:pt idx="24">
                  <c:v>13.711013366979067</c:v>
                </c:pt>
                <c:pt idx="25">
                  <c:v>11.55256440695972</c:v>
                </c:pt>
                <c:pt idx="26">
                  <c:v>11.350737524842538</c:v>
                </c:pt>
                <c:pt idx="27">
                  <c:v>12.630597532474958</c:v>
                </c:pt>
                <c:pt idx="28">
                  <c:v>11.905207608821607</c:v>
                </c:pt>
                <c:pt idx="29">
                  <c:v>10.703770804947251</c:v>
                </c:pt>
                <c:pt idx="30">
                  <c:v>11.852963983075886</c:v>
                </c:pt>
                <c:pt idx="31">
                  <c:v>10.857452575591561</c:v>
                </c:pt>
                <c:pt idx="32">
                  <c:v>14.148922758102401</c:v>
                </c:pt>
                <c:pt idx="33">
                  <c:v>11.379935658704408</c:v>
                </c:pt>
                <c:pt idx="34">
                  <c:v>13.983290890156367</c:v>
                </c:pt>
                <c:pt idx="35">
                  <c:v>14.22089410117899</c:v>
                </c:pt>
                <c:pt idx="36">
                  <c:v>11.157006478778396</c:v>
                </c:pt>
                <c:pt idx="37">
                  <c:v>13.855600457391626</c:v>
                </c:pt>
                <c:pt idx="38">
                  <c:v>11.778733948462614</c:v>
                </c:pt>
                <c:pt idx="39">
                  <c:v>14.801806207135078</c:v>
                </c:pt>
                <c:pt idx="40">
                  <c:v>12.708957171550267</c:v>
                </c:pt>
                <c:pt idx="41">
                  <c:v>15.558122806587869</c:v>
                </c:pt>
                <c:pt idx="42">
                  <c:v>12.088470187680537</c:v>
                </c:pt>
                <c:pt idx="43">
                  <c:v>10.671011249440653</c:v>
                </c:pt>
                <c:pt idx="44">
                  <c:v>11.15258597785637</c:v>
                </c:pt>
                <c:pt idx="45">
                  <c:v>12.557052100872401</c:v>
                </c:pt>
                <c:pt idx="46">
                  <c:v>9.9856930226674407</c:v>
                </c:pt>
                <c:pt idx="47">
                  <c:v>13.729451814140557</c:v>
                </c:pt>
                <c:pt idx="48">
                  <c:v>12.296174498038839</c:v>
                </c:pt>
                <c:pt idx="49">
                  <c:v>13.142787209565174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28-46D7-AB0A-CF7072D1E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43368"/>
        <c:axId val="529951208"/>
      </c:scatterChart>
      <c:valAx>
        <c:axId val="529943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Infant Mort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29951208"/>
        <c:crosses val="autoZero"/>
        <c:crossBetween val="midCat"/>
      </c:valAx>
      <c:valAx>
        <c:axId val="529951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Poverty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433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White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Poverty</c:v>
          </c:tx>
          <c:spPr>
            <a:ln w="28575">
              <a:noFill/>
            </a:ln>
          </c:spPr>
          <c:xVal>
            <c:numRef>
              <c:f>'Mult Reg 4'!$D$4:$D$53</c:f>
              <c:numCache>
                <c:formatCode>0.0</c:formatCode>
                <c:ptCount val="50"/>
                <c:pt idx="0">
                  <c:v>71.027177760140717</c:v>
                </c:pt>
                <c:pt idx="1">
                  <c:v>70.62318863808899</c:v>
                </c:pt>
                <c:pt idx="2">
                  <c:v>86.505696765320337</c:v>
                </c:pt>
                <c:pt idx="3">
                  <c:v>80.783955956979611</c:v>
                </c:pt>
                <c:pt idx="4">
                  <c:v>76.640052174481781</c:v>
                </c:pt>
                <c:pt idx="5">
                  <c:v>89.734092175332663</c:v>
                </c:pt>
                <c:pt idx="6">
                  <c:v>84.278652322083644</c:v>
                </c:pt>
                <c:pt idx="7">
                  <c:v>74.266056727126113</c:v>
                </c:pt>
                <c:pt idx="8">
                  <c:v>79.811068541941054</c:v>
                </c:pt>
                <c:pt idx="9">
                  <c:v>65.387718279566343</c:v>
                </c:pt>
                <c:pt idx="10">
                  <c:v>29.667333748383395</c:v>
                </c:pt>
                <c:pt idx="11">
                  <c:v>94.600660447193093</c:v>
                </c:pt>
                <c:pt idx="12">
                  <c:v>79.13310968601246</c:v>
                </c:pt>
                <c:pt idx="13">
                  <c:v>88.000000627274659</c:v>
                </c:pt>
                <c:pt idx="14">
                  <c:v>94.170464820794294</c:v>
                </c:pt>
                <c:pt idx="15">
                  <c:v>88.703716524620162</c:v>
                </c:pt>
                <c:pt idx="16">
                  <c:v>89.904327345935869</c:v>
                </c:pt>
                <c:pt idx="17">
                  <c:v>64.839543701408999</c:v>
                </c:pt>
                <c:pt idx="18">
                  <c:v>96.389852756187835</c:v>
                </c:pt>
                <c:pt idx="19">
                  <c:v>63.398020838196281</c:v>
                </c:pt>
                <c:pt idx="20">
                  <c:v>86.203669547721617</c:v>
                </c:pt>
                <c:pt idx="21">
                  <c:v>81.183409037427396</c:v>
                </c:pt>
                <c:pt idx="22">
                  <c:v>89.045556531854984</c:v>
                </c:pt>
                <c:pt idx="23">
                  <c:v>60.598179144073846</c:v>
                </c:pt>
                <c:pt idx="24">
                  <c:v>85.028888093842554</c:v>
                </c:pt>
                <c:pt idx="25">
                  <c:v>90.467729264863962</c:v>
                </c:pt>
                <c:pt idx="26">
                  <c:v>91.372477335833381</c:v>
                </c:pt>
                <c:pt idx="27">
                  <c:v>80.891227371165002</c:v>
                </c:pt>
                <c:pt idx="28">
                  <c:v>95.487186970145373</c:v>
                </c:pt>
                <c:pt idx="29">
                  <c:v>76.032117342828414</c:v>
                </c:pt>
                <c:pt idx="30">
                  <c:v>83.996520785584835</c:v>
                </c:pt>
                <c:pt idx="31">
                  <c:v>73.422529169257928</c:v>
                </c:pt>
                <c:pt idx="32">
                  <c:v>73.937344387272134</c:v>
                </c:pt>
                <c:pt idx="33">
                  <c:v>91.393509706444945</c:v>
                </c:pt>
                <c:pt idx="34">
                  <c:v>84.764237226305966</c:v>
                </c:pt>
                <c:pt idx="35">
                  <c:v>78.141238608693655</c:v>
                </c:pt>
                <c:pt idx="36">
                  <c:v>90.140446325387984</c:v>
                </c:pt>
                <c:pt idx="37">
                  <c:v>85.424563507935517</c:v>
                </c:pt>
                <c:pt idx="38">
                  <c:v>88.483880668602993</c:v>
                </c:pt>
                <c:pt idx="39">
                  <c:v>68.748136077503446</c:v>
                </c:pt>
                <c:pt idx="40">
                  <c:v>88.189790025789804</c:v>
                </c:pt>
                <c:pt idx="41">
                  <c:v>80.371971305033981</c:v>
                </c:pt>
                <c:pt idx="42">
                  <c:v>82.402677784750395</c:v>
                </c:pt>
                <c:pt idx="43">
                  <c:v>92.915461931338129</c:v>
                </c:pt>
                <c:pt idx="44">
                  <c:v>96.408807764739961</c:v>
                </c:pt>
                <c:pt idx="45">
                  <c:v>73.031896017666924</c:v>
                </c:pt>
                <c:pt idx="46">
                  <c:v>84.290902250404002</c:v>
                </c:pt>
                <c:pt idx="47">
                  <c:v>94.524786328554711</c:v>
                </c:pt>
                <c:pt idx="48">
                  <c:v>89.673695670212709</c:v>
                </c:pt>
                <c:pt idx="49">
                  <c:v>93.867286940458214</c:v>
                </c:pt>
              </c:numCache>
            </c:numRef>
          </c:xVal>
          <c:yVal>
            <c:numRef>
              <c:f>'Mult Reg 4'!$B$4:$B$53</c:f>
              <c:numCache>
                <c:formatCode>General</c:formatCode>
                <c:ptCount val="50"/>
                <c:pt idx="0">
                  <c:v>15.7</c:v>
                </c:pt>
                <c:pt idx="1">
                  <c:v>8.4</c:v>
                </c:pt>
                <c:pt idx="2">
                  <c:v>14.7</c:v>
                </c:pt>
                <c:pt idx="3">
                  <c:v>17.3</c:v>
                </c:pt>
                <c:pt idx="4">
                  <c:v>13.3</c:v>
                </c:pt>
                <c:pt idx="5">
                  <c:v>11.4</c:v>
                </c:pt>
                <c:pt idx="6">
                  <c:v>9.3000000000000007</c:v>
                </c:pt>
                <c:pt idx="7" formatCode="#,##0.0">
                  <c:v>10</c:v>
                </c:pt>
                <c:pt idx="8">
                  <c:v>13.2</c:v>
                </c:pt>
                <c:pt idx="9">
                  <c:v>14.7</c:v>
                </c:pt>
                <c:pt idx="10">
                  <c:v>9.1</c:v>
                </c:pt>
                <c:pt idx="11">
                  <c:v>12.6</c:v>
                </c:pt>
                <c:pt idx="12">
                  <c:v>12.2</c:v>
                </c:pt>
                <c:pt idx="13">
                  <c:v>13.1</c:v>
                </c:pt>
                <c:pt idx="14">
                  <c:v>11.5</c:v>
                </c:pt>
                <c:pt idx="15">
                  <c:v>11.3</c:v>
                </c:pt>
                <c:pt idx="16">
                  <c:v>17.3</c:v>
                </c:pt>
                <c:pt idx="17">
                  <c:v>17.3</c:v>
                </c:pt>
                <c:pt idx="18">
                  <c:v>12.3</c:v>
                </c:pt>
                <c:pt idx="19">
                  <c:v>8.1</c:v>
                </c:pt>
                <c:pt idx="20" formatCode="#,##0.0">
                  <c:v>10</c:v>
                </c:pt>
                <c:pt idx="21">
                  <c:v>14.4</c:v>
                </c:pt>
                <c:pt idx="22">
                  <c:v>9.6</c:v>
                </c:pt>
                <c:pt idx="23">
                  <c:v>21.2</c:v>
                </c:pt>
                <c:pt idx="24">
                  <c:v>13.4</c:v>
                </c:pt>
                <c:pt idx="25">
                  <c:v>14.8</c:v>
                </c:pt>
                <c:pt idx="26">
                  <c:v>10.8</c:v>
                </c:pt>
                <c:pt idx="27">
                  <c:v>11.3</c:v>
                </c:pt>
                <c:pt idx="28">
                  <c:v>7.6</c:v>
                </c:pt>
                <c:pt idx="29">
                  <c:v>8.6999999999999993</c:v>
                </c:pt>
                <c:pt idx="30">
                  <c:v>17.100000000000001</c:v>
                </c:pt>
                <c:pt idx="31">
                  <c:v>13.6</c:v>
                </c:pt>
                <c:pt idx="32">
                  <c:v>14.6</c:v>
                </c:pt>
                <c:pt idx="33" formatCode="0.0">
                  <c:v>12</c:v>
                </c:pt>
                <c:pt idx="34">
                  <c:v>13.4</c:v>
                </c:pt>
                <c:pt idx="35">
                  <c:v>15.9</c:v>
                </c:pt>
                <c:pt idx="36">
                  <c:v>13.6</c:v>
                </c:pt>
                <c:pt idx="37">
                  <c:v>12.1</c:v>
                </c:pt>
                <c:pt idx="38">
                  <c:v>11.7</c:v>
                </c:pt>
                <c:pt idx="39">
                  <c:v>15.7</c:v>
                </c:pt>
                <c:pt idx="40">
                  <c:v>12.5</c:v>
                </c:pt>
                <c:pt idx="41">
                  <c:v>15.5</c:v>
                </c:pt>
                <c:pt idx="42">
                  <c:v>15.8</c:v>
                </c:pt>
                <c:pt idx="43">
                  <c:v>9.6</c:v>
                </c:pt>
                <c:pt idx="44">
                  <c:v>10.6</c:v>
                </c:pt>
                <c:pt idx="45">
                  <c:v>10.199999999999999</c:v>
                </c:pt>
                <c:pt idx="46">
                  <c:v>11.3</c:v>
                </c:pt>
                <c:pt idx="47" formatCode="0.0">
                  <c:v>17</c:v>
                </c:pt>
                <c:pt idx="48">
                  <c:v>10.4</c:v>
                </c:pt>
                <c:pt idx="49">
                  <c:v>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2B-4C53-9B01-0E65C9FDB67B}"/>
            </c:ext>
          </c:extLst>
        </c:ser>
        <c:ser>
          <c:idx val="1"/>
          <c:order val="1"/>
          <c:tx>
            <c:v>Predicted Poverty</c:v>
          </c:tx>
          <c:spPr>
            <a:ln w="28575">
              <a:noFill/>
            </a:ln>
          </c:spPr>
          <c:xVal>
            <c:numRef>
              <c:f>'Mult Reg 4'!$D$4:$D$53</c:f>
              <c:numCache>
                <c:formatCode>0.0</c:formatCode>
                <c:ptCount val="50"/>
                <c:pt idx="0">
                  <c:v>71.027177760140717</c:v>
                </c:pt>
                <c:pt idx="1">
                  <c:v>70.62318863808899</c:v>
                </c:pt>
                <c:pt idx="2">
                  <c:v>86.505696765320337</c:v>
                </c:pt>
                <c:pt idx="3">
                  <c:v>80.783955956979611</c:v>
                </c:pt>
                <c:pt idx="4">
                  <c:v>76.640052174481781</c:v>
                </c:pt>
                <c:pt idx="5">
                  <c:v>89.734092175332663</c:v>
                </c:pt>
                <c:pt idx="6">
                  <c:v>84.278652322083644</c:v>
                </c:pt>
                <c:pt idx="7">
                  <c:v>74.266056727126113</c:v>
                </c:pt>
                <c:pt idx="8">
                  <c:v>79.811068541941054</c:v>
                </c:pt>
                <c:pt idx="9">
                  <c:v>65.387718279566343</c:v>
                </c:pt>
                <c:pt idx="10">
                  <c:v>29.667333748383395</c:v>
                </c:pt>
                <c:pt idx="11">
                  <c:v>94.600660447193093</c:v>
                </c:pt>
                <c:pt idx="12">
                  <c:v>79.13310968601246</c:v>
                </c:pt>
                <c:pt idx="13">
                  <c:v>88.000000627274659</c:v>
                </c:pt>
                <c:pt idx="14">
                  <c:v>94.170464820794294</c:v>
                </c:pt>
                <c:pt idx="15">
                  <c:v>88.703716524620162</c:v>
                </c:pt>
                <c:pt idx="16">
                  <c:v>89.904327345935869</c:v>
                </c:pt>
                <c:pt idx="17">
                  <c:v>64.839543701408999</c:v>
                </c:pt>
                <c:pt idx="18">
                  <c:v>96.389852756187835</c:v>
                </c:pt>
                <c:pt idx="19">
                  <c:v>63.398020838196281</c:v>
                </c:pt>
                <c:pt idx="20">
                  <c:v>86.203669547721617</c:v>
                </c:pt>
                <c:pt idx="21">
                  <c:v>81.183409037427396</c:v>
                </c:pt>
                <c:pt idx="22">
                  <c:v>89.045556531854984</c:v>
                </c:pt>
                <c:pt idx="23">
                  <c:v>60.598179144073846</c:v>
                </c:pt>
                <c:pt idx="24">
                  <c:v>85.028888093842554</c:v>
                </c:pt>
                <c:pt idx="25">
                  <c:v>90.467729264863962</c:v>
                </c:pt>
                <c:pt idx="26">
                  <c:v>91.372477335833381</c:v>
                </c:pt>
                <c:pt idx="27">
                  <c:v>80.891227371165002</c:v>
                </c:pt>
                <c:pt idx="28">
                  <c:v>95.487186970145373</c:v>
                </c:pt>
                <c:pt idx="29">
                  <c:v>76.032117342828414</c:v>
                </c:pt>
                <c:pt idx="30">
                  <c:v>83.996520785584835</c:v>
                </c:pt>
                <c:pt idx="31">
                  <c:v>73.422529169257928</c:v>
                </c:pt>
                <c:pt idx="32">
                  <c:v>73.937344387272134</c:v>
                </c:pt>
                <c:pt idx="33">
                  <c:v>91.393509706444945</c:v>
                </c:pt>
                <c:pt idx="34">
                  <c:v>84.764237226305966</c:v>
                </c:pt>
                <c:pt idx="35">
                  <c:v>78.141238608693655</c:v>
                </c:pt>
                <c:pt idx="36">
                  <c:v>90.140446325387984</c:v>
                </c:pt>
                <c:pt idx="37">
                  <c:v>85.424563507935517</c:v>
                </c:pt>
                <c:pt idx="38">
                  <c:v>88.483880668602993</c:v>
                </c:pt>
                <c:pt idx="39">
                  <c:v>68.748136077503446</c:v>
                </c:pt>
                <c:pt idx="40">
                  <c:v>88.189790025789804</c:v>
                </c:pt>
                <c:pt idx="41">
                  <c:v>80.371971305033981</c:v>
                </c:pt>
                <c:pt idx="42">
                  <c:v>82.402677784750395</c:v>
                </c:pt>
                <c:pt idx="43">
                  <c:v>92.915461931338129</c:v>
                </c:pt>
                <c:pt idx="44">
                  <c:v>96.408807764739961</c:v>
                </c:pt>
                <c:pt idx="45">
                  <c:v>73.031896017666924</c:v>
                </c:pt>
                <c:pt idx="46">
                  <c:v>84.290902250404002</c:v>
                </c:pt>
                <c:pt idx="47">
                  <c:v>94.524786328554711</c:v>
                </c:pt>
                <c:pt idx="48">
                  <c:v>89.673695670212709</c:v>
                </c:pt>
                <c:pt idx="49">
                  <c:v>93.867286940458214</c:v>
                </c:pt>
              </c:numCache>
            </c:numRef>
          </c:xVal>
          <c:yVal>
            <c:numRef>
              <c:f>'Mult Reg 5A'!$B$27:$B$76</c:f>
              <c:numCache>
                <c:formatCode>General</c:formatCode>
                <c:ptCount val="50"/>
                <c:pt idx="0">
                  <c:v>15.168482465280009</c:v>
                </c:pt>
                <c:pt idx="1">
                  <c:v>12.770194096327922</c:v>
                </c:pt>
                <c:pt idx="2">
                  <c:v>12.453734351399657</c:v>
                </c:pt>
                <c:pt idx="3">
                  <c:v>14.998941387354511</c:v>
                </c:pt>
                <c:pt idx="4">
                  <c:v>10.360946134637627</c:v>
                </c:pt>
                <c:pt idx="5">
                  <c:v>11.483693052508372</c:v>
                </c:pt>
                <c:pt idx="6">
                  <c:v>11.79470492807466</c:v>
                </c:pt>
                <c:pt idx="7">
                  <c:v>14.733447771089935</c:v>
                </c:pt>
                <c:pt idx="8">
                  <c:v>13.702989401864992</c:v>
                </c:pt>
                <c:pt idx="9">
                  <c:v>13.876437321067451</c:v>
                </c:pt>
                <c:pt idx="10">
                  <c:v>9.0671031505498636</c:v>
                </c:pt>
                <c:pt idx="11">
                  <c:v>12.913696631816233</c:v>
                </c:pt>
                <c:pt idx="12">
                  <c:v>13.409129334359276</c:v>
                </c:pt>
                <c:pt idx="13">
                  <c:v>14.343063758629301</c:v>
                </c:pt>
                <c:pt idx="14">
                  <c:v>10.801749432233862</c:v>
                </c:pt>
                <c:pt idx="15">
                  <c:v>13.386495433605791</c:v>
                </c:pt>
                <c:pt idx="16">
                  <c:v>13.717687401385909</c:v>
                </c:pt>
                <c:pt idx="17">
                  <c:v>16.495289411657392</c:v>
                </c:pt>
                <c:pt idx="18">
                  <c:v>12.166437679535267</c:v>
                </c:pt>
                <c:pt idx="19">
                  <c:v>13.887597669367663</c:v>
                </c:pt>
                <c:pt idx="20">
                  <c:v>10.32299043884211</c:v>
                </c:pt>
                <c:pt idx="21">
                  <c:v>13.615527563643827</c:v>
                </c:pt>
                <c:pt idx="22">
                  <c:v>10.734985254448009</c:v>
                </c:pt>
                <c:pt idx="23">
                  <c:v>16.613871588317885</c:v>
                </c:pt>
                <c:pt idx="24">
                  <c:v>13.711013366979067</c:v>
                </c:pt>
                <c:pt idx="25">
                  <c:v>11.55256440695972</c:v>
                </c:pt>
                <c:pt idx="26">
                  <c:v>11.350737524842538</c:v>
                </c:pt>
                <c:pt idx="27">
                  <c:v>12.630597532474958</c:v>
                </c:pt>
                <c:pt idx="28">
                  <c:v>11.905207608821607</c:v>
                </c:pt>
                <c:pt idx="29">
                  <c:v>10.703770804947251</c:v>
                </c:pt>
                <c:pt idx="30">
                  <c:v>11.852963983075886</c:v>
                </c:pt>
                <c:pt idx="31">
                  <c:v>10.857452575591561</c:v>
                </c:pt>
                <c:pt idx="32">
                  <c:v>14.148922758102401</c:v>
                </c:pt>
                <c:pt idx="33">
                  <c:v>11.379935658704408</c:v>
                </c:pt>
                <c:pt idx="34">
                  <c:v>13.983290890156367</c:v>
                </c:pt>
                <c:pt idx="35">
                  <c:v>14.22089410117899</c:v>
                </c:pt>
                <c:pt idx="36">
                  <c:v>11.157006478778396</c:v>
                </c:pt>
                <c:pt idx="37">
                  <c:v>13.855600457391626</c:v>
                </c:pt>
                <c:pt idx="38">
                  <c:v>11.778733948462614</c:v>
                </c:pt>
                <c:pt idx="39">
                  <c:v>14.801806207135078</c:v>
                </c:pt>
                <c:pt idx="40">
                  <c:v>12.708957171550267</c:v>
                </c:pt>
                <c:pt idx="41">
                  <c:v>15.558122806587869</c:v>
                </c:pt>
                <c:pt idx="42">
                  <c:v>12.088470187680537</c:v>
                </c:pt>
                <c:pt idx="43">
                  <c:v>10.671011249440653</c:v>
                </c:pt>
                <c:pt idx="44">
                  <c:v>11.15258597785637</c:v>
                </c:pt>
                <c:pt idx="45">
                  <c:v>12.557052100872401</c:v>
                </c:pt>
                <c:pt idx="46">
                  <c:v>9.9856930226674407</c:v>
                </c:pt>
                <c:pt idx="47">
                  <c:v>13.729451814140557</c:v>
                </c:pt>
                <c:pt idx="48">
                  <c:v>12.296174498038839</c:v>
                </c:pt>
                <c:pt idx="49">
                  <c:v>13.142787209565174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2B-4C53-9B01-0E65C9FDB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48464"/>
        <c:axId val="529950032"/>
      </c:scatterChart>
      <c:valAx>
        <c:axId val="52994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White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29950032"/>
        <c:crosses val="autoZero"/>
        <c:crossBetween val="midCat"/>
      </c:valAx>
      <c:valAx>
        <c:axId val="529950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Poverty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484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Crime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Poverty</c:v>
          </c:tx>
          <c:spPr>
            <a:ln w="28575">
              <a:noFill/>
            </a:ln>
          </c:spPr>
          <c:xVal>
            <c:numRef>
              <c:f>'Mult Reg 4'!$E$4:$E$53</c:f>
              <c:numCache>
                <c:formatCode>#,##0</c:formatCode>
                <c:ptCount val="50"/>
                <c:pt idx="0">
                  <c:v>448</c:v>
                </c:pt>
                <c:pt idx="1">
                  <c:v>661.2</c:v>
                </c:pt>
                <c:pt idx="2">
                  <c:v>482.7</c:v>
                </c:pt>
                <c:pt idx="3">
                  <c:v>529.4</c:v>
                </c:pt>
                <c:pt idx="4">
                  <c:v>522.6</c:v>
                </c:pt>
                <c:pt idx="5">
                  <c:v>347.8</c:v>
                </c:pt>
                <c:pt idx="6">
                  <c:v>256</c:v>
                </c:pt>
                <c:pt idx="7">
                  <c:v>689.2</c:v>
                </c:pt>
                <c:pt idx="8">
                  <c:v>722.6</c:v>
                </c:pt>
                <c:pt idx="9">
                  <c:v>493.2</c:v>
                </c:pt>
                <c:pt idx="10">
                  <c:v>272.8</c:v>
                </c:pt>
                <c:pt idx="11">
                  <c:v>239.4</c:v>
                </c:pt>
                <c:pt idx="12">
                  <c:v>533.20000000000005</c:v>
                </c:pt>
                <c:pt idx="13">
                  <c:v>333.6</c:v>
                </c:pt>
                <c:pt idx="14">
                  <c:v>294.7</c:v>
                </c:pt>
                <c:pt idx="15">
                  <c:v>452.7</c:v>
                </c:pt>
                <c:pt idx="16">
                  <c:v>295</c:v>
                </c:pt>
                <c:pt idx="17">
                  <c:v>729.5</c:v>
                </c:pt>
                <c:pt idx="18">
                  <c:v>118</c:v>
                </c:pt>
                <c:pt idx="19">
                  <c:v>641.9</c:v>
                </c:pt>
                <c:pt idx="20">
                  <c:v>431.5</c:v>
                </c:pt>
                <c:pt idx="21">
                  <c:v>536</c:v>
                </c:pt>
                <c:pt idx="22">
                  <c:v>288.7</c:v>
                </c:pt>
                <c:pt idx="23">
                  <c:v>291.3</c:v>
                </c:pt>
                <c:pt idx="24">
                  <c:v>504.9</c:v>
                </c:pt>
                <c:pt idx="25">
                  <c:v>287.5</c:v>
                </c:pt>
                <c:pt idx="26">
                  <c:v>302.39999999999998</c:v>
                </c:pt>
                <c:pt idx="27">
                  <c:v>750.6</c:v>
                </c:pt>
                <c:pt idx="28">
                  <c:v>137.30000000000001</c:v>
                </c:pt>
                <c:pt idx="29">
                  <c:v>329.3</c:v>
                </c:pt>
                <c:pt idx="30">
                  <c:v>664.2</c:v>
                </c:pt>
                <c:pt idx="31">
                  <c:v>414.1</c:v>
                </c:pt>
                <c:pt idx="32">
                  <c:v>466.4</c:v>
                </c:pt>
                <c:pt idx="33">
                  <c:v>142.4</c:v>
                </c:pt>
                <c:pt idx="34">
                  <c:v>343.2</c:v>
                </c:pt>
                <c:pt idx="35">
                  <c:v>499.6</c:v>
                </c:pt>
                <c:pt idx="36">
                  <c:v>287.60000000000002</c:v>
                </c:pt>
                <c:pt idx="37">
                  <c:v>416.5</c:v>
                </c:pt>
                <c:pt idx="38">
                  <c:v>227.3</c:v>
                </c:pt>
                <c:pt idx="39">
                  <c:v>788.3</c:v>
                </c:pt>
                <c:pt idx="40">
                  <c:v>169.2</c:v>
                </c:pt>
                <c:pt idx="41">
                  <c:v>753.3</c:v>
                </c:pt>
                <c:pt idx="42">
                  <c:v>510.6</c:v>
                </c:pt>
                <c:pt idx="43">
                  <c:v>234.8</c:v>
                </c:pt>
                <c:pt idx="44">
                  <c:v>124.3</c:v>
                </c:pt>
                <c:pt idx="45">
                  <c:v>269.7</c:v>
                </c:pt>
                <c:pt idx="46">
                  <c:v>333.1</c:v>
                </c:pt>
                <c:pt idx="47">
                  <c:v>275.2</c:v>
                </c:pt>
                <c:pt idx="48">
                  <c:v>290.89999999999998</c:v>
                </c:pt>
                <c:pt idx="49">
                  <c:v>239.3</c:v>
                </c:pt>
              </c:numCache>
            </c:numRef>
          </c:xVal>
          <c:yVal>
            <c:numRef>
              <c:f>'Mult Reg 4'!$B$4:$B$53</c:f>
              <c:numCache>
                <c:formatCode>General</c:formatCode>
                <c:ptCount val="50"/>
                <c:pt idx="0">
                  <c:v>15.7</c:v>
                </c:pt>
                <c:pt idx="1">
                  <c:v>8.4</c:v>
                </c:pt>
                <c:pt idx="2">
                  <c:v>14.7</c:v>
                </c:pt>
                <c:pt idx="3">
                  <c:v>17.3</c:v>
                </c:pt>
                <c:pt idx="4">
                  <c:v>13.3</c:v>
                </c:pt>
                <c:pt idx="5">
                  <c:v>11.4</c:v>
                </c:pt>
                <c:pt idx="6">
                  <c:v>9.3000000000000007</c:v>
                </c:pt>
                <c:pt idx="7" formatCode="#,##0.0">
                  <c:v>10</c:v>
                </c:pt>
                <c:pt idx="8">
                  <c:v>13.2</c:v>
                </c:pt>
                <c:pt idx="9">
                  <c:v>14.7</c:v>
                </c:pt>
                <c:pt idx="10">
                  <c:v>9.1</c:v>
                </c:pt>
                <c:pt idx="11">
                  <c:v>12.6</c:v>
                </c:pt>
                <c:pt idx="12">
                  <c:v>12.2</c:v>
                </c:pt>
                <c:pt idx="13">
                  <c:v>13.1</c:v>
                </c:pt>
                <c:pt idx="14">
                  <c:v>11.5</c:v>
                </c:pt>
                <c:pt idx="15">
                  <c:v>11.3</c:v>
                </c:pt>
                <c:pt idx="16">
                  <c:v>17.3</c:v>
                </c:pt>
                <c:pt idx="17">
                  <c:v>17.3</c:v>
                </c:pt>
                <c:pt idx="18">
                  <c:v>12.3</c:v>
                </c:pt>
                <c:pt idx="19">
                  <c:v>8.1</c:v>
                </c:pt>
                <c:pt idx="20" formatCode="#,##0.0">
                  <c:v>10</c:v>
                </c:pt>
                <c:pt idx="21">
                  <c:v>14.4</c:v>
                </c:pt>
                <c:pt idx="22">
                  <c:v>9.6</c:v>
                </c:pt>
                <c:pt idx="23">
                  <c:v>21.2</c:v>
                </c:pt>
                <c:pt idx="24">
                  <c:v>13.4</c:v>
                </c:pt>
                <c:pt idx="25">
                  <c:v>14.8</c:v>
                </c:pt>
                <c:pt idx="26">
                  <c:v>10.8</c:v>
                </c:pt>
                <c:pt idx="27">
                  <c:v>11.3</c:v>
                </c:pt>
                <c:pt idx="28">
                  <c:v>7.6</c:v>
                </c:pt>
                <c:pt idx="29">
                  <c:v>8.6999999999999993</c:v>
                </c:pt>
                <c:pt idx="30">
                  <c:v>17.100000000000001</c:v>
                </c:pt>
                <c:pt idx="31">
                  <c:v>13.6</c:v>
                </c:pt>
                <c:pt idx="32">
                  <c:v>14.6</c:v>
                </c:pt>
                <c:pt idx="33" formatCode="0.0">
                  <c:v>12</c:v>
                </c:pt>
                <c:pt idx="34">
                  <c:v>13.4</c:v>
                </c:pt>
                <c:pt idx="35">
                  <c:v>15.9</c:v>
                </c:pt>
                <c:pt idx="36">
                  <c:v>13.6</c:v>
                </c:pt>
                <c:pt idx="37">
                  <c:v>12.1</c:v>
                </c:pt>
                <c:pt idx="38">
                  <c:v>11.7</c:v>
                </c:pt>
                <c:pt idx="39">
                  <c:v>15.7</c:v>
                </c:pt>
                <c:pt idx="40">
                  <c:v>12.5</c:v>
                </c:pt>
                <c:pt idx="41">
                  <c:v>15.5</c:v>
                </c:pt>
                <c:pt idx="42">
                  <c:v>15.8</c:v>
                </c:pt>
                <c:pt idx="43">
                  <c:v>9.6</c:v>
                </c:pt>
                <c:pt idx="44">
                  <c:v>10.6</c:v>
                </c:pt>
                <c:pt idx="45">
                  <c:v>10.199999999999999</c:v>
                </c:pt>
                <c:pt idx="46">
                  <c:v>11.3</c:v>
                </c:pt>
                <c:pt idx="47" formatCode="0.0">
                  <c:v>17</c:v>
                </c:pt>
                <c:pt idx="48">
                  <c:v>10.4</c:v>
                </c:pt>
                <c:pt idx="49">
                  <c:v>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AB-4092-80EA-572A464E364F}"/>
            </c:ext>
          </c:extLst>
        </c:ser>
        <c:ser>
          <c:idx val="1"/>
          <c:order val="1"/>
          <c:tx>
            <c:v>Predicted Poverty</c:v>
          </c:tx>
          <c:spPr>
            <a:ln w="28575">
              <a:noFill/>
            </a:ln>
          </c:spPr>
          <c:xVal>
            <c:numRef>
              <c:f>'Mult Reg 4'!$E$4:$E$53</c:f>
              <c:numCache>
                <c:formatCode>#,##0</c:formatCode>
                <c:ptCount val="50"/>
                <c:pt idx="0">
                  <c:v>448</c:v>
                </c:pt>
                <c:pt idx="1">
                  <c:v>661.2</c:v>
                </c:pt>
                <c:pt idx="2">
                  <c:v>482.7</c:v>
                </c:pt>
                <c:pt idx="3">
                  <c:v>529.4</c:v>
                </c:pt>
                <c:pt idx="4">
                  <c:v>522.6</c:v>
                </c:pt>
                <c:pt idx="5">
                  <c:v>347.8</c:v>
                </c:pt>
                <c:pt idx="6">
                  <c:v>256</c:v>
                </c:pt>
                <c:pt idx="7">
                  <c:v>689.2</c:v>
                </c:pt>
                <c:pt idx="8">
                  <c:v>722.6</c:v>
                </c:pt>
                <c:pt idx="9">
                  <c:v>493.2</c:v>
                </c:pt>
                <c:pt idx="10">
                  <c:v>272.8</c:v>
                </c:pt>
                <c:pt idx="11">
                  <c:v>239.4</c:v>
                </c:pt>
                <c:pt idx="12">
                  <c:v>533.20000000000005</c:v>
                </c:pt>
                <c:pt idx="13">
                  <c:v>333.6</c:v>
                </c:pt>
                <c:pt idx="14">
                  <c:v>294.7</c:v>
                </c:pt>
                <c:pt idx="15">
                  <c:v>452.7</c:v>
                </c:pt>
                <c:pt idx="16">
                  <c:v>295</c:v>
                </c:pt>
                <c:pt idx="17">
                  <c:v>729.5</c:v>
                </c:pt>
                <c:pt idx="18">
                  <c:v>118</c:v>
                </c:pt>
                <c:pt idx="19">
                  <c:v>641.9</c:v>
                </c:pt>
                <c:pt idx="20">
                  <c:v>431.5</c:v>
                </c:pt>
                <c:pt idx="21">
                  <c:v>536</c:v>
                </c:pt>
                <c:pt idx="22">
                  <c:v>288.7</c:v>
                </c:pt>
                <c:pt idx="23">
                  <c:v>291.3</c:v>
                </c:pt>
                <c:pt idx="24">
                  <c:v>504.9</c:v>
                </c:pt>
                <c:pt idx="25">
                  <c:v>287.5</c:v>
                </c:pt>
                <c:pt idx="26">
                  <c:v>302.39999999999998</c:v>
                </c:pt>
                <c:pt idx="27">
                  <c:v>750.6</c:v>
                </c:pt>
                <c:pt idx="28">
                  <c:v>137.30000000000001</c:v>
                </c:pt>
                <c:pt idx="29">
                  <c:v>329.3</c:v>
                </c:pt>
                <c:pt idx="30">
                  <c:v>664.2</c:v>
                </c:pt>
                <c:pt idx="31">
                  <c:v>414.1</c:v>
                </c:pt>
                <c:pt idx="32">
                  <c:v>466.4</c:v>
                </c:pt>
                <c:pt idx="33">
                  <c:v>142.4</c:v>
                </c:pt>
                <c:pt idx="34">
                  <c:v>343.2</c:v>
                </c:pt>
                <c:pt idx="35">
                  <c:v>499.6</c:v>
                </c:pt>
                <c:pt idx="36">
                  <c:v>287.60000000000002</c:v>
                </c:pt>
                <c:pt idx="37">
                  <c:v>416.5</c:v>
                </c:pt>
                <c:pt idx="38">
                  <c:v>227.3</c:v>
                </c:pt>
                <c:pt idx="39">
                  <c:v>788.3</c:v>
                </c:pt>
                <c:pt idx="40">
                  <c:v>169.2</c:v>
                </c:pt>
                <c:pt idx="41">
                  <c:v>753.3</c:v>
                </c:pt>
                <c:pt idx="42">
                  <c:v>510.6</c:v>
                </c:pt>
                <c:pt idx="43">
                  <c:v>234.8</c:v>
                </c:pt>
                <c:pt idx="44">
                  <c:v>124.3</c:v>
                </c:pt>
                <c:pt idx="45">
                  <c:v>269.7</c:v>
                </c:pt>
                <c:pt idx="46">
                  <c:v>333.1</c:v>
                </c:pt>
                <c:pt idx="47">
                  <c:v>275.2</c:v>
                </c:pt>
                <c:pt idx="48">
                  <c:v>290.89999999999998</c:v>
                </c:pt>
                <c:pt idx="49">
                  <c:v>239.3</c:v>
                </c:pt>
              </c:numCache>
            </c:numRef>
          </c:xVal>
          <c:yVal>
            <c:numRef>
              <c:f>'Mult Reg 5A'!$B$27:$B$76</c:f>
              <c:numCache>
                <c:formatCode>General</c:formatCode>
                <c:ptCount val="50"/>
                <c:pt idx="0">
                  <c:v>15.168482465280009</c:v>
                </c:pt>
                <c:pt idx="1">
                  <c:v>12.770194096327922</c:v>
                </c:pt>
                <c:pt idx="2">
                  <c:v>12.453734351399657</c:v>
                </c:pt>
                <c:pt idx="3">
                  <c:v>14.998941387354511</c:v>
                </c:pt>
                <c:pt idx="4">
                  <c:v>10.360946134637627</c:v>
                </c:pt>
                <c:pt idx="5">
                  <c:v>11.483693052508372</c:v>
                </c:pt>
                <c:pt idx="6">
                  <c:v>11.79470492807466</c:v>
                </c:pt>
                <c:pt idx="7">
                  <c:v>14.733447771089935</c:v>
                </c:pt>
                <c:pt idx="8">
                  <c:v>13.702989401864992</c:v>
                </c:pt>
                <c:pt idx="9">
                  <c:v>13.876437321067451</c:v>
                </c:pt>
                <c:pt idx="10">
                  <c:v>9.0671031505498636</c:v>
                </c:pt>
                <c:pt idx="11">
                  <c:v>12.913696631816233</c:v>
                </c:pt>
                <c:pt idx="12">
                  <c:v>13.409129334359276</c:v>
                </c:pt>
                <c:pt idx="13">
                  <c:v>14.343063758629301</c:v>
                </c:pt>
                <c:pt idx="14">
                  <c:v>10.801749432233862</c:v>
                </c:pt>
                <c:pt idx="15">
                  <c:v>13.386495433605791</c:v>
                </c:pt>
                <c:pt idx="16">
                  <c:v>13.717687401385909</c:v>
                </c:pt>
                <c:pt idx="17">
                  <c:v>16.495289411657392</c:v>
                </c:pt>
                <c:pt idx="18">
                  <c:v>12.166437679535267</c:v>
                </c:pt>
                <c:pt idx="19">
                  <c:v>13.887597669367663</c:v>
                </c:pt>
                <c:pt idx="20">
                  <c:v>10.32299043884211</c:v>
                </c:pt>
                <c:pt idx="21">
                  <c:v>13.615527563643827</c:v>
                </c:pt>
                <c:pt idx="22">
                  <c:v>10.734985254448009</c:v>
                </c:pt>
                <c:pt idx="23">
                  <c:v>16.613871588317885</c:v>
                </c:pt>
                <c:pt idx="24">
                  <c:v>13.711013366979067</c:v>
                </c:pt>
                <c:pt idx="25">
                  <c:v>11.55256440695972</c:v>
                </c:pt>
                <c:pt idx="26">
                  <c:v>11.350737524842538</c:v>
                </c:pt>
                <c:pt idx="27">
                  <c:v>12.630597532474958</c:v>
                </c:pt>
                <c:pt idx="28">
                  <c:v>11.905207608821607</c:v>
                </c:pt>
                <c:pt idx="29">
                  <c:v>10.703770804947251</c:v>
                </c:pt>
                <c:pt idx="30">
                  <c:v>11.852963983075886</c:v>
                </c:pt>
                <c:pt idx="31">
                  <c:v>10.857452575591561</c:v>
                </c:pt>
                <c:pt idx="32">
                  <c:v>14.148922758102401</c:v>
                </c:pt>
                <c:pt idx="33">
                  <c:v>11.379935658704408</c:v>
                </c:pt>
                <c:pt idx="34">
                  <c:v>13.983290890156367</c:v>
                </c:pt>
                <c:pt idx="35">
                  <c:v>14.22089410117899</c:v>
                </c:pt>
                <c:pt idx="36">
                  <c:v>11.157006478778396</c:v>
                </c:pt>
                <c:pt idx="37">
                  <c:v>13.855600457391626</c:v>
                </c:pt>
                <c:pt idx="38">
                  <c:v>11.778733948462614</c:v>
                </c:pt>
                <c:pt idx="39">
                  <c:v>14.801806207135078</c:v>
                </c:pt>
                <c:pt idx="40">
                  <c:v>12.708957171550267</c:v>
                </c:pt>
                <c:pt idx="41">
                  <c:v>15.558122806587869</c:v>
                </c:pt>
                <c:pt idx="42">
                  <c:v>12.088470187680537</c:v>
                </c:pt>
                <c:pt idx="43">
                  <c:v>10.671011249440653</c:v>
                </c:pt>
                <c:pt idx="44">
                  <c:v>11.15258597785637</c:v>
                </c:pt>
                <c:pt idx="45">
                  <c:v>12.557052100872401</c:v>
                </c:pt>
                <c:pt idx="46">
                  <c:v>9.9856930226674407</c:v>
                </c:pt>
                <c:pt idx="47">
                  <c:v>13.729451814140557</c:v>
                </c:pt>
                <c:pt idx="48">
                  <c:v>12.296174498038839</c:v>
                </c:pt>
                <c:pt idx="49">
                  <c:v>13.142787209565174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AB-4092-80EA-572A464E3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47288"/>
        <c:axId val="529954344"/>
      </c:scatterChart>
      <c:valAx>
        <c:axId val="529947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Crime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29954344"/>
        <c:crosses val="autoZero"/>
        <c:crossBetween val="midCat"/>
      </c:valAx>
      <c:valAx>
        <c:axId val="529954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Poverty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472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5A'!$F$27:$F$76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37</c:v>
                </c:pt>
                <c:pt idx="19">
                  <c:v>39</c:v>
                </c:pt>
                <c:pt idx="20">
                  <c:v>41</c:v>
                </c:pt>
                <c:pt idx="21">
                  <c:v>43</c:v>
                </c:pt>
                <c:pt idx="22">
                  <c:v>45</c:v>
                </c:pt>
                <c:pt idx="23">
                  <c:v>47</c:v>
                </c:pt>
                <c:pt idx="24">
                  <c:v>49</c:v>
                </c:pt>
                <c:pt idx="25">
                  <c:v>51</c:v>
                </c:pt>
                <c:pt idx="26">
                  <c:v>53</c:v>
                </c:pt>
                <c:pt idx="27">
                  <c:v>55</c:v>
                </c:pt>
                <c:pt idx="28">
                  <c:v>57</c:v>
                </c:pt>
                <c:pt idx="29">
                  <c:v>59</c:v>
                </c:pt>
                <c:pt idx="30">
                  <c:v>61</c:v>
                </c:pt>
                <c:pt idx="31">
                  <c:v>63</c:v>
                </c:pt>
                <c:pt idx="32">
                  <c:v>65</c:v>
                </c:pt>
                <c:pt idx="33">
                  <c:v>67</c:v>
                </c:pt>
                <c:pt idx="34">
                  <c:v>69</c:v>
                </c:pt>
                <c:pt idx="35">
                  <c:v>71</c:v>
                </c:pt>
                <c:pt idx="36">
                  <c:v>73</c:v>
                </c:pt>
                <c:pt idx="37">
                  <c:v>75</c:v>
                </c:pt>
                <c:pt idx="38">
                  <c:v>77</c:v>
                </c:pt>
                <c:pt idx="39">
                  <c:v>79</c:v>
                </c:pt>
                <c:pt idx="40">
                  <c:v>81</c:v>
                </c:pt>
                <c:pt idx="41">
                  <c:v>83</c:v>
                </c:pt>
                <c:pt idx="42">
                  <c:v>85</c:v>
                </c:pt>
                <c:pt idx="43">
                  <c:v>87</c:v>
                </c:pt>
                <c:pt idx="44">
                  <c:v>89</c:v>
                </c:pt>
                <c:pt idx="45">
                  <c:v>91</c:v>
                </c:pt>
                <c:pt idx="46">
                  <c:v>93</c:v>
                </c:pt>
                <c:pt idx="47">
                  <c:v>95</c:v>
                </c:pt>
                <c:pt idx="48">
                  <c:v>97</c:v>
                </c:pt>
                <c:pt idx="49">
                  <c:v>99</c:v>
                </c:pt>
              </c:numCache>
            </c:numRef>
          </c:xVal>
          <c:yVal>
            <c:numRef>
              <c:f>'Mult Reg 5A'!$G$27:$G$76</c:f>
              <c:numCache>
                <c:formatCode>General</c:formatCode>
                <c:ptCount val="50"/>
                <c:pt idx="0">
                  <c:v>7.6</c:v>
                </c:pt>
                <c:pt idx="1">
                  <c:v>8.1</c:v>
                </c:pt>
                <c:pt idx="2">
                  <c:v>8.4</c:v>
                </c:pt>
                <c:pt idx="3">
                  <c:v>8.6999999999999993</c:v>
                </c:pt>
                <c:pt idx="4">
                  <c:v>9.1</c:v>
                </c:pt>
                <c:pt idx="5">
                  <c:v>9.3000000000000007</c:v>
                </c:pt>
                <c:pt idx="6">
                  <c:v>9.4</c:v>
                </c:pt>
                <c:pt idx="7">
                  <c:v>9.6</c:v>
                </c:pt>
                <c:pt idx="8">
                  <c:v>9.6</c:v>
                </c:pt>
                <c:pt idx="9">
                  <c:v>10</c:v>
                </c:pt>
                <c:pt idx="10">
                  <c:v>10</c:v>
                </c:pt>
                <c:pt idx="11">
                  <c:v>10.199999999999999</c:v>
                </c:pt>
                <c:pt idx="12">
                  <c:v>10.4</c:v>
                </c:pt>
                <c:pt idx="13">
                  <c:v>10.6</c:v>
                </c:pt>
                <c:pt idx="14">
                  <c:v>10.8</c:v>
                </c:pt>
                <c:pt idx="15">
                  <c:v>11.3</c:v>
                </c:pt>
                <c:pt idx="16">
                  <c:v>11.3</c:v>
                </c:pt>
                <c:pt idx="17">
                  <c:v>11.3</c:v>
                </c:pt>
                <c:pt idx="18">
                  <c:v>11.4</c:v>
                </c:pt>
                <c:pt idx="19">
                  <c:v>11.5</c:v>
                </c:pt>
                <c:pt idx="20">
                  <c:v>11.7</c:v>
                </c:pt>
                <c:pt idx="21">
                  <c:v>12</c:v>
                </c:pt>
                <c:pt idx="22">
                  <c:v>12.1</c:v>
                </c:pt>
                <c:pt idx="23">
                  <c:v>12.2</c:v>
                </c:pt>
                <c:pt idx="24">
                  <c:v>12.3</c:v>
                </c:pt>
                <c:pt idx="25">
                  <c:v>12.5</c:v>
                </c:pt>
                <c:pt idx="26">
                  <c:v>12.6</c:v>
                </c:pt>
                <c:pt idx="27">
                  <c:v>13.1</c:v>
                </c:pt>
                <c:pt idx="28">
                  <c:v>13.2</c:v>
                </c:pt>
                <c:pt idx="29">
                  <c:v>13.3</c:v>
                </c:pt>
                <c:pt idx="30">
                  <c:v>13.4</c:v>
                </c:pt>
                <c:pt idx="31">
                  <c:v>13.4</c:v>
                </c:pt>
                <c:pt idx="32">
                  <c:v>13.6</c:v>
                </c:pt>
                <c:pt idx="33">
                  <c:v>13.6</c:v>
                </c:pt>
                <c:pt idx="34">
                  <c:v>14.4</c:v>
                </c:pt>
                <c:pt idx="35">
                  <c:v>14.6</c:v>
                </c:pt>
                <c:pt idx="36">
                  <c:v>14.7</c:v>
                </c:pt>
                <c:pt idx="37">
                  <c:v>14.7</c:v>
                </c:pt>
                <c:pt idx="38">
                  <c:v>14.8</c:v>
                </c:pt>
                <c:pt idx="39">
                  <c:v>15.5</c:v>
                </c:pt>
                <c:pt idx="40">
                  <c:v>15.7</c:v>
                </c:pt>
                <c:pt idx="41">
                  <c:v>15.7</c:v>
                </c:pt>
                <c:pt idx="42">
                  <c:v>15.8</c:v>
                </c:pt>
                <c:pt idx="43">
                  <c:v>15.9</c:v>
                </c:pt>
                <c:pt idx="44">
                  <c:v>17</c:v>
                </c:pt>
                <c:pt idx="45">
                  <c:v>17.100000000000001</c:v>
                </c:pt>
                <c:pt idx="46">
                  <c:v>17.3</c:v>
                </c:pt>
                <c:pt idx="47">
                  <c:v>17.3</c:v>
                </c:pt>
                <c:pt idx="48">
                  <c:v>17.3</c:v>
                </c:pt>
                <c:pt idx="49">
                  <c:v>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5-4749-B49F-E1D22965D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43760"/>
        <c:axId val="529951600"/>
      </c:scatterChart>
      <c:valAx>
        <c:axId val="529943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51600"/>
        <c:crosses val="autoZero"/>
        <c:crossBetween val="midCat"/>
      </c:valAx>
      <c:valAx>
        <c:axId val="529951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Poverty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43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Infant Mort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4'!$C$4:$C$53</c:f>
              <c:numCache>
                <c:formatCode>0.0</c:formatCode>
                <c:ptCount val="50"/>
                <c:pt idx="0">
                  <c:v>9</c:v>
                </c:pt>
                <c:pt idx="1">
                  <c:v>6.9</c:v>
                </c:pt>
                <c:pt idx="2">
                  <c:v>6.4</c:v>
                </c:pt>
                <c:pt idx="3">
                  <c:v>8.5</c:v>
                </c:pt>
                <c:pt idx="4">
                  <c:v>5</c:v>
                </c:pt>
                <c:pt idx="5">
                  <c:v>5.7</c:v>
                </c:pt>
                <c:pt idx="6">
                  <c:v>6.2</c:v>
                </c:pt>
                <c:pt idx="7">
                  <c:v>8.3000000000000007</c:v>
                </c:pt>
                <c:pt idx="8">
                  <c:v>7.3</c:v>
                </c:pt>
                <c:pt idx="9">
                  <c:v>8.1</c:v>
                </c:pt>
                <c:pt idx="10">
                  <c:v>5.6</c:v>
                </c:pt>
                <c:pt idx="11">
                  <c:v>6.8</c:v>
                </c:pt>
                <c:pt idx="12">
                  <c:v>7.3</c:v>
                </c:pt>
                <c:pt idx="13">
                  <c:v>8</c:v>
                </c:pt>
                <c:pt idx="14">
                  <c:v>5.0999999999999996</c:v>
                </c:pt>
                <c:pt idx="15">
                  <c:v>7.1</c:v>
                </c:pt>
                <c:pt idx="16">
                  <c:v>7.5</c:v>
                </c:pt>
                <c:pt idx="17">
                  <c:v>9.9</c:v>
                </c:pt>
                <c:pt idx="18">
                  <c:v>6.3</c:v>
                </c:pt>
                <c:pt idx="19">
                  <c:v>8</c:v>
                </c:pt>
                <c:pt idx="20">
                  <c:v>4.8</c:v>
                </c:pt>
                <c:pt idx="21">
                  <c:v>7.4</c:v>
                </c:pt>
                <c:pt idx="22">
                  <c:v>5.2</c:v>
                </c:pt>
                <c:pt idx="23">
                  <c:v>10.6</c:v>
                </c:pt>
                <c:pt idx="24">
                  <c:v>7.4</c:v>
                </c:pt>
                <c:pt idx="25">
                  <c:v>5.8</c:v>
                </c:pt>
                <c:pt idx="26">
                  <c:v>5.6</c:v>
                </c:pt>
                <c:pt idx="27">
                  <c:v>6.4</c:v>
                </c:pt>
                <c:pt idx="28">
                  <c:v>6.1</c:v>
                </c:pt>
                <c:pt idx="29">
                  <c:v>5.5</c:v>
                </c:pt>
                <c:pt idx="30">
                  <c:v>5.8</c:v>
                </c:pt>
                <c:pt idx="31">
                  <c:v>5.6</c:v>
                </c:pt>
                <c:pt idx="32">
                  <c:v>8.1</c:v>
                </c:pt>
                <c:pt idx="33">
                  <c:v>5.8</c:v>
                </c:pt>
                <c:pt idx="34">
                  <c:v>7.8</c:v>
                </c:pt>
                <c:pt idx="35">
                  <c:v>8</c:v>
                </c:pt>
                <c:pt idx="36">
                  <c:v>5.5</c:v>
                </c:pt>
                <c:pt idx="37">
                  <c:v>7.6</c:v>
                </c:pt>
                <c:pt idx="38">
                  <c:v>6.1</c:v>
                </c:pt>
                <c:pt idx="39">
                  <c:v>8.4</c:v>
                </c:pt>
                <c:pt idx="40">
                  <c:v>6.9</c:v>
                </c:pt>
                <c:pt idx="41">
                  <c:v>8.6999999999999993</c:v>
                </c:pt>
                <c:pt idx="42">
                  <c:v>6.2</c:v>
                </c:pt>
                <c:pt idx="43">
                  <c:v>5.0999999999999996</c:v>
                </c:pt>
                <c:pt idx="44">
                  <c:v>5.5</c:v>
                </c:pt>
                <c:pt idx="45">
                  <c:v>7.1</c:v>
                </c:pt>
                <c:pt idx="46">
                  <c:v>4.7</c:v>
                </c:pt>
                <c:pt idx="47">
                  <c:v>7.4</c:v>
                </c:pt>
                <c:pt idx="48">
                  <c:v>6.4</c:v>
                </c:pt>
                <c:pt idx="49">
                  <c:v>7</c:v>
                </c:pt>
              </c:numCache>
            </c:numRef>
          </c:xVal>
          <c:yVal>
            <c:numRef>
              <c:f>'Mult Reg 5B'!$C$25:$C$74</c:f>
              <c:numCache>
                <c:formatCode>General</c:formatCode>
                <c:ptCount val="50"/>
                <c:pt idx="0">
                  <c:v>0.27920136635354176</c:v>
                </c:pt>
                <c:pt idx="1">
                  <c:v>-4.41873543979505</c:v>
                </c:pt>
                <c:pt idx="2">
                  <c:v>2.5008034158838548</c:v>
                </c:pt>
                <c:pt idx="3">
                  <c:v>2.4987402220324508</c:v>
                </c:pt>
                <c:pt idx="4">
                  <c:v>2.8355122117847955</c:v>
                </c:pt>
                <c:pt idx="5">
                  <c:v>6.8157813834327285E-2</c:v>
                </c:pt>
                <c:pt idx="6">
                  <c:v>-2.65138104184458</c:v>
                </c:pt>
                <c:pt idx="7">
                  <c:v>-4.5534442356959897</c:v>
                </c:pt>
                <c:pt idx="8">
                  <c:v>-0.11436652433817507</c:v>
                </c:pt>
                <c:pt idx="9">
                  <c:v>0.39437130657557518</c:v>
                </c:pt>
                <c:pt idx="10">
                  <c:v>-2.1079344150298933</c:v>
                </c:pt>
                <c:pt idx="11">
                  <c:v>-9.4827668659268838E-2</c:v>
                </c:pt>
                <c:pt idx="12">
                  <c:v>-1.1143665243381751</c:v>
                </c:pt>
                <c:pt idx="13">
                  <c:v>-1.0817209222886444</c:v>
                </c:pt>
                <c:pt idx="14">
                  <c:v>0.91160444064901469</c:v>
                </c:pt>
                <c:pt idx="15">
                  <c:v>-1.7665509820666117</c:v>
                </c:pt>
                <c:pt idx="16">
                  <c:v>3.7378179333902626</c:v>
                </c:pt>
                <c:pt idx="17">
                  <c:v>0.76403142613151331</c:v>
                </c:pt>
                <c:pt idx="18">
                  <c:v>0.22471118701963988</c:v>
                </c:pt>
                <c:pt idx="19">
                  <c:v>-6.0817209222886444</c:v>
                </c:pt>
                <c:pt idx="20">
                  <c:v>-0.21667224594364143</c:v>
                </c:pt>
                <c:pt idx="21">
                  <c:v>0.96172570452604411</c:v>
                </c:pt>
                <c:pt idx="22">
                  <c:v>-1.1123033304867675</c:v>
                </c:pt>
                <c:pt idx="23">
                  <c:v>3.7966770281810405</c:v>
                </c:pt>
                <c:pt idx="24">
                  <c:v>-3.8274295473955888E-2</c:v>
                </c:pt>
                <c:pt idx="25">
                  <c:v>3.3442500426985458</c:v>
                </c:pt>
                <c:pt idx="26">
                  <c:v>-0.40793441502989225</c:v>
                </c:pt>
                <c:pt idx="27">
                  <c:v>-0.89919658411614378</c:v>
                </c:pt>
                <c:pt idx="28">
                  <c:v>-4.2274732707087992</c:v>
                </c:pt>
                <c:pt idx="29">
                  <c:v>-2.3840266438941118</c:v>
                </c:pt>
                <c:pt idx="30">
                  <c:v>5.6442500426985465</c:v>
                </c:pt>
                <c:pt idx="31">
                  <c:v>2.3920655849701067</c:v>
                </c:pt>
                <c:pt idx="32">
                  <c:v>0.29437130657557553</c:v>
                </c:pt>
                <c:pt idx="33">
                  <c:v>0.54425004269854504</c:v>
                </c:pt>
                <c:pt idx="34">
                  <c:v>-0.53390538001708165</c:v>
                </c:pt>
                <c:pt idx="35">
                  <c:v>1.7182790777113564</c:v>
                </c:pt>
                <c:pt idx="36">
                  <c:v>2.5159733561058886</c:v>
                </c:pt>
                <c:pt idx="37">
                  <c:v>-1.5860898377455186</c:v>
                </c:pt>
                <c:pt idx="38">
                  <c:v>-0.12747327070879955</c:v>
                </c:pt>
                <c:pt idx="39">
                  <c:v>1.0226479931682295</c:v>
                </c:pt>
                <c:pt idx="40">
                  <c:v>-0.31873543979505037</c:v>
                </c:pt>
                <c:pt idx="41">
                  <c:v>0.45092467976088813</c:v>
                </c:pt>
                <c:pt idx="42">
                  <c:v>3.84861895815542</c:v>
                </c:pt>
                <c:pt idx="43">
                  <c:v>-0.98839555935098566</c:v>
                </c:pt>
                <c:pt idx="44">
                  <c:v>-0.48402664389411143</c:v>
                </c:pt>
                <c:pt idx="45">
                  <c:v>-2.8665509820666131</c:v>
                </c:pt>
                <c:pt idx="46">
                  <c:v>1.2072355251921394</c:v>
                </c:pt>
                <c:pt idx="47">
                  <c:v>3.5617257045260438</c:v>
                </c:pt>
                <c:pt idx="48">
                  <c:v>-1.7991965841161441</c:v>
                </c:pt>
                <c:pt idx="49">
                  <c:v>-3.5426432109308301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0-4944-A4C9-A3E8339CF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47680"/>
        <c:axId val="529954736"/>
      </c:scatterChart>
      <c:valAx>
        <c:axId val="529947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Infant Mort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29954736"/>
        <c:crosses val="autoZero"/>
        <c:crossBetween val="midCat"/>
      </c:valAx>
      <c:valAx>
        <c:axId val="529954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47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Infant Mort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Poverty</c:v>
          </c:tx>
          <c:spPr>
            <a:ln w="28575">
              <a:noFill/>
            </a:ln>
          </c:spPr>
          <c:xVal>
            <c:numRef>
              <c:f>'Mult Reg 4'!$C$4:$C$53</c:f>
              <c:numCache>
                <c:formatCode>0.0</c:formatCode>
                <c:ptCount val="50"/>
                <c:pt idx="0">
                  <c:v>9</c:v>
                </c:pt>
                <c:pt idx="1">
                  <c:v>6.9</c:v>
                </c:pt>
                <c:pt idx="2">
                  <c:v>6.4</c:v>
                </c:pt>
                <c:pt idx="3">
                  <c:v>8.5</c:v>
                </c:pt>
                <c:pt idx="4">
                  <c:v>5</c:v>
                </c:pt>
                <c:pt idx="5">
                  <c:v>5.7</c:v>
                </c:pt>
                <c:pt idx="6">
                  <c:v>6.2</c:v>
                </c:pt>
                <c:pt idx="7">
                  <c:v>8.3000000000000007</c:v>
                </c:pt>
                <c:pt idx="8">
                  <c:v>7.3</c:v>
                </c:pt>
                <c:pt idx="9">
                  <c:v>8.1</c:v>
                </c:pt>
                <c:pt idx="10">
                  <c:v>5.6</c:v>
                </c:pt>
                <c:pt idx="11">
                  <c:v>6.8</c:v>
                </c:pt>
                <c:pt idx="12">
                  <c:v>7.3</c:v>
                </c:pt>
                <c:pt idx="13">
                  <c:v>8</c:v>
                </c:pt>
                <c:pt idx="14">
                  <c:v>5.0999999999999996</c:v>
                </c:pt>
                <c:pt idx="15">
                  <c:v>7.1</c:v>
                </c:pt>
                <c:pt idx="16">
                  <c:v>7.5</c:v>
                </c:pt>
                <c:pt idx="17">
                  <c:v>9.9</c:v>
                </c:pt>
                <c:pt idx="18">
                  <c:v>6.3</c:v>
                </c:pt>
                <c:pt idx="19">
                  <c:v>8</c:v>
                </c:pt>
                <c:pt idx="20">
                  <c:v>4.8</c:v>
                </c:pt>
                <c:pt idx="21">
                  <c:v>7.4</c:v>
                </c:pt>
                <c:pt idx="22">
                  <c:v>5.2</c:v>
                </c:pt>
                <c:pt idx="23">
                  <c:v>10.6</c:v>
                </c:pt>
                <c:pt idx="24">
                  <c:v>7.4</c:v>
                </c:pt>
                <c:pt idx="25">
                  <c:v>5.8</c:v>
                </c:pt>
                <c:pt idx="26">
                  <c:v>5.6</c:v>
                </c:pt>
                <c:pt idx="27">
                  <c:v>6.4</c:v>
                </c:pt>
                <c:pt idx="28">
                  <c:v>6.1</c:v>
                </c:pt>
                <c:pt idx="29">
                  <c:v>5.5</c:v>
                </c:pt>
                <c:pt idx="30">
                  <c:v>5.8</c:v>
                </c:pt>
                <c:pt idx="31">
                  <c:v>5.6</c:v>
                </c:pt>
                <c:pt idx="32">
                  <c:v>8.1</c:v>
                </c:pt>
                <c:pt idx="33">
                  <c:v>5.8</c:v>
                </c:pt>
                <c:pt idx="34">
                  <c:v>7.8</c:v>
                </c:pt>
                <c:pt idx="35">
                  <c:v>8</c:v>
                </c:pt>
                <c:pt idx="36">
                  <c:v>5.5</c:v>
                </c:pt>
                <c:pt idx="37">
                  <c:v>7.6</c:v>
                </c:pt>
                <c:pt idx="38">
                  <c:v>6.1</c:v>
                </c:pt>
                <c:pt idx="39">
                  <c:v>8.4</c:v>
                </c:pt>
                <c:pt idx="40">
                  <c:v>6.9</c:v>
                </c:pt>
                <c:pt idx="41">
                  <c:v>8.6999999999999993</c:v>
                </c:pt>
                <c:pt idx="42">
                  <c:v>6.2</c:v>
                </c:pt>
                <c:pt idx="43">
                  <c:v>5.0999999999999996</c:v>
                </c:pt>
                <c:pt idx="44">
                  <c:v>5.5</c:v>
                </c:pt>
                <c:pt idx="45">
                  <c:v>7.1</c:v>
                </c:pt>
                <c:pt idx="46">
                  <c:v>4.7</c:v>
                </c:pt>
                <c:pt idx="47">
                  <c:v>7.4</c:v>
                </c:pt>
                <c:pt idx="48">
                  <c:v>6.4</c:v>
                </c:pt>
                <c:pt idx="49">
                  <c:v>7</c:v>
                </c:pt>
              </c:numCache>
            </c:numRef>
          </c:xVal>
          <c:yVal>
            <c:numRef>
              <c:f>'Mult Reg 4'!$B$4:$B$53</c:f>
              <c:numCache>
                <c:formatCode>General</c:formatCode>
                <c:ptCount val="50"/>
                <c:pt idx="0">
                  <c:v>15.7</c:v>
                </c:pt>
                <c:pt idx="1">
                  <c:v>8.4</c:v>
                </c:pt>
                <c:pt idx="2">
                  <c:v>14.7</c:v>
                </c:pt>
                <c:pt idx="3">
                  <c:v>17.3</c:v>
                </c:pt>
                <c:pt idx="4">
                  <c:v>13.3</c:v>
                </c:pt>
                <c:pt idx="5">
                  <c:v>11.4</c:v>
                </c:pt>
                <c:pt idx="6">
                  <c:v>9.3000000000000007</c:v>
                </c:pt>
                <c:pt idx="7" formatCode="#,##0.0">
                  <c:v>10</c:v>
                </c:pt>
                <c:pt idx="8">
                  <c:v>13.2</c:v>
                </c:pt>
                <c:pt idx="9">
                  <c:v>14.7</c:v>
                </c:pt>
                <c:pt idx="10">
                  <c:v>9.1</c:v>
                </c:pt>
                <c:pt idx="11">
                  <c:v>12.6</c:v>
                </c:pt>
                <c:pt idx="12">
                  <c:v>12.2</c:v>
                </c:pt>
                <c:pt idx="13">
                  <c:v>13.1</c:v>
                </c:pt>
                <c:pt idx="14">
                  <c:v>11.5</c:v>
                </c:pt>
                <c:pt idx="15">
                  <c:v>11.3</c:v>
                </c:pt>
                <c:pt idx="16">
                  <c:v>17.3</c:v>
                </c:pt>
                <c:pt idx="17">
                  <c:v>17.3</c:v>
                </c:pt>
                <c:pt idx="18">
                  <c:v>12.3</c:v>
                </c:pt>
                <c:pt idx="19">
                  <c:v>8.1</c:v>
                </c:pt>
                <c:pt idx="20" formatCode="#,##0.0">
                  <c:v>10</c:v>
                </c:pt>
                <c:pt idx="21">
                  <c:v>14.4</c:v>
                </c:pt>
                <c:pt idx="22">
                  <c:v>9.6</c:v>
                </c:pt>
                <c:pt idx="23">
                  <c:v>21.2</c:v>
                </c:pt>
                <c:pt idx="24">
                  <c:v>13.4</c:v>
                </c:pt>
                <c:pt idx="25">
                  <c:v>14.8</c:v>
                </c:pt>
                <c:pt idx="26">
                  <c:v>10.8</c:v>
                </c:pt>
                <c:pt idx="27">
                  <c:v>11.3</c:v>
                </c:pt>
                <c:pt idx="28">
                  <c:v>7.6</c:v>
                </c:pt>
                <c:pt idx="29">
                  <c:v>8.6999999999999993</c:v>
                </c:pt>
                <c:pt idx="30">
                  <c:v>17.100000000000001</c:v>
                </c:pt>
                <c:pt idx="31">
                  <c:v>13.6</c:v>
                </c:pt>
                <c:pt idx="32">
                  <c:v>14.6</c:v>
                </c:pt>
                <c:pt idx="33" formatCode="0.0">
                  <c:v>12</c:v>
                </c:pt>
                <c:pt idx="34">
                  <c:v>13.4</c:v>
                </c:pt>
                <c:pt idx="35">
                  <c:v>15.9</c:v>
                </c:pt>
                <c:pt idx="36">
                  <c:v>13.6</c:v>
                </c:pt>
                <c:pt idx="37">
                  <c:v>12.1</c:v>
                </c:pt>
                <c:pt idx="38">
                  <c:v>11.7</c:v>
                </c:pt>
                <c:pt idx="39">
                  <c:v>15.7</c:v>
                </c:pt>
                <c:pt idx="40">
                  <c:v>12.5</c:v>
                </c:pt>
                <c:pt idx="41">
                  <c:v>15.5</c:v>
                </c:pt>
                <c:pt idx="42">
                  <c:v>15.8</c:v>
                </c:pt>
                <c:pt idx="43">
                  <c:v>9.6</c:v>
                </c:pt>
                <c:pt idx="44">
                  <c:v>10.6</c:v>
                </c:pt>
                <c:pt idx="45">
                  <c:v>10.199999999999999</c:v>
                </c:pt>
                <c:pt idx="46">
                  <c:v>11.3</c:v>
                </c:pt>
                <c:pt idx="47" formatCode="0.0">
                  <c:v>17</c:v>
                </c:pt>
                <c:pt idx="48">
                  <c:v>10.4</c:v>
                </c:pt>
                <c:pt idx="49">
                  <c:v>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C-45CE-9C04-937BCB3B15B8}"/>
            </c:ext>
          </c:extLst>
        </c:ser>
        <c:ser>
          <c:idx val="1"/>
          <c:order val="1"/>
          <c:tx>
            <c:v>Predicted Poverty</c:v>
          </c:tx>
          <c:spPr>
            <a:ln w="28575">
              <a:noFill/>
            </a:ln>
          </c:spPr>
          <c:xVal>
            <c:numRef>
              <c:f>'Mult Reg 4'!$C$4:$C$53</c:f>
              <c:numCache>
                <c:formatCode>0.0</c:formatCode>
                <c:ptCount val="50"/>
                <c:pt idx="0">
                  <c:v>9</c:v>
                </c:pt>
                <c:pt idx="1">
                  <c:v>6.9</c:v>
                </c:pt>
                <c:pt idx="2">
                  <c:v>6.4</c:v>
                </c:pt>
                <c:pt idx="3">
                  <c:v>8.5</c:v>
                </c:pt>
                <c:pt idx="4">
                  <c:v>5</c:v>
                </c:pt>
                <c:pt idx="5">
                  <c:v>5.7</c:v>
                </c:pt>
                <c:pt idx="6">
                  <c:v>6.2</c:v>
                </c:pt>
                <c:pt idx="7">
                  <c:v>8.3000000000000007</c:v>
                </c:pt>
                <c:pt idx="8">
                  <c:v>7.3</c:v>
                </c:pt>
                <c:pt idx="9">
                  <c:v>8.1</c:v>
                </c:pt>
                <c:pt idx="10">
                  <c:v>5.6</c:v>
                </c:pt>
                <c:pt idx="11">
                  <c:v>6.8</c:v>
                </c:pt>
                <c:pt idx="12">
                  <c:v>7.3</c:v>
                </c:pt>
                <c:pt idx="13">
                  <c:v>8</c:v>
                </c:pt>
                <c:pt idx="14">
                  <c:v>5.0999999999999996</c:v>
                </c:pt>
                <c:pt idx="15">
                  <c:v>7.1</c:v>
                </c:pt>
                <c:pt idx="16">
                  <c:v>7.5</c:v>
                </c:pt>
                <c:pt idx="17">
                  <c:v>9.9</c:v>
                </c:pt>
                <c:pt idx="18">
                  <c:v>6.3</c:v>
                </c:pt>
                <c:pt idx="19">
                  <c:v>8</c:v>
                </c:pt>
                <c:pt idx="20">
                  <c:v>4.8</c:v>
                </c:pt>
                <c:pt idx="21">
                  <c:v>7.4</c:v>
                </c:pt>
                <c:pt idx="22">
                  <c:v>5.2</c:v>
                </c:pt>
                <c:pt idx="23">
                  <c:v>10.6</c:v>
                </c:pt>
                <c:pt idx="24">
                  <c:v>7.4</c:v>
                </c:pt>
                <c:pt idx="25">
                  <c:v>5.8</c:v>
                </c:pt>
                <c:pt idx="26">
                  <c:v>5.6</c:v>
                </c:pt>
                <c:pt idx="27">
                  <c:v>6.4</c:v>
                </c:pt>
                <c:pt idx="28">
                  <c:v>6.1</c:v>
                </c:pt>
                <c:pt idx="29">
                  <c:v>5.5</c:v>
                </c:pt>
                <c:pt idx="30">
                  <c:v>5.8</c:v>
                </c:pt>
                <c:pt idx="31">
                  <c:v>5.6</c:v>
                </c:pt>
                <c:pt idx="32">
                  <c:v>8.1</c:v>
                </c:pt>
                <c:pt idx="33">
                  <c:v>5.8</c:v>
                </c:pt>
                <c:pt idx="34">
                  <c:v>7.8</c:v>
                </c:pt>
                <c:pt idx="35">
                  <c:v>8</c:v>
                </c:pt>
                <c:pt idx="36">
                  <c:v>5.5</c:v>
                </c:pt>
                <c:pt idx="37">
                  <c:v>7.6</c:v>
                </c:pt>
                <c:pt idx="38">
                  <c:v>6.1</c:v>
                </c:pt>
                <c:pt idx="39">
                  <c:v>8.4</c:v>
                </c:pt>
                <c:pt idx="40">
                  <c:v>6.9</c:v>
                </c:pt>
                <c:pt idx="41">
                  <c:v>8.6999999999999993</c:v>
                </c:pt>
                <c:pt idx="42">
                  <c:v>6.2</c:v>
                </c:pt>
                <c:pt idx="43">
                  <c:v>5.0999999999999996</c:v>
                </c:pt>
                <c:pt idx="44">
                  <c:v>5.5</c:v>
                </c:pt>
                <c:pt idx="45">
                  <c:v>7.1</c:v>
                </c:pt>
                <c:pt idx="46">
                  <c:v>4.7</c:v>
                </c:pt>
                <c:pt idx="47">
                  <c:v>7.4</c:v>
                </c:pt>
                <c:pt idx="48">
                  <c:v>6.4</c:v>
                </c:pt>
                <c:pt idx="49">
                  <c:v>7</c:v>
                </c:pt>
              </c:numCache>
            </c:numRef>
          </c:xVal>
          <c:yVal>
            <c:numRef>
              <c:f>'Mult Reg 5B'!$B$25:$B$74</c:f>
              <c:numCache>
                <c:formatCode>General</c:formatCode>
                <c:ptCount val="50"/>
                <c:pt idx="0">
                  <c:v>15.420798633646458</c:v>
                </c:pt>
                <c:pt idx="1">
                  <c:v>12.81873543979505</c:v>
                </c:pt>
                <c:pt idx="2">
                  <c:v>12.199196584116144</c:v>
                </c:pt>
                <c:pt idx="3">
                  <c:v>14.80125977796755</c:v>
                </c:pt>
                <c:pt idx="4">
                  <c:v>10.464487788215205</c:v>
                </c:pt>
                <c:pt idx="5">
                  <c:v>11.331842186165673</c:v>
                </c:pt>
                <c:pt idx="6">
                  <c:v>11.951381041844581</c:v>
                </c:pt>
                <c:pt idx="7">
                  <c:v>14.55344423569599</c:v>
                </c:pt>
                <c:pt idx="8">
                  <c:v>13.314366524338174</c:v>
                </c:pt>
                <c:pt idx="9">
                  <c:v>14.305628693424424</c:v>
                </c:pt>
                <c:pt idx="10">
                  <c:v>11.207934415029893</c:v>
                </c:pt>
                <c:pt idx="11">
                  <c:v>12.694827668659268</c:v>
                </c:pt>
                <c:pt idx="12">
                  <c:v>13.314366524338174</c:v>
                </c:pt>
                <c:pt idx="13">
                  <c:v>14.181720922288644</c:v>
                </c:pt>
                <c:pt idx="14">
                  <c:v>10.588395559350985</c:v>
                </c:pt>
                <c:pt idx="15">
                  <c:v>13.066550982066612</c:v>
                </c:pt>
                <c:pt idx="16">
                  <c:v>13.562182066609738</c:v>
                </c:pt>
                <c:pt idx="17">
                  <c:v>16.535968573868487</c:v>
                </c:pt>
                <c:pt idx="18">
                  <c:v>12.075288812980361</c:v>
                </c:pt>
                <c:pt idx="19">
                  <c:v>14.181720922288644</c:v>
                </c:pt>
                <c:pt idx="20">
                  <c:v>10.216672245943641</c:v>
                </c:pt>
                <c:pt idx="21">
                  <c:v>13.438274295473956</c:v>
                </c:pt>
                <c:pt idx="22">
                  <c:v>10.712303330486767</c:v>
                </c:pt>
                <c:pt idx="23">
                  <c:v>17.403322971818959</c:v>
                </c:pt>
                <c:pt idx="24">
                  <c:v>13.438274295473956</c:v>
                </c:pt>
                <c:pt idx="25">
                  <c:v>11.455749957301455</c:v>
                </c:pt>
                <c:pt idx="26">
                  <c:v>11.207934415029893</c:v>
                </c:pt>
                <c:pt idx="27">
                  <c:v>12.199196584116144</c:v>
                </c:pt>
                <c:pt idx="28">
                  <c:v>11.827473270708799</c:v>
                </c:pt>
                <c:pt idx="29">
                  <c:v>11.084026643894111</c:v>
                </c:pt>
                <c:pt idx="30">
                  <c:v>11.455749957301455</c:v>
                </c:pt>
                <c:pt idx="31">
                  <c:v>11.207934415029893</c:v>
                </c:pt>
                <c:pt idx="32">
                  <c:v>14.305628693424424</c:v>
                </c:pt>
                <c:pt idx="33">
                  <c:v>11.455749957301455</c:v>
                </c:pt>
                <c:pt idx="34">
                  <c:v>13.933905380017082</c:v>
                </c:pt>
                <c:pt idx="35">
                  <c:v>14.181720922288644</c:v>
                </c:pt>
                <c:pt idx="36">
                  <c:v>11.084026643894111</c:v>
                </c:pt>
                <c:pt idx="37">
                  <c:v>13.686089837745518</c:v>
                </c:pt>
                <c:pt idx="38">
                  <c:v>11.827473270708799</c:v>
                </c:pt>
                <c:pt idx="39">
                  <c:v>14.67735200683177</c:v>
                </c:pt>
                <c:pt idx="40">
                  <c:v>12.81873543979505</c:v>
                </c:pt>
                <c:pt idx="41">
                  <c:v>15.049075320239112</c:v>
                </c:pt>
                <c:pt idx="42">
                  <c:v>11.951381041844581</c:v>
                </c:pt>
                <c:pt idx="43">
                  <c:v>10.588395559350985</c:v>
                </c:pt>
                <c:pt idx="44">
                  <c:v>11.084026643894111</c:v>
                </c:pt>
                <c:pt idx="45">
                  <c:v>13.066550982066612</c:v>
                </c:pt>
                <c:pt idx="46">
                  <c:v>10.092764474807861</c:v>
                </c:pt>
                <c:pt idx="47">
                  <c:v>13.438274295473956</c:v>
                </c:pt>
                <c:pt idx="48">
                  <c:v>12.199196584116144</c:v>
                </c:pt>
                <c:pt idx="49">
                  <c:v>12.94264321093083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BC-45CE-9C04-937BCB3B1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53168"/>
        <c:axId val="529955128"/>
      </c:scatterChart>
      <c:valAx>
        <c:axId val="529953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Infant Mort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29955128"/>
        <c:crosses val="autoZero"/>
        <c:crossBetween val="midCat"/>
      </c:valAx>
      <c:valAx>
        <c:axId val="529955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Poverty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53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5B'!$F$25:$F$74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37</c:v>
                </c:pt>
                <c:pt idx="19">
                  <c:v>39</c:v>
                </c:pt>
                <c:pt idx="20">
                  <c:v>41</c:v>
                </c:pt>
                <c:pt idx="21">
                  <c:v>43</c:v>
                </c:pt>
                <c:pt idx="22">
                  <c:v>45</c:v>
                </c:pt>
                <c:pt idx="23">
                  <c:v>47</c:v>
                </c:pt>
                <c:pt idx="24">
                  <c:v>49</c:v>
                </c:pt>
                <c:pt idx="25">
                  <c:v>51</c:v>
                </c:pt>
                <c:pt idx="26">
                  <c:v>53</c:v>
                </c:pt>
                <c:pt idx="27">
                  <c:v>55</c:v>
                </c:pt>
                <c:pt idx="28">
                  <c:v>57</c:v>
                </c:pt>
                <c:pt idx="29">
                  <c:v>59</c:v>
                </c:pt>
                <c:pt idx="30">
                  <c:v>61</c:v>
                </c:pt>
                <c:pt idx="31">
                  <c:v>63</c:v>
                </c:pt>
                <c:pt idx="32">
                  <c:v>65</c:v>
                </c:pt>
                <c:pt idx="33">
                  <c:v>67</c:v>
                </c:pt>
                <c:pt idx="34">
                  <c:v>69</c:v>
                </c:pt>
                <c:pt idx="35">
                  <c:v>71</c:v>
                </c:pt>
                <c:pt idx="36">
                  <c:v>73</c:v>
                </c:pt>
                <c:pt idx="37">
                  <c:v>75</c:v>
                </c:pt>
                <c:pt idx="38">
                  <c:v>77</c:v>
                </c:pt>
                <c:pt idx="39">
                  <c:v>79</c:v>
                </c:pt>
                <c:pt idx="40">
                  <c:v>81</c:v>
                </c:pt>
                <c:pt idx="41">
                  <c:v>83</c:v>
                </c:pt>
                <c:pt idx="42">
                  <c:v>85</c:v>
                </c:pt>
                <c:pt idx="43">
                  <c:v>87</c:v>
                </c:pt>
                <c:pt idx="44">
                  <c:v>89</c:v>
                </c:pt>
                <c:pt idx="45">
                  <c:v>91</c:v>
                </c:pt>
                <c:pt idx="46">
                  <c:v>93</c:v>
                </c:pt>
                <c:pt idx="47">
                  <c:v>95</c:v>
                </c:pt>
                <c:pt idx="48">
                  <c:v>97</c:v>
                </c:pt>
                <c:pt idx="49">
                  <c:v>99</c:v>
                </c:pt>
              </c:numCache>
            </c:numRef>
          </c:xVal>
          <c:yVal>
            <c:numRef>
              <c:f>'Mult Reg 5B'!$G$25:$G$74</c:f>
              <c:numCache>
                <c:formatCode>General</c:formatCode>
                <c:ptCount val="50"/>
                <c:pt idx="0">
                  <c:v>7.6</c:v>
                </c:pt>
                <c:pt idx="1">
                  <c:v>8.1</c:v>
                </c:pt>
                <c:pt idx="2">
                  <c:v>8.4</c:v>
                </c:pt>
                <c:pt idx="3">
                  <c:v>8.6999999999999993</c:v>
                </c:pt>
                <c:pt idx="4">
                  <c:v>9.1</c:v>
                </c:pt>
                <c:pt idx="5">
                  <c:v>9.3000000000000007</c:v>
                </c:pt>
                <c:pt idx="6">
                  <c:v>9.4</c:v>
                </c:pt>
                <c:pt idx="7">
                  <c:v>9.6</c:v>
                </c:pt>
                <c:pt idx="8">
                  <c:v>9.6</c:v>
                </c:pt>
                <c:pt idx="9">
                  <c:v>10</c:v>
                </c:pt>
                <c:pt idx="10">
                  <c:v>10</c:v>
                </c:pt>
                <c:pt idx="11">
                  <c:v>10.199999999999999</c:v>
                </c:pt>
                <c:pt idx="12">
                  <c:v>10.4</c:v>
                </c:pt>
                <c:pt idx="13">
                  <c:v>10.6</c:v>
                </c:pt>
                <c:pt idx="14">
                  <c:v>10.8</c:v>
                </c:pt>
                <c:pt idx="15">
                  <c:v>11.3</c:v>
                </c:pt>
                <c:pt idx="16">
                  <c:v>11.3</c:v>
                </c:pt>
                <c:pt idx="17">
                  <c:v>11.3</c:v>
                </c:pt>
                <c:pt idx="18">
                  <c:v>11.4</c:v>
                </c:pt>
                <c:pt idx="19">
                  <c:v>11.5</c:v>
                </c:pt>
                <c:pt idx="20">
                  <c:v>11.7</c:v>
                </c:pt>
                <c:pt idx="21">
                  <c:v>12</c:v>
                </c:pt>
                <c:pt idx="22">
                  <c:v>12.1</c:v>
                </c:pt>
                <c:pt idx="23">
                  <c:v>12.2</c:v>
                </c:pt>
                <c:pt idx="24">
                  <c:v>12.3</c:v>
                </c:pt>
                <c:pt idx="25">
                  <c:v>12.5</c:v>
                </c:pt>
                <c:pt idx="26">
                  <c:v>12.6</c:v>
                </c:pt>
                <c:pt idx="27">
                  <c:v>13.1</c:v>
                </c:pt>
                <c:pt idx="28">
                  <c:v>13.2</c:v>
                </c:pt>
                <c:pt idx="29">
                  <c:v>13.3</c:v>
                </c:pt>
                <c:pt idx="30">
                  <c:v>13.4</c:v>
                </c:pt>
                <c:pt idx="31">
                  <c:v>13.4</c:v>
                </c:pt>
                <c:pt idx="32">
                  <c:v>13.6</c:v>
                </c:pt>
                <c:pt idx="33">
                  <c:v>13.6</c:v>
                </c:pt>
                <c:pt idx="34">
                  <c:v>14.4</c:v>
                </c:pt>
                <c:pt idx="35">
                  <c:v>14.6</c:v>
                </c:pt>
                <c:pt idx="36">
                  <c:v>14.7</c:v>
                </c:pt>
                <c:pt idx="37">
                  <c:v>14.7</c:v>
                </c:pt>
                <c:pt idx="38">
                  <c:v>14.8</c:v>
                </c:pt>
                <c:pt idx="39">
                  <c:v>15.5</c:v>
                </c:pt>
                <c:pt idx="40">
                  <c:v>15.7</c:v>
                </c:pt>
                <c:pt idx="41">
                  <c:v>15.7</c:v>
                </c:pt>
                <c:pt idx="42">
                  <c:v>15.8</c:v>
                </c:pt>
                <c:pt idx="43">
                  <c:v>15.9</c:v>
                </c:pt>
                <c:pt idx="44">
                  <c:v>17</c:v>
                </c:pt>
                <c:pt idx="45">
                  <c:v>17.100000000000001</c:v>
                </c:pt>
                <c:pt idx="46">
                  <c:v>17.3</c:v>
                </c:pt>
                <c:pt idx="47">
                  <c:v>17.3</c:v>
                </c:pt>
                <c:pt idx="48">
                  <c:v>17.3</c:v>
                </c:pt>
                <c:pt idx="49">
                  <c:v>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2-413D-B203-FAE42BA7C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51992"/>
        <c:axId val="529950424"/>
      </c:scatterChart>
      <c:valAx>
        <c:axId val="529951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50424"/>
        <c:crosses val="autoZero"/>
        <c:crossBetween val="midCat"/>
      </c:valAx>
      <c:valAx>
        <c:axId val="529950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Poverty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519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Color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5'!$A$4:$A$14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9</c:v>
                </c:pt>
              </c:numCache>
            </c:numRef>
          </c:xVal>
          <c:yVal>
            <c:numRef>
              <c:f>'Mult Reg 5C'!$C$26:$C$36</c:f>
              <c:numCache>
                <c:formatCode>General</c:formatCode>
                <c:ptCount val="11"/>
                <c:pt idx="0">
                  <c:v>10.18950037517142</c:v>
                </c:pt>
                <c:pt idx="1">
                  <c:v>-4.7461771326554327</c:v>
                </c:pt>
                <c:pt idx="2">
                  <c:v>-5.2951693446143437</c:v>
                </c:pt>
                <c:pt idx="3">
                  <c:v>-6.6721260575952854</c:v>
                </c:pt>
                <c:pt idx="4">
                  <c:v>-2.0842453879789957</c:v>
                </c:pt>
                <c:pt idx="5">
                  <c:v>1.7384925871303238</c:v>
                </c:pt>
                <c:pt idx="6">
                  <c:v>3.6674428833863679</c:v>
                </c:pt>
                <c:pt idx="7">
                  <c:v>-1.0924732852078947</c:v>
                </c:pt>
                <c:pt idx="8">
                  <c:v>3.7773810447877167</c:v>
                </c:pt>
                <c:pt idx="9">
                  <c:v>4.843204222618958</c:v>
                </c:pt>
                <c:pt idx="10">
                  <c:v>-4.3258299050428306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20-4902-BE20-7677A4546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52384"/>
        <c:axId val="529953952"/>
      </c:scatterChart>
      <c:valAx>
        <c:axId val="529952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Color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53952"/>
        <c:crosses val="autoZero"/>
        <c:crossBetween val="midCat"/>
      </c:valAx>
      <c:valAx>
        <c:axId val="529953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52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Quality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5'!$B$4:$B$14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'Mult Reg 5C'!$C$26:$C$36</c:f>
              <c:numCache>
                <c:formatCode>General</c:formatCode>
                <c:ptCount val="11"/>
                <c:pt idx="0">
                  <c:v>10.18950037517142</c:v>
                </c:pt>
                <c:pt idx="1">
                  <c:v>-4.7461771326554327</c:v>
                </c:pt>
                <c:pt idx="2">
                  <c:v>-5.2951693446143437</c:v>
                </c:pt>
                <c:pt idx="3">
                  <c:v>-6.6721260575952854</c:v>
                </c:pt>
                <c:pt idx="4">
                  <c:v>-2.0842453879789957</c:v>
                </c:pt>
                <c:pt idx="5">
                  <c:v>1.7384925871303238</c:v>
                </c:pt>
                <c:pt idx="6">
                  <c:v>3.6674428833863679</c:v>
                </c:pt>
                <c:pt idx="7">
                  <c:v>-1.0924732852078947</c:v>
                </c:pt>
                <c:pt idx="8">
                  <c:v>3.7773810447877167</c:v>
                </c:pt>
                <c:pt idx="9">
                  <c:v>4.843204222618958</c:v>
                </c:pt>
                <c:pt idx="10">
                  <c:v>-4.3258299050428306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CA-4019-8BE7-239C5C1B7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42976"/>
        <c:axId val="529950816"/>
      </c:scatterChart>
      <c:valAx>
        <c:axId val="52994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Quality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50816"/>
        <c:crosses val="autoZero"/>
        <c:crossBetween val="midCat"/>
      </c:valAx>
      <c:valAx>
        <c:axId val="529950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429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Color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</c:v>
          </c:tx>
          <c:spPr>
            <a:ln w="28575">
              <a:noFill/>
            </a:ln>
          </c:spPr>
          <c:xVal>
            <c:numRef>
              <c:f>'Mult Reg 5'!$A$4:$A$14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9</c:v>
                </c:pt>
              </c:numCache>
            </c:numRef>
          </c:xVal>
          <c:yVal>
            <c:numRef>
              <c:f>'Mult Reg 5'!$C$4:$C$14</c:f>
              <c:numCache>
                <c:formatCode>General</c:formatCode>
                <c:ptCount val="11"/>
                <c:pt idx="0">
                  <c:v>65</c:v>
                </c:pt>
                <c:pt idx="1">
                  <c:v>38</c:v>
                </c:pt>
                <c:pt idx="2">
                  <c:v>51</c:v>
                </c:pt>
                <c:pt idx="3">
                  <c:v>38</c:v>
                </c:pt>
                <c:pt idx="4">
                  <c:v>55</c:v>
                </c:pt>
                <c:pt idx="5">
                  <c:v>43</c:v>
                </c:pt>
                <c:pt idx="6">
                  <c:v>25</c:v>
                </c:pt>
                <c:pt idx="7">
                  <c:v>33</c:v>
                </c:pt>
                <c:pt idx="8">
                  <c:v>71</c:v>
                </c:pt>
                <c:pt idx="9">
                  <c:v>51</c:v>
                </c:pt>
                <c:pt idx="10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F2-40DF-ABC8-BC5E3C8E21EB}"/>
            </c:ext>
          </c:extLst>
        </c:ser>
        <c:ser>
          <c:idx val="1"/>
          <c:order val="1"/>
          <c:tx>
            <c:v>Predicted Price</c:v>
          </c:tx>
          <c:spPr>
            <a:ln w="28575">
              <a:noFill/>
            </a:ln>
          </c:spPr>
          <c:xVal>
            <c:numRef>
              <c:f>'Mult Reg 5'!$A$4:$A$14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9</c:v>
                </c:pt>
              </c:numCache>
            </c:numRef>
          </c:xVal>
          <c:yVal>
            <c:numRef>
              <c:f>'Mult Reg 5C'!$B$26:$B$36</c:f>
              <c:numCache>
                <c:formatCode>General</c:formatCode>
                <c:ptCount val="11"/>
                <c:pt idx="0">
                  <c:v>54.81049962482858</c:v>
                </c:pt>
                <c:pt idx="1">
                  <c:v>42.746177132655433</c:v>
                </c:pt>
                <c:pt idx="2">
                  <c:v>56.295169344614344</c:v>
                </c:pt>
                <c:pt idx="3">
                  <c:v>44.672126057595285</c:v>
                </c:pt>
                <c:pt idx="4">
                  <c:v>57.084245387978996</c:v>
                </c:pt>
                <c:pt idx="5">
                  <c:v>41.261507412869676</c:v>
                </c:pt>
                <c:pt idx="6">
                  <c:v>21.332557116613632</c:v>
                </c:pt>
                <c:pt idx="7">
                  <c:v>34.092473285207895</c:v>
                </c:pt>
                <c:pt idx="8">
                  <c:v>67.222618955212283</c:v>
                </c:pt>
                <c:pt idx="9">
                  <c:v>46.156795777381042</c:v>
                </c:pt>
                <c:pt idx="10">
                  <c:v>53.325829905042831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F2-40DF-ABC8-BC5E3C8E2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49640"/>
        <c:axId val="529944152"/>
      </c:scatterChart>
      <c:valAx>
        <c:axId val="529949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Color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44152"/>
        <c:crosses val="autoZero"/>
        <c:crossBetween val="midCat"/>
      </c:valAx>
      <c:valAx>
        <c:axId val="5299441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496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Quality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</c:v>
          </c:tx>
          <c:spPr>
            <a:ln w="28575">
              <a:noFill/>
            </a:ln>
          </c:spPr>
          <c:xVal>
            <c:numRef>
              <c:f>'Mult Reg 5'!$B$4:$B$14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'Mult Reg 5'!$C$4:$C$14</c:f>
              <c:numCache>
                <c:formatCode>General</c:formatCode>
                <c:ptCount val="11"/>
                <c:pt idx="0">
                  <c:v>65</c:v>
                </c:pt>
                <c:pt idx="1">
                  <c:v>38</c:v>
                </c:pt>
                <c:pt idx="2">
                  <c:v>51</c:v>
                </c:pt>
                <c:pt idx="3">
                  <c:v>38</c:v>
                </c:pt>
                <c:pt idx="4">
                  <c:v>55</c:v>
                </c:pt>
                <c:pt idx="5">
                  <c:v>43</c:v>
                </c:pt>
                <c:pt idx="6">
                  <c:v>25</c:v>
                </c:pt>
                <c:pt idx="7">
                  <c:v>33</c:v>
                </c:pt>
                <c:pt idx="8">
                  <c:v>71</c:v>
                </c:pt>
                <c:pt idx="9">
                  <c:v>51</c:v>
                </c:pt>
                <c:pt idx="10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57-4047-9A4F-F1C09135918A}"/>
            </c:ext>
          </c:extLst>
        </c:ser>
        <c:ser>
          <c:idx val="1"/>
          <c:order val="1"/>
          <c:tx>
            <c:v>Predicted Price</c:v>
          </c:tx>
          <c:spPr>
            <a:ln w="28575">
              <a:noFill/>
            </a:ln>
          </c:spPr>
          <c:xVal>
            <c:numRef>
              <c:f>'Mult Reg 5'!$B$4:$B$14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'Mult Reg 5C'!$B$26:$B$36</c:f>
              <c:numCache>
                <c:formatCode>General</c:formatCode>
                <c:ptCount val="11"/>
                <c:pt idx="0">
                  <c:v>54.81049962482858</c:v>
                </c:pt>
                <c:pt idx="1">
                  <c:v>42.746177132655433</c:v>
                </c:pt>
                <c:pt idx="2">
                  <c:v>56.295169344614344</c:v>
                </c:pt>
                <c:pt idx="3">
                  <c:v>44.672126057595285</c:v>
                </c:pt>
                <c:pt idx="4">
                  <c:v>57.084245387978996</c:v>
                </c:pt>
                <c:pt idx="5">
                  <c:v>41.261507412869676</c:v>
                </c:pt>
                <c:pt idx="6">
                  <c:v>21.332557116613632</c:v>
                </c:pt>
                <c:pt idx="7">
                  <c:v>34.092473285207895</c:v>
                </c:pt>
                <c:pt idx="8">
                  <c:v>67.222618955212283</c:v>
                </c:pt>
                <c:pt idx="9">
                  <c:v>46.156795777381042</c:v>
                </c:pt>
                <c:pt idx="10">
                  <c:v>53.325829905042831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57-4047-9A4F-F1C091359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44936"/>
        <c:axId val="529945720"/>
      </c:scatterChart>
      <c:valAx>
        <c:axId val="529944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Quality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45720"/>
        <c:crosses val="autoZero"/>
        <c:crossBetween val="midCat"/>
      </c:valAx>
      <c:valAx>
        <c:axId val="529945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449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5C'!$F$26:$F$36</c:f>
              <c:numCache>
                <c:formatCode>General</c:formatCode>
                <c:ptCount val="11"/>
                <c:pt idx="0">
                  <c:v>4.5454545454545459</c:v>
                </c:pt>
                <c:pt idx="1">
                  <c:v>13.636363636363637</c:v>
                </c:pt>
                <c:pt idx="2">
                  <c:v>22.72727272727273</c:v>
                </c:pt>
                <c:pt idx="3">
                  <c:v>31.81818181818182</c:v>
                </c:pt>
                <c:pt idx="4">
                  <c:v>40.909090909090914</c:v>
                </c:pt>
                <c:pt idx="5">
                  <c:v>50.000000000000007</c:v>
                </c:pt>
                <c:pt idx="6">
                  <c:v>59.090909090909093</c:v>
                </c:pt>
                <c:pt idx="7">
                  <c:v>68.181818181818187</c:v>
                </c:pt>
                <c:pt idx="8">
                  <c:v>77.27272727272728</c:v>
                </c:pt>
                <c:pt idx="9">
                  <c:v>86.363636363636374</c:v>
                </c:pt>
                <c:pt idx="10">
                  <c:v>95.454545454545467</c:v>
                </c:pt>
              </c:numCache>
            </c:numRef>
          </c:xVal>
          <c:yVal>
            <c:numRef>
              <c:f>'Mult Reg 5C'!$G$26:$G$36</c:f>
              <c:numCache>
                <c:formatCode>General</c:formatCode>
                <c:ptCount val="11"/>
                <c:pt idx="0">
                  <c:v>25</c:v>
                </c:pt>
                <c:pt idx="1">
                  <c:v>33</c:v>
                </c:pt>
                <c:pt idx="2">
                  <c:v>38</c:v>
                </c:pt>
                <c:pt idx="3">
                  <c:v>38</c:v>
                </c:pt>
                <c:pt idx="4">
                  <c:v>43</c:v>
                </c:pt>
                <c:pt idx="5">
                  <c:v>49</c:v>
                </c:pt>
                <c:pt idx="6">
                  <c:v>51</c:v>
                </c:pt>
                <c:pt idx="7">
                  <c:v>51</c:v>
                </c:pt>
                <c:pt idx="8">
                  <c:v>55</c:v>
                </c:pt>
                <c:pt idx="9">
                  <c:v>65</c:v>
                </c:pt>
                <c:pt idx="10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EC-45C1-B8CB-1C66C4F40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57872"/>
        <c:axId val="529956304"/>
      </c:scatterChart>
      <c:valAx>
        <c:axId val="529957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56304"/>
        <c:crosses val="autoZero"/>
        <c:crossBetween val="midCat"/>
      </c:valAx>
      <c:valAx>
        <c:axId val="529956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57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6'!$J$26:$J$36</c:f>
              <c:numCache>
                <c:formatCode>General</c:formatCode>
                <c:ptCount val="11"/>
                <c:pt idx="0">
                  <c:v>4.5454545454545459</c:v>
                </c:pt>
                <c:pt idx="1">
                  <c:v>13.636363636363637</c:v>
                </c:pt>
                <c:pt idx="2">
                  <c:v>22.727272727272727</c:v>
                </c:pt>
                <c:pt idx="3">
                  <c:v>31.81818181818182</c:v>
                </c:pt>
                <c:pt idx="4">
                  <c:v>40.909090909090914</c:v>
                </c:pt>
                <c:pt idx="5">
                  <c:v>50.000000000000007</c:v>
                </c:pt>
                <c:pt idx="6">
                  <c:v>59.090909090909101</c:v>
                </c:pt>
                <c:pt idx="7">
                  <c:v>68.181818181818187</c:v>
                </c:pt>
                <c:pt idx="8">
                  <c:v>77.27272727272728</c:v>
                </c:pt>
                <c:pt idx="9">
                  <c:v>86.363636363636374</c:v>
                </c:pt>
                <c:pt idx="10">
                  <c:v>95.454545454545467</c:v>
                </c:pt>
              </c:numCache>
            </c:numRef>
          </c:xVal>
          <c:yVal>
            <c:numRef>
              <c:f>'Mult Reg 6'!$K$26:$K$36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14-4E1A-940E-C7F915FA1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55912"/>
        <c:axId val="529958264"/>
      </c:scatterChart>
      <c:valAx>
        <c:axId val="529955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58264"/>
        <c:crosses val="autoZero"/>
        <c:crossBetween val="midCat"/>
      </c:valAx>
      <c:valAx>
        <c:axId val="5299582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55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Color Residuals</a:t>
            </a:r>
          </a:p>
        </c:rich>
      </c:tx>
      <c:layout>
        <c:manualLayout>
          <c:xMode val="edge"/>
          <c:yMode val="edge"/>
          <c:x val="0.39397922134733154"/>
          <c:y val="3.7037037037037035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'Mult Reg 6'!$G$41</c:f>
              <c:strCache>
                <c:ptCount val="1"/>
                <c:pt idx="0">
                  <c:v>Residuals</c:v>
                </c:pt>
              </c:strCache>
            </c:strRef>
          </c:tx>
          <c:spPr>
            <a:ln w="28575">
              <a:noFill/>
            </a:ln>
          </c:spPr>
          <c:xVal>
            <c:numRef>
              <c:f>'Mult Reg 6'!$F$42:$F$52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9</c:v>
                </c:pt>
              </c:numCache>
            </c:numRef>
          </c:xVal>
          <c:yVal>
            <c:numRef>
              <c:f>'Mult Reg 6'!$G$42:$G$52</c:f>
              <c:numCache>
                <c:formatCode>General</c:formatCode>
                <c:ptCount val="11"/>
                <c:pt idx="0">
                  <c:v>10.189500375171463</c:v>
                </c:pt>
                <c:pt idx="1">
                  <c:v>-4.7461771326554327</c:v>
                </c:pt>
                <c:pt idx="2">
                  <c:v>-5.2951693446143224</c:v>
                </c:pt>
                <c:pt idx="3">
                  <c:v>-6.6721260575952073</c:v>
                </c:pt>
                <c:pt idx="4">
                  <c:v>-2.0842453879789105</c:v>
                </c:pt>
                <c:pt idx="5">
                  <c:v>1.7384925871303665</c:v>
                </c:pt>
                <c:pt idx="6">
                  <c:v>3.6674428833864141</c:v>
                </c:pt>
                <c:pt idx="7">
                  <c:v>-1.0924732852078947</c:v>
                </c:pt>
                <c:pt idx="8">
                  <c:v>3.7773810447877594</c:v>
                </c:pt>
                <c:pt idx="9">
                  <c:v>4.8432042226190006</c:v>
                </c:pt>
                <c:pt idx="10">
                  <c:v>-4.3258299050427382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56-4D03-A7C2-B674BC618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57088"/>
        <c:axId val="529955520"/>
      </c:scatterChart>
      <c:valAx>
        <c:axId val="52995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Color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55520"/>
        <c:crosses val="autoZero"/>
        <c:crossBetween val="midCat"/>
      </c:valAx>
      <c:valAx>
        <c:axId val="529955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9570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Quality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'Mult Reg 6'!$I$42:$I$52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'Mult Reg 6'!$J$42:$J$52</c:f>
              <c:numCache>
                <c:formatCode>General</c:formatCode>
                <c:ptCount val="11"/>
                <c:pt idx="0">
                  <c:v>10.189500375171463</c:v>
                </c:pt>
                <c:pt idx="1">
                  <c:v>-4.7461771326554327</c:v>
                </c:pt>
                <c:pt idx="2">
                  <c:v>-5.2951693446143224</c:v>
                </c:pt>
                <c:pt idx="3">
                  <c:v>-6.6721260575952073</c:v>
                </c:pt>
                <c:pt idx="4">
                  <c:v>-2.0842453879789105</c:v>
                </c:pt>
                <c:pt idx="5">
                  <c:v>1.7384925871303665</c:v>
                </c:pt>
                <c:pt idx="6">
                  <c:v>3.6674428833864141</c:v>
                </c:pt>
                <c:pt idx="7">
                  <c:v>-1.0924732852078947</c:v>
                </c:pt>
                <c:pt idx="8">
                  <c:v>3.7773810447877594</c:v>
                </c:pt>
                <c:pt idx="9">
                  <c:v>4.8432042226190006</c:v>
                </c:pt>
                <c:pt idx="10">
                  <c:v>-4.3258299050427382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23-4226-A935-E6B796217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45744"/>
        <c:axId val="428339472"/>
      </c:scatterChart>
      <c:valAx>
        <c:axId val="428345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Quality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39472"/>
        <c:crosses val="autoZero"/>
        <c:crossBetween val="midCat"/>
      </c:valAx>
      <c:valAx>
        <c:axId val="428339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57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QQ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'Mult Reg 6'!$AD$30:$AD$40</c:f>
              <c:numCache>
                <c:formatCode>General</c:formatCode>
                <c:ptCount val="11"/>
                <c:pt idx="0">
                  <c:v>25</c:v>
                </c:pt>
                <c:pt idx="1">
                  <c:v>33</c:v>
                </c:pt>
                <c:pt idx="2">
                  <c:v>38</c:v>
                </c:pt>
                <c:pt idx="3">
                  <c:v>38</c:v>
                </c:pt>
                <c:pt idx="4">
                  <c:v>43</c:v>
                </c:pt>
                <c:pt idx="5">
                  <c:v>49</c:v>
                </c:pt>
                <c:pt idx="6">
                  <c:v>51</c:v>
                </c:pt>
                <c:pt idx="7">
                  <c:v>51</c:v>
                </c:pt>
                <c:pt idx="8">
                  <c:v>55</c:v>
                </c:pt>
                <c:pt idx="9">
                  <c:v>65</c:v>
                </c:pt>
                <c:pt idx="10">
                  <c:v>71</c:v>
                </c:pt>
              </c:numCache>
            </c:numRef>
          </c:xVal>
          <c:yVal>
            <c:numRef>
              <c:f>'Mult Reg 6'!$AE$30:$AE$40</c:f>
              <c:numCache>
                <c:formatCode>General</c:formatCode>
                <c:ptCount val="11"/>
                <c:pt idx="0">
                  <c:v>-1.6906216295848977</c:v>
                </c:pt>
                <c:pt idx="1">
                  <c:v>-1.096803562093513</c:v>
                </c:pt>
                <c:pt idx="2">
                  <c:v>-0.74785859476330196</c:v>
                </c:pt>
                <c:pt idx="3">
                  <c:v>-0.47278912099226744</c:v>
                </c:pt>
                <c:pt idx="4">
                  <c:v>-0.22988411757923208</c:v>
                </c:pt>
                <c:pt idx="5">
                  <c:v>0</c:v>
                </c:pt>
                <c:pt idx="6">
                  <c:v>0.22988411757923222</c:v>
                </c:pt>
                <c:pt idx="7">
                  <c:v>0.47278912099226728</c:v>
                </c:pt>
                <c:pt idx="8">
                  <c:v>0.74785859476330196</c:v>
                </c:pt>
                <c:pt idx="9">
                  <c:v>1.096803562093513</c:v>
                </c:pt>
                <c:pt idx="10">
                  <c:v>1.6906216295848984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F-4604-9CD0-FBC5E6DE3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35552"/>
        <c:axId val="428336336"/>
      </c:scatterChart>
      <c:valAx>
        <c:axId val="428335552"/>
        <c:scaling>
          <c:orientation val="minMax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36336"/>
        <c:crosses val="autoZero"/>
        <c:crossBetween val="midCat"/>
      </c:valAx>
      <c:valAx>
        <c:axId val="4283363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Std Normal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35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Revised QQ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'Mult Reg 6'!$AP$30:$AP$40</c:f>
              <c:numCache>
                <c:formatCode>General</c:formatCode>
                <c:ptCount val="11"/>
                <c:pt idx="0">
                  <c:v>-1.6906216295848977</c:v>
                </c:pt>
                <c:pt idx="1">
                  <c:v>-1.096803562093513</c:v>
                </c:pt>
                <c:pt idx="2">
                  <c:v>-0.74785859476330196</c:v>
                </c:pt>
                <c:pt idx="3">
                  <c:v>-0.47278912099226744</c:v>
                </c:pt>
                <c:pt idx="4">
                  <c:v>-0.22988411757923208</c:v>
                </c:pt>
                <c:pt idx="5">
                  <c:v>0</c:v>
                </c:pt>
                <c:pt idx="6">
                  <c:v>0.22988411757923222</c:v>
                </c:pt>
                <c:pt idx="7">
                  <c:v>0.47278912099226728</c:v>
                </c:pt>
                <c:pt idx="8">
                  <c:v>0.74785859476330196</c:v>
                </c:pt>
                <c:pt idx="9">
                  <c:v>1.096803562093513</c:v>
                </c:pt>
                <c:pt idx="10">
                  <c:v>1.6906216295848984</c:v>
                </c:pt>
              </c:numCache>
            </c:numRef>
          </c:xVal>
          <c:yVal>
            <c:numRef>
              <c:f>'Mult Reg 6'!$AQ$30:$AQ$40</c:f>
              <c:numCache>
                <c:formatCode>General</c:formatCode>
                <c:ptCount val="11"/>
                <c:pt idx="0">
                  <c:v>25</c:v>
                </c:pt>
                <c:pt idx="1">
                  <c:v>33</c:v>
                </c:pt>
                <c:pt idx="2">
                  <c:v>38</c:v>
                </c:pt>
                <c:pt idx="3">
                  <c:v>38</c:v>
                </c:pt>
                <c:pt idx="4">
                  <c:v>43</c:v>
                </c:pt>
                <c:pt idx="5">
                  <c:v>49</c:v>
                </c:pt>
                <c:pt idx="6">
                  <c:v>51</c:v>
                </c:pt>
                <c:pt idx="7">
                  <c:v>51</c:v>
                </c:pt>
                <c:pt idx="8">
                  <c:v>55</c:v>
                </c:pt>
                <c:pt idx="9">
                  <c:v>65</c:v>
                </c:pt>
                <c:pt idx="10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74-4EA4-A4BC-70AB48DDE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43000"/>
        <c:axId val="428339864"/>
      </c:scatterChart>
      <c:valAx>
        <c:axId val="428343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Standard Normal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39864"/>
        <c:crosses val="autoZero"/>
        <c:crossBetween val="midCat"/>
      </c:valAx>
      <c:valAx>
        <c:axId val="428339864"/>
        <c:scaling>
          <c:orientation val="minMax"/>
          <c:min val="2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30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Color Line Fit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'Mult Reg 6'!$G$57</c:f>
              <c:strCache>
                <c:ptCount val="1"/>
                <c:pt idx="0">
                  <c:v>Price</c:v>
                </c:pt>
              </c:strCache>
            </c:strRef>
          </c:tx>
          <c:spPr>
            <a:ln w="28575">
              <a:noFill/>
            </a:ln>
          </c:spPr>
          <c:xVal>
            <c:numRef>
              <c:f>'Mult Reg 6'!$F$58:$F$68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9</c:v>
                </c:pt>
              </c:numCache>
            </c:numRef>
          </c:xVal>
          <c:yVal>
            <c:numRef>
              <c:f>'Mult Reg 6'!$G$58:$G$68</c:f>
              <c:numCache>
                <c:formatCode>General</c:formatCode>
                <c:ptCount val="11"/>
                <c:pt idx="0">
                  <c:v>65</c:v>
                </c:pt>
                <c:pt idx="1">
                  <c:v>38</c:v>
                </c:pt>
                <c:pt idx="2">
                  <c:v>51</c:v>
                </c:pt>
                <c:pt idx="3">
                  <c:v>38</c:v>
                </c:pt>
                <c:pt idx="4">
                  <c:v>55</c:v>
                </c:pt>
                <c:pt idx="5">
                  <c:v>43</c:v>
                </c:pt>
                <c:pt idx="6">
                  <c:v>25</c:v>
                </c:pt>
                <c:pt idx="7">
                  <c:v>33</c:v>
                </c:pt>
                <c:pt idx="8">
                  <c:v>71</c:v>
                </c:pt>
                <c:pt idx="9">
                  <c:v>51</c:v>
                </c:pt>
                <c:pt idx="10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B7-4640-AD41-4B5AF73F91B1}"/>
            </c:ext>
          </c:extLst>
        </c:ser>
        <c:ser>
          <c:idx val="1"/>
          <c:order val="1"/>
          <c:tx>
            <c:strRef>
              <c:f>'Mult Reg 6'!$H$57</c:f>
              <c:strCache>
                <c:ptCount val="1"/>
                <c:pt idx="0">
                  <c:v>Pred Price</c:v>
                </c:pt>
              </c:strCache>
            </c:strRef>
          </c:tx>
          <c:spPr>
            <a:ln w="28575">
              <a:noFill/>
            </a:ln>
          </c:spPr>
          <c:xVal>
            <c:numRef>
              <c:f>'Mult Reg 6'!$F$58:$F$68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9</c:v>
                </c:pt>
              </c:numCache>
            </c:numRef>
          </c:xVal>
          <c:yVal>
            <c:numRef>
              <c:f>'Mult Reg 6'!$H$58:$H$68</c:f>
              <c:numCache>
                <c:formatCode>General</c:formatCode>
                <c:ptCount val="11"/>
                <c:pt idx="0">
                  <c:v>54.810499624828537</c:v>
                </c:pt>
                <c:pt idx="1">
                  <c:v>42.746177132655433</c:v>
                </c:pt>
                <c:pt idx="2">
                  <c:v>56.295169344614322</c:v>
                </c:pt>
                <c:pt idx="3">
                  <c:v>44.672126057595207</c:v>
                </c:pt>
                <c:pt idx="4">
                  <c:v>57.08424538797891</c:v>
                </c:pt>
                <c:pt idx="5">
                  <c:v>41.261507412869634</c:v>
                </c:pt>
                <c:pt idx="6">
                  <c:v>21.332557116613586</c:v>
                </c:pt>
                <c:pt idx="7">
                  <c:v>34.092473285207895</c:v>
                </c:pt>
                <c:pt idx="8">
                  <c:v>67.222618955212241</c:v>
                </c:pt>
                <c:pt idx="9">
                  <c:v>46.156795777380999</c:v>
                </c:pt>
                <c:pt idx="10">
                  <c:v>53.325829905042738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B7-4640-AD41-4B5AF73F9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46920"/>
        <c:axId val="428346136"/>
      </c:scatterChart>
      <c:valAx>
        <c:axId val="428346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Color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6136"/>
        <c:crosses val="autoZero"/>
        <c:crossBetween val="midCat"/>
      </c:valAx>
      <c:valAx>
        <c:axId val="4283461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69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Quality Line Fit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'Mult Reg 6'!$K$57</c:f>
              <c:strCache>
                <c:ptCount val="1"/>
                <c:pt idx="0">
                  <c:v>Price</c:v>
                </c:pt>
              </c:strCache>
            </c:strRef>
          </c:tx>
          <c:spPr>
            <a:ln w="28575">
              <a:noFill/>
            </a:ln>
          </c:spPr>
          <c:xVal>
            <c:numRef>
              <c:f>'Mult Reg 6'!$J$58:$J$68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'Mult Reg 6'!$K$58:$K$68</c:f>
              <c:numCache>
                <c:formatCode>General</c:formatCode>
                <c:ptCount val="11"/>
                <c:pt idx="0">
                  <c:v>65</c:v>
                </c:pt>
                <c:pt idx="1">
                  <c:v>38</c:v>
                </c:pt>
                <c:pt idx="2">
                  <c:v>51</c:v>
                </c:pt>
                <c:pt idx="3">
                  <c:v>38</c:v>
                </c:pt>
                <c:pt idx="4">
                  <c:v>55</c:v>
                </c:pt>
                <c:pt idx="5">
                  <c:v>43</c:v>
                </c:pt>
                <c:pt idx="6">
                  <c:v>25</c:v>
                </c:pt>
                <c:pt idx="7">
                  <c:v>33</c:v>
                </c:pt>
                <c:pt idx="8">
                  <c:v>71</c:v>
                </c:pt>
                <c:pt idx="9">
                  <c:v>51</c:v>
                </c:pt>
                <c:pt idx="10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1E-4950-9845-4A97A4CD348C}"/>
            </c:ext>
          </c:extLst>
        </c:ser>
        <c:ser>
          <c:idx val="1"/>
          <c:order val="1"/>
          <c:tx>
            <c:strRef>
              <c:f>'Mult Reg 6'!$L$57</c:f>
              <c:strCache>
                <c:ptCount val="1"/>
                <c:pt idx="0">
                  <c:v>Pred Price</c:v>
                </c:pt>
              </c:strCache>
            </c:strRef>
          </c:tx>
          <c:spPr>
            <a:ln w="28575">
              <a:noFill/>
            </a:ln>
          </c:spPr>
          <c:xVal>
            <c:numRef>
              <c:f>'Mult Reg 6'!$J$58:$J$68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'Mult Reg 6'!$L$58:$L$68</c:f>
              <c:numCache>
                <c:formatCode>General</c:formatCode>
                <c:ptCount val="11"/>
                <c:pt idx="0">
                  <c:v>54.810499624828537</c:v>
                </c:pt>
                <c:pt idx="1">
                  <c:v>42.746177132655433</c:v>
                </c:pt>
                <c:pt idx="2">
                  <c:v>56.295169344614322</c:v>
                </c:pt>
                <c:pt idx="3">
                  <c:v>44.672126057595207</c:v>
                </c:pt>
                <c:pt idx="4">
                  <c:v>57.08424538797891</c:v>
                </c:pt>
                <c:pt idx="5">
                  <c:v>41.261507412869634</c:v>
                </c:pt>
                <c:pt idx="6">
                  <c:v>21.332557116613586</c:v>
                </c:pt>
                <c:pt idx="7">
                  <c:v>34.092473285207895</c:v>
                </c:pt>
                <c:pt idx="8">
                  <c:v>67.222618955212241</c:v>
                </c:pt>
                <c:pt idx="9">
                  <c:v>46.156795777380999</c:v>
                </c:pt>
                <c:pt idx="10">
                  <c:v>53.325829905042738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1E-4950-9845-4A97A4CD3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43392"/>
        <c:axId val="428347312"/>
      </c:scatterChart>
      <c:valAx>
        <c:axId val="428343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Quality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7312"/>
        <c:crosses val="autoZero"/>
        <c:crossBetween val="midCat"/>
      </c:valAx>
      <c:valAx>
        <c:axId val="428347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3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Season!$A$4:$B$23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</c:lvl>
                <c:lvl>
                  <c:pt idx="0">
                    <c:v>2012</c:v>
                  </c:pt>
                  <c:pt idx="4">
                    <c:v>2013</c:v>
                  </c:pt>
                  <c:pt idx="8">
                    <c:v>2014</c:v>
                  </c:pt>
                  <c:pt idx="12">
                    <c:v>2015</c:v>
                  </c:pt>
                  <c:pt idx="16">
                    <c:v>2016</c:v>
                  </c:pt>
                </c:lvl>
              </c:multiLvlStrCache>
            </c:multiLvlStrRef>
          </c:cat>
          <c:val>
            <c:numRef>
              <c:f>Season!$C$4:$C$23</c:f>
              <c:numCache>
                <c:formatCode>0.0</c:formatCode>
                <c:ptCount val="20"/>
                <c:pt idx="0">
                  <c:v>10.5</c:v>
                </c:pt>
                <c:pt idx="1">
                  <c:v>9.1999999999999993</c:v>
                </c:pt>
                <c:pt idx="2">
                  <c:v>13.1</c:v>
                </c:pt>
                <c:pt idx="3">
                  <c:v>16</c:v>
                </c:pt>
                <c:pt idx="4">
                  <c:v>13.6</c:v>
                </c:pt>
                <c:pt idx="5">
                  <c:v>12.2</c:v>
                </c:pt>
                <c:pt idx="6">
                  <c:v>15.6</c:v>
                </c:pt>
                <c:pt idx="7">
                  <c:v>19.399999999999999</c:v>
                </c:pt>
                <c:pt idx="8">
                  <c:v>15.9</c:v>
                </c:pt>
                <c:pt idx="9">
                  <c:v>14.7</c:v>
                </c:pt>
                <c:pt idx="10">
                  <c:v>18.3</c:v>
                </c:pt>
                <c:pt idx="11">
                  <c:v>20.5</c:v>
                </c:pt>
                <c:pt idx="12">
                  <c:v>16.600000000000001</c:v>
                </c:pt>
                <c:pt idx="13">
                  <c:v>15.7</c:v>
                </c:pt>
                <c:pt idx="14">
                  <c:v>20</c:v>
                </c:pt>
                <c:pt idx="15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E-4FFF-A853-A0A604ABF173}"/>
            </c:ext>
          </c:extLst>
        </c:ser>
        <c:ser>
          <c:idx val="1"/>
          <c:order val="1"/>
          <c:tx>
            <c:v>Forecast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Season!$A$4:$B$23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</c:lvl>
                <c:lvl>
                  <c:pt idx="0">
                    <c:v>2012</c:v>
                  </c:pt>
                  <c:pt idx="4">
                    <c:v>2013</c:v>
                  </c:pt>
                  <c:pt idx="8">
                    <c:v>2014</c:v>
                  </c:pt>
                  <c:pt idx="12">
                    <c:v>2015</c:v>
                  </c:pt>
                  <c:pt idx="16">
                    <c:v>2016</c:v>
                  </c:pt>
                </c:lvl>
              </c:multiLvlStrCache>
            </c:multiLvlStrRef>
          </c:cat>
          <c:val>
            <c:numRef>
              <c:f>Season!$H$4:$H$23</c:f>
              <c:numCache>
                <c:formatCode>General</c:formatCode>
                <c:ptCount val="20"/>
                <c:pt idx="0">
                  <c:v>10.812499999999998</c:v>
                </c:pt>
                <c:pt idx="1">
                  <c:v>9.6124999999999972</c:v>
                </c:pt>
                <c:pt idx="2">
                  <c:v>13.412499999999998</c:v>
                </c:pt>
                <c:pt idx="3">
                  <c:v>16.462499999999999</c:v>
                </c:pt>
                <c:pt idx="4">
                  <c:v>13.0375</c:v>
                </c:pt>
                <c:pt idx="5">
                  <c:v>11.837499999999997</c:v>
                </c:pt>
                <c:pt idx="6">
                  <c:v>15.637499999999999</c:v>
                </c:pt>
                <c:pt idx="7">
                  <c:v>18.6875</c:v>
                </c:pt>
                <c:pt idx="8">
                  <c:v>15.262500000000001</c:v>
                </c:pt>
                <c:pt idx="9">
                  <c:v>14.062499999999998</c:v>
                </c:pt>
                <c:pt idx="10">
                  <c:v>17.862500000000001</c:v>
                </c:pt>
                <c:pt idx="11">
                  <c:v>20.912500000000001</c:v>
                </c:pt>
                <c:pt idx="12">
                  <c:v>17.487500000000001</c:v>
                </c:pt>
                <c:pt idx="13">
                  <c:v>16.287499999999998</c:v>
                </c:pt>
                <c:pt idx="14">
                  <c:v>20.087500000000002</c:v>
                </c:pt>
                <c:pt idx="15">
                  <c:v>23.137500000000003</c:v>
                </c:pt>
                <c:pt idx="16">
                  <c:v>19.712500000000002</c:v>
                </c:pt>
                <c:pt idx="17">
                  <c:v>18.512499999999999</c:v>
                </c:pt>
                <c:pt idx="18">
                  <c:v>22.312500000000004</c:v>
                </c:pt>
                <c:pt idx="19">
                  <c:v>25.362500000000004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9E-4FFF-A853-A0A604ABF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8340256"/>
        <c:axId val="428344176"/>
      </c:lineChart>
      <c:catAx>
        <c:axId val="42834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44176"/>
        <c:crosses val="autoZero"/>
        <c:auto val="0"/>
        <c:lblAlgn val="ctr"/>
        <c:lblOffset val="100"/>
        <c:noMultiLvlLbl val="0"/>
      </c:catAx>
      <c:valAx>
        <c:axId val="428344176"/>
        <c:scaling>
          <c:orientation val="minMax"/>
          <c:max val="26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Revenue</a:t>
                </a:r>
                <a:r>
                  <a:rPr lang="en-GB" baseline="0"/>
                  <a:t> ($M)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4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Internet use</a:t>
            </a:r>
            <a:r>
              <a:rPr lang="en-US" baseline="0"/>
              <a:t> </a:t>
            </a:r>
            <a:r>
              <a:rPr lang="en-US"/>
              <a:t>per month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'Poly Reg'!$K$2</c:f>
              <c:strCache>
                <c:ptCount val="1"/>
                <c:pt idx="0">
                  <c:v>Use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poly"/>
            <c:order val="2"/>
            <c:dispRSqr val="0"/>
            <c:dispEq val="0"/>
          </c:trendline>
          <c:xVal>
            <c:numRef>
              <c:f>'Poly Reg'!$I$3:$I$32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</c:numCache>
            </c:numRef>
          </c:xVal>
          <c:yVal>
            <c:numRef>
              <c:f>'Poly Reg'!$K$3:$K$32</c:f>
              <c:numCache>
                <c:formatCode>General</c:formatCode>
                <c:ptCount val="30"/>
                <c:pt idx="0">
                  <c:v>7</c:v>
                </c:pt>
                <c:pt idx="1">
                  <c:v>11</c:v>
                </c:pt>
                <c:pt idx="2">
                  <c:v>23</c:v>
                </c:pt>
                <c:pt idx="3">
                  <c:v>59</c:v>
                </c:pt>
                <c:pt idx="4">
                  <c:v>120</c:v>
                </c:pt>
                <c:pt idx="5">
                  <c:v>180</c:v>
                </c:pt>
                <c:pt idx="6">
                  <c:v>3</c:v>
                </c:pt>
                <c:pt idx="7">
                  <c:v>8</c:v>
                </c:pt>
                <c:pt idx="8">
                  <c:v>20</c:v>
                </c:pt>
                <c:pt idx="9">
                  <c:v>48</c:v>
                </c:pt>
                <c:pt idx="10">
                  <c:v>88</c:v>
                </c:pt>
                <c:pt idx="11">
                  <c:v>140</c:v>
                </c:pt>
                <c:pt idx="12">
                  <c:v>4</c:v>
                </c:pt>
                <c:pt idx="13">
                  <c:v>11</c:v>
                </c:pt>
                <c:pt idx="14">
                  <c:v>21</c:v>
                </c:pt>
                <c:pt idx="15">
                  <c:v>58</c:v>
                </c:pt>
                <c:pt idx="16">
                  <c:v>128</c:v>
                </c:pt>
                <c:pt idx="17">
                  <c:v>195</c:v>
                </c:pt>
                <c:pt idx="18">
                  <c:v>5</c:v>
                </c:pt>
                <c:pt idx="19">
                  <c:v>9</c:v>
                </c:pt>
                <c:pt idx="20">
                  <c:v>16</c:v>
                </c:pt>
                <c:pt idx="21">
                  <c:v>45</c:v>
                </c:pt>
                <c:pt idx="22">
                  <c:v>111</c:v>
                </c:pt>
                <c:pt idx="23">
                  <c:v>156</c:v>
                </c:pt>
                <c:pt idx="24">
                  <c:v>2</c:v>
                </c:pt>
                <c:pt idx="25">
                  <c:v>5</c:v>
                </c:pt>
                <c:pt idx="26">
                  <c:v>12</c:v>
                </c:pt>
                <c:pt idx="27">
                  <c:v>38</c:v>
                </c:pt>
                <c:pt idx="28">
                  <c:v>78</c:v>
                </c:pt>
                <c:pt idx="29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72-4685-A96A-E1811EECA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35160"/>
        <c:axId val="428342216"/>
      </c:scatterChart>
      <c:valAx>
        <c:axId val="428335160"/>
        <c:scaling>
          <c:orientation val="minMax"/>
          <c:max val="6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2216"/>
        <c:crosses val="autoZero"/>
        <c:crossBetween val="midCat"/>
        <c:majorUnit val="1"/>
      </c:valAx>
      <c:valAx>
        <c:axId val="428342216"/>
        <c:scaling>
          <c:orientation val="minMax"/>
          <c:max val="2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Hours of use per 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351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Month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'Poly Reg'!$I$3:$I$32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</c:numCache>
            </c:numRef>
          </c:xVal>
          <c:yVal>
            <c:numRef>
              <c:f>'Poly Reg 1'!$C$26:$C$55</c:f>
              <c:numCache>
                <c:formatCode>General</c:formatCode>
                <c:ptCount val="30"/>
                <c:pt idx="0">
                  <c:v>1.5714285714285303</c:v>
                </c:pt>
                <c:pt idx="1">
                  <c:v>5.9485714285714124</c:v>
                </c:pt>
                <c:pt idx="2">
                  <c:v>2.21142857142857</c:v>
                </c:pt>
                <c:pt idx="3">
                  <c:v>6.3600000000000136</c:v>
                </c:pt>
                <c:pt idx="4">
                  <c:v>19.394285714285743</c:v>
                </c:pt>
                <c:pt idx="5">
                  <c:v>15.314285714285717</c:v>
                </c:pt>
                <c:pt idx="6">
                  <c:v>-2.4285714285714697</c:v>
                </c:pt>
                <c:pt idx="7">
                  <c:v>2.9485714285714124</c:v>
                </c:pt>
                <c:pt idx="8">
                  <c:v>-0.78857142857143003</c:v>
                </c:pt>
                <c:pt idx="9">
                  <c:v>-4.6399999999999864</c:v>
                </c:pt>
                <c:pt idx="10">
                  <c:v>-12.605714285714257</c:v>
                </c:pt>
                <c:pt idx="11">
                  <c:v>-24.685714285714283</c:v>
                </c:pt>
                <c:pt idx="12">
                  <c:v>-1.4285714285714697</c:v>
                </c:pt>
                <c:pt idx="13">
                  <c:v>5.9485714285714124</c:v>
                </c:pt>
                <c:pt idx="14">
                  <c:v>0.21142857142856997</c:v>
                </c:pt>
                <c:pt idx="15">
                  <c:v>5.3600000000000136</c:v>
                </c:pt>
                <c:pt idx="16">
                  <c:v>27.394285714285743</c:v>
                </c:pt>
                <c:pt idx="17">
                  <c:v>30.314285714285717</c:v>
                </c:pt>
                <c:pt idx="18">
                  <c:v>-0.42857142857146968</c:v>
                </c:pt>
                <c:pt idx="19">
                  <c:v>3.9485714285714124</c:v>
                </c:pt>
                <c:pt idx="20">
                  <c:v>-4.78857142857143</c:v>
                </c:pt>
                <c:pt idx="21">
                  <c:v>-7.6399999999999864</c:v>
                </c:pt>
                <c:pt idx="22">
                  <c:v>10.394285714285743</c:v>
                </c:pt>
                <c:pt idx="23">
                  <c:v>-8.6857142857142833</c:v>
                </c:pt>
                <c:pt idx="24">
                  <c:v>-3.4285714285714697</c:v>
                </c:pt>
                <c:pt idx="25">
                  <c:v>-5.1428571428587588E-2</c:v>
                </c:pt>
                <c:pt idx="26">
                  <c:v>-8.78857142857143</c:v>
                </c:pt>
                <c:pt idx="27">
                  <c:v>-14.639999999999986</c:v>
                </c:pt>
                <c:pt idx="28">
                  <c:v>-22.605714285714257</c:v>
                </c:pt>
                <c:pt idx="29">
                  <c:v>-19.685714285714283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7-46CD-83AA-FCCF2C636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37512"/>
        <c:axId val="428339080"/>
      </c:scatterChart>
      <c:valAx>
        <c:axId val="428337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39080"/>
        <c:crosses val="autoZero"/>
        <c:crossBetween val="midCat"/>
      </c:valAx>
      <c:valAx>
        <c:axId val="428339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375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MonSq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'Poly Reg'!$J$3:$J$32</c:f>
              <c:numCache>
                <c:formatCode>General</c:formatCode>
                <c:ptCount val="3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1</c:v>
                </c:pt>
                <c:pt idx="7">
                  <c:v>4</c:v>
                </c:pt>
                <c:pt idx="8">
                  <c:v>9</c:v>
                </c:pt>
                <c:pt idx="9">
                  <c:v>16</c:v>
                </c:pt>
                <c:pt idx="10">
                  <c:v>25</c:v>
                </c:pt>
                <c:pt idx="11">
                  <c:v>36</c:v>
                </c:pt>
                <c:pt idx="12">
                  <c:v>1</c:v>
                </c:pt>
                <c:pt idx="13">
                  <c:v>4</c:v>
                </c:pt>
                <c:pt idx="14">
                  <c:v>9</c:v>
                </c:pt>
                <c:pt idx="15">
                  <c:v>16</c:v>
                </c:pt>
                <c:pt idx="16">
                  <c:v>25</c:v>
                </c:pt>
                <c:pt idx="17">
                  <c:v>36</c:v>
                </c:pt>
                <c:pt idx="18">
                  <c:v>1</c:v>
                </c:pt>
                <c:pt idx="19">
                  <c:v>4</c:v>
                </c:pt>
                <c:pt idx="20">
                  <c:v>9</c:v>
                </c:pt>
                <c:pt idx="21">
                  <c:v>16</c:v>
                </c:pt>
                <c:pt idx="22">
                  <c:v>25</c:v>
                </c:pt>
                <c:pt idx="23">
                  <c:v>36</c:v>
                </c:pt>
                <c:pt idx="24">
                  <c:v>1</c:v>
                </c:pt>
                <c:pt idx="25">
                  <c:v>4</c:v>
                </c:pt>
                <c:pt idx="26">
                  <c:v>9</c:v>
                </c:pt>
                <c:pt idx="27">
                  <c:v>16</c:v>
                </c:pt>
                <c:pt idx="28">
                  <c:v>25</c:v>
                </c:pt>
                <c:pt idx="29">
                  <c:v>36</c:v>
                </c:pt>
              </c:numCache>
            </c:numRef>
          </c:xVal>
          <c:yVal>
            <c:numRef>
              <c:f>'Poly Reg 1'!$C$26:$C$55</c:f>
              <c:numCache>
                <c:formatCode>General</c:formatCode>
                <c:ptCount val="30"/>
                <c:pt idx="0">
                  <c:v>1.5714285714285303</c:v>
                </c:pt>
                <c:pt idx="1">
                  <c:v>5.9485714285714124</c:v>
                </c:pt>
                <c:pt idx="2">
                  <c:v>2.21142857142857</c:v>
                </c:pt>
                <c:pt idx="3">
                  <c:v>6.3600000000000136</c:v>
                </c:pt>
                <c:pt idx="4">
                  <c:v>19.394285714285743</c:v>
                </c:pt>
                <c:pt idx="5">
                  <c:v>15.314285714285717</c:v>
                </c:pt>
                <c:pt idx="6">
                  <c:v>-2.4285714285714697</c:v>
                </c:pt>
                <c:pt idx="7">
                  <c:v>2.9485714285714124</c:v>
                </c:pt>
                <c:pt idx="8">
                  <c:v>-0.78857142857143003</c:v>
                </c:pt>
                <c:pt idx="9">
                  <c:v>-4.6399999999999864</c:v>
                </c:pt>
                <c:pt idx="10">
                  <c:v>-12.605714285714257</c:v>
                </c:pt>
                <c:pt idx="11">
                  <c:v>-24.685714285714283</c:v>
                </c:pt>
                <c:pt idx="12">
                  <c:v>-1.4285714285714697</c:v>
                </c:pt>
                <c:pt idx="13">
                  <c:v>5.9485714285714124</c:v>
                </c:pt>
                <c:pt idx="14">
                  <c:v>0.21142857142856997</c:v>
                </c:pt>
                <c:pt idx="15">
                  <c:v>5.3600000000000136</c:v>
                </c:pt>
                <c:pt idx="16">
                  <c:v>27.394285714285743</c:v>
                </c:pt>
                <c:pt idx="17">
                  <c:v>30.314285714285717</c:v>
                </c:pt>
                <c:pt idx="18">
                  <c:v>-0.42857142857146968</c:v>
                </c:pt>
                <c:pt idx="19">
                  <c:v>3.9485714285714124</c:v>
                </c:pt>
                <c:pt idx="20">
                  <c:v>-4.78857142857143</c:v>
                </c:pt>
                <c:pt idx="21">
                  <c:v>-7.6399999999999864</c:v>
                </c:pt>
                <c:pt idx="22">
                  <c:v>10.394285714285743</c:v>
                </c:pt>
                <c:pt idx="23">
                  <c:v>-8.6857142857142833</c:v>
                </c:pt>
                <c:pt idx="24">
                  <c:v>-3.4285714285714697</c:v>
                </c:pt>
                <c:pt idx="25">
                  <c:v>-5.1428571428587588E-2</c:v>
                </c:pt>
                <c:pt idx="26">
                  <c:v>-8.78857142857143</c:v>
                </c:pt>
                <c:pt idx="27">
                  <c:v>-14.639999999999986</c:v>
                </c:pt>
                <c:pt idx="28">
                  <c:v>-22.605714285714257</c:v>
                </c:pt>
                <c:pt idx="29">
                  <c:v>-19.685714285714283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AB-4DD7-8357-45D5A6E9A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44568"/>
        <c:axId val="428345352"/>
      </c:scatterChart>
      <c:valAx>
        <c:axId val="428344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MonSq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5352"/>
        <c:crosses val="autoZero"/>
        <c:crossBetween val="midCat"/>
      </c:valAx>
      <c:valAx>
        <c:axId val="428345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45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Month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Hours</c:v>
          </c:tx>
          <c:spPr>
            <a:ln w="28575">
              <a:noFill/>
            </a:ln>
          </c:spPr>
          <c:xVal>
            <c:numRef>
              <c:f>'Poly Reg'!$I$3:$I$32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</c:numCache>
            </c:numRef>
          </c:xVal>
          <c:yVal>
            <c:numRef>
              <c:f>'Poly Reg'!$K$3:$K$32</c:f>
              <c:numCache>
                <c:formatCode>General</c:formatCode>
                <c:ptCount val="30"/>
                <c:pt idx="0">
                  <c:v>7</c:v>
                </c:pt>
                <c:pt idx="1">
                  <c:v>11</c:v>
                </c:pt>
                <c:pt idx="2">
                  <c:v>23</c:v>
                </c:pt>
                <c:pt idx="3">
                  <c:v>59</c:v>
                </c:pt>
                <c:pt idx="4">
                  <c:v>120</c:v>
                </c:pt>
                <c:pt idx="5">
                  <c:v>180</c:v>
                </c:pt>
                <c:pt idx="6">
                  <c:v>3</c:v>
                </c:pt>
                <c:pt idx="7">
                  <c:v>8</c:v>
                </c:pt>
                <c:pt idx="8">
                  <c:v>20</c:v>
                </c:pt>
                <c:pt idx="9">
                  <c:v>48</c:v>
                </c:pt>
                <c:pt idx="10">
                  <c:v>88</c:v>
                </c:pt>
                <c:pt idx="11">
                  <c:v>140</c:v>
                </c:pt>
                <c:pt idx="12">
                  <c:v>4</c:v>
                </c:pt>
                <c:pt idx="13">
                  <c:v>11</c:v>
                </c:pt>
                <c:pt idx="14">
                  <c:v>21</c:v>
                </c:pt>
                <c:pt idx="15">
                  <c:v>58</c:v>
                </c:pt>
                <c:pt idx="16">
                  <c:v>128</c:v>
                </c:pt>
                <c:pt idx="17">
                  <c:v>195</c:v>
                </c:pt>
                <c:pt idx="18">
                  <c:v>5</c:v>
                </c:pt>
                <c:pt idx="19">
                  <c:v>9</c:v>
                </c:pt>
                <c:pt idx="20">
                  <c:v>16</c:v>
                </c:pt>
                <c:pt idx="21">
                  <c:v>45</c:v>
                </c:pt>
                <c:pt idx="22">
                  <c:v>111</c:v>
                </c:pt>
                <c:pt idx="23">
                  <c:v>156</c:v>
                </c:pt>
                <c:pt idx="24">
                  <c:v>2</c:v>
                </c:pt>
                <c:pt idx="25">
                  <c:v>5</c:v>
                </c:pt>
                <c:pt idx="26">
                  <c:v>12</c:v>
                </c:pt>
                <c:pt idx="27">
                  <c:v>38</c:v>
                </c:pt>
                <c:pt idx="28">
                  <c:v>78</c:v>
                </c:pt>
                <c:pt idx="29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E9-4BCA-A7AD-6AF986C9426B}"/>
            </c:ext>
          </c:extLst>
        </c:ser>
        <c:ser>
          <c:idx val="1"/>
          <c:order val="1"/>
          <c:tx>
            <c:v>Predicted Hours</c:v>
          </c:tx>
          <c:spPr>
            <a:ln w="28575">
              <a:noFill/>
            </a:ln>
          </c:spPr>
          <c:xVal>
            <c:numRef>
              <c:f>'Poly Reg'!$I$3:$I$32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</c:numCache>
            </c:numRef>
          </c:xVal>
          <c:yVal>
            <c:numRef>
              <c:f>'Poly Reg 1'!$B$26:$B$55</c:f>
              <c:numCache>
                <c:formatCode>General</c:formatCode>
                <c:ptCount val="30"/>
                <c:pt idx="0">
                  <c:v>5.4285714285714697</c:v>
                </c:pt>
                <c:pt idx="1">
                  <c:v>5.0514285714285876</c:v>
                </c:pt>
                <c:pt idx="2">
                  <c:v>20.78857142857143</c:v>
                </c:pt>
                <c:pt idx="3">
                  <c:v>52.639999999999986</c:v>
                </c:pt>
                <c:pt idx="4">
                  <c:v>100.60571428571426</c:v>
                </c:pt>
                <c:pt idx="5">
                  <c:v>164.68571428571428</c:v>
                </c:pt>
                <c:pt idx="6">
                  <c:v>5.4285714285714697</c:v>
                </c:pt>
                <c:pt idx="7">
                  <c:v>5.0514285714285876</c:v>
                </c:pt>
                <c:pt idx="8">
                  <c:v>20.78857142857143</c:v>
                </c:pt>
                <c:pt idx="9">
                  <c:v>52.639999999999986</c:v>
                </c:pt>
                <c:pt idx="10">
                  <c:v>100.60571428571426</c:v>
                </c:pt>
                <c:pt idx="11">
                  <c:v>164.68571428571428</c:v>
                </c:pt>
                <c:pt idx="12">
                  <c:v>5.4285714285714697</c:v>
                </c:pt>
                <c:pt idx="13">
                  <c:v>5.0514285714285876</c:v>
                </c:pt>
                <c:pt idx="14">
                  <c:v>20.78857142857143</c:v>
                </c:pt>
                <c:pt idx="15">
                  <c:v>52.639999999999986</c:v>
                </c:pt>
                <c:pt idx="16">
                  <c:v>100.60571428571426</c:v>
                </c:pt>
                <c:pt idx="17">
                  <c:v>164.68571428571428</c:v>
                </c:pt>
                <c:pt idx="18">
                  <c:v>5.4285714285714697</c:v>
                </c:pt>
                <c:pt idx="19">
                  <c:v>5.0514285714285876</c:v>
                </c:pt>
                <c:pt idx="20">
                  <c:v>20.78857142857143</c:v>
                </c:pt>
                <c:pt idx="21">
                  <c:v>52.639999999999986</c:v>
                </c:pt>
                <c:pt idx="22">
                  <c:v>100.60571428571426</c:v>
                </c:pt>
                <c:pt idx="23">
                  <c:v>164.68571428571428</c:v>
                </c:pt>
                <c:pt idx="24">
                  <c:v>5.4285714285714697</c:v>
                </c:pt>
                <c:pt idx="25">
                  <c:v>5.0514285714285876</c:v>
                </c:pt>
                <c:pt idx="26">
                  <c:v>20.78857142857143</c:v>
                </c:pt>
                <c:pt idx="27">
                  <c:v>52.639999999999986</c:v>
                </c:pt>
                <c:pt idx="28">
                  <c:v>100.60571428571426</c:v>
                </c:pt>
                <c:pt idx="29">
                  <c:v>164.68571428571428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E9-4BCA-A7AD-6AF986C94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46528"/>
        <c:axId val="428341040"/>
      </c:scatterChart>
      <c:valAx>
        <c:axId val="42834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1040"/>
        <c:crosses val="autoZero"/>
        <c:crossBetween val="midCat"/>
      </c:valAx>
      <c:valAx>
        <c:axId val="428341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65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MonSq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Hours</c:v>
          </c:tx>
          <c:spPr>
            <a:ln w="28575">
              <a:noFill/>
            </a:ln>
          </c:spPr>
          <c:xVal>
            <c:numRef>
              <c:f>'Poly Reg'!$J$3:$J$32</c:f>
              <c:numCache>
                <c:formatCode>General</c:formatCode>
                <c:ptCount val="3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1</c:v>
                </c:pt>
                <c:pt idx="7">
                  <c:v>4</c:v>
                </c:pt>
                <c:pt idx="8">
                  <c:v>9</c:v>
                </c:pt>
                <c:pt idx="9">
                  <c:v>16</c:v>
                </c:pt>
                <c:pt idx="10">
                  <c:v>25</c:v>
                </c:pt>
                <c:pt idx="11">
                  <c:v>36</c:v>
                </c:pt>
                <c:pt idx="12">
                  <c:v>1</c:v>
                </c:pt>
                <c:pt idx="13">
                  <c:v>4</c:v>
                </c:pt>
                <c:pt idx="14">
                  <c:v>9</c:v>
                </c:pt>
                <c:pt idx="15">
                  <c:v>16</c:v>
                </c:pt>
                <c:pt idx="16">
                  <c:v>25</c:v>
                </c:pt>
                <c:pt idx="17">
                  <c:v>36</c:v>
                </c:pt>
                <c:pt idx="18">
                  <c:v>1</c:v>
                </c:pt>
                <c:pt idx="19">
                  <c:v>4</c:v>
                </c:pt>
                <c:pt idx="20">
                  <c:v>9</c:v>
                </c:pt>
                <c:pt idx="21">
                  <c:v>16</c:v>
                </c:pt>
                <c:pt idx="22">
                  <c:v>25</c:v>
                </c:pt>
                <c:pt idx="23">
                  <c:v>36</c:v>
                </c:pt>
                <c:pt idx="24">
                  <c:v>1</c:v>
                </c:pt>
                <c:pt idx="25">
                  <c:v>4</c:v>
                </c:pt>
                <c:pt idx="26">
                  <c:v>9</c:v>
                </c:pt>
                <c:pt idx="27">
                  <c:v>16</c:v>
                </c:pt>
                <c:pt idx="28">
                  <c:v>25</c:v>
                </c:pt>
                <c:pt idx="29">
                  <c:v>36</c:v>
                </c:pt>
              </c:numCache>
            </c:numRef>
          </c:xVal>
          <c:yVal>
            <c:numRef>
              <c:f>'Poly Reg'!$K$3:$K$32</c:f>
              <c:numCache>
                <c:formatCode>General</c:formatCode>
                <c:ptCount val="30"/>
                <c:pt idx="0">
                  <c:v>7</c:v>
                </c:pt>
                <c:pt idx="1">
                  <c:v>11</c:v>
                </c:pt>
                <c:pt idx="2">
                  <c:v>23</c:v>
                </c:pt>
                <c:pt idx="3">
                  <c:v>59</c:v>
                </c:pt>
                <c:pt idx="4">
                  <c:v>120</c:v>
                </c:pt>
                <c:pt idx="5">
                  <c:v>180</c:v>
                </c:pt>
                <c:pt idx="6">
                  <c:v>3</c:v>
                </c:pt>
                <c:pt idx="7">
                  <c:v>8</c:v>
                </c:pt>
                <c:pt idx="8">
                  <c:v>20</c:v>
                </c:pt>
                <c:pt idx="9">
                  <c:v>48</c:v>
                </c:pt>
                <c:pt idx="10">
                  <c:v>88</c:v>
                </c:pt>
                <c:pt idx="11">
                  <c:v>140</c:v>
                </c:pt>
                <c:pt idx="12">
                  <c:v>4</c:v>
                </c:pt>
                <c:pt idx="13">
                  <c:v>11</c:v>
                </c:pt>
                <c:pt idx="14">
                  <c:v>21</c:v>
                </c:pt>
                <c:pt idx="15">
                  <c:v>58</c:v>
                </c:pt>
                <c:pt idx="16">
                  <c:v>128</c:v>
                </c:pt>
                <c:pt idx="17">
                  <c:v>195</c:v>
                </c:pt>
                <c:pt idx="18">
                  <c:v>5</c:v>
                </c:pt>
                <c:pt idx="19">
                  <c:v>9</c:v>
                </c:pt>
                <c:pt idx="20">
                  <c:v>16</c:v>
                </c:pt>
                <c:pt idx="21">
                  <c:v>45</c:v>
                </c:pt>
                <c:pt idx="22">
                  <c:v>111</c:v>
                </c:pt>
                <c:pt idx="23">
                  <c:v>156</c:v>
                </c:pt>
                <c:pt idx="24">
                  <c:v>2</c:v>
                </c:pt>
                <c:pt idx="25">
                  <c:v>5</c:v>
                </c:pt>
                <c:pt idx="26">
                  <c:v>12</c:v>
                </c:pt>
                <c:pt idx="27">
                  <c:v>38</c:v>
                </c:pt>
                <c:pt idx="28">
                  <c:v>78</c:v>
                </c:pt>
                <c:pt idx="29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2E-4296-A517-8C6B743BE0EB}"/>
            </c:ext>
          </c:extLst>
        </c:ser>
        <c:ser>
          <c:idx val="1"/>
          <c:order val="1"/>
          <c:tx>
            <c:v>Predicted Hours</c:v>
          </c:tx>
          <c:spPr>
            <a:ln w="28575">
              <a:noFill/>
            </a:ln>
          </c:spPr>
          <c:xVal>
            <c:numRef>
              <c:f>'Poly Reg'!$J$3:$J$32</c:f>
              <c:numCache>
                <c:formatCode>General</c:formatCode>
                <c:ptCount val="3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1</c:v>
                </c:pt>
                <c:pt idx="7">
                  <c:v>4</c:v>
                </c:pt>
                <c:pt idx="8">
                  <c:v>9</c:v>
                </c:pt>
                <c:pt idx="9">
                  <c:v>16</c:v>
                </c:pt>
                <c:pt idx="10">
                  <c:v>25</c:v>
                </c:pt>
                <c:pt idx="11">
                  <c:v>36</c:v>
                </c:pt>
                <c:pt idx="12">
                  <c:v>1</c:v>
                </c:pt>
                <c:pt idx="13">
                  <c:v>4</c:v>
                </c:pt>
                <c:pt idx="14">
                  <c:v>9</c:v>
                </c:pt>
                <c:pt idx="15">
                  <c:v>16</c:v>
                </c:pt>
                <c:pt idx="16">
                  <c:v>25</c:v>
                </c:pt>
                <c:pt idx="17">
                  <c:v>36</c:v>
                </c:pt>
                <c:pt idx="18">
                  <c:v>1</c:v>
                </c:pt>
                <c:pt idx="19">
                  <c:v>4</c:v>
                </c:pt>
                <c:pt idx="20">
                  <c:v>9</c:v>
                </c:pt>
                <c:pt idx="21">
                  <c:v>16</c:v>
                </c:pt>
                <c:pt idx="22">
                  <c:v>25</c:v>
                </c:pt>
                <c:pt idx="23">
                  <c:v>36</c:v>
                </c:pt>
                <c:pt idx="24">
                  <c:v>1</c:v>
                </c:pt>
                <c:pt idx="25">
                  <c:v>4</c:v>
                </c:pt>
                <c:pt idx="26">
                  <c:v>9</c:v>
                </c:pt>
                <c:pt idx="27">
                  <c:v>16</c:v>
                </c:pt>
                <c:pt idx="28">
                  <c:v>25</c:v>
                </c:pt>
                <c:pt idx="29">
                  <c:v>36</c:v>
                </c:pt>
              </c:numCache>
            </c:numRef>
          </c:xVal>
          <c:yVal>
            <c:numRef>
              <c:f>'Poly Reg 1'!$B$26:$B$55</c:f>
              <c:numCache>
                <c:formatCode>General</c:formatCode>
                <c:ptCount val="30"/>
                <c:pt idx="0">
                  <c:v>5.4285714285714697</c:v>
                </c:pt>
                <c:pt idx="1">
                  <c:v>5.0514285714285876</c:v>
                </c:pt>
                <c:pt idx="2">
                  <c:v>20.78857142857143</c:v>
                </c:pt>
                <c:pt idx="3">
                  <c:v>52.639999999999986</c:v>
                </c:pt>
                <c:pt idx="4">
                  <c:v>100.60571428571426</c:v>
                </c:pt>
                <c:pt idx="5">
                  <c:v>164.68571428571428</c:v>
                </c:pt>
                <c:pt idx="6">
                  <c:v>5.4285714285714697</c:v>
                </c:pt>
                <c:pt idx="7">
                  <c:v>5.0514285714285876</c:v>
                </c:pt>
                <c:pt idx="8">
                  <c:v>20.78857142857143</c:v>
                </c:pt>
                <c:pt idx="9">
                  <c:v>52.639999999999986</c:v>
                </c:pt>
                <c:pt idx="10">
                  <c:v>100.60571428571426</c:v>
                </c:pt>
                <c:pt idx="11">
                  <c:v>164.68571428571428</c:v>
                </c:pt>
                <c:pt idx="12">
                  <c:v>5.4285714285714697</c:v>
                </c:pt>
                <c:pt idx="13">
                  <c:v>5.0514285714285876</c:v>
                </c:pt>
                <c:pt idx="14">
                  <c:v>20.78857142857143</c:v>
                </c:pt>
                <c:pt idx="15">
                  <c:v>52.639999999999986</c:v>
                </c:pt>
                <c:pt idx="16">
                  <c:v>100.60571428571426</c:v>
                </c:pt>
                <c:pt idx="17">
                  <c:v>164.68571428571428</c:v>
                </c:pt>
                <c:pt idx="18">
                  <c:v>5.4285714285714697</c:v>
                </c:pt>
                <c:pt idx="19">
                  <c:v>5.0514285714285876</c:v>
                </c:pt>
                <c:pt idx="20">
                  <c:v>20.78857142857143</c:v>
                </c:pt>
                <c:pt idx="21">
                  <c:v>52.639999999999986</c:v>
                </c:pt>
                <c:pt idx="22">
                  <c:v>100.60571428571426</c:v>
                </c:pt>
                <c:pt idx="23">
                  <c:v>164.68571428571428</c:v>
                </c:pt>
                <c:pt idx="24">
                  <c:v>5.4285714285714697</c:v>
                </c:pt>
                <c:pt idx="25">
                  <c:v>5.0514285714285876</c:v>
                </c:pt>
                <c:pt idx="26">
                  <c:v>20.78857142857143</c:v>
                </c:pt>
                <c:pt idx="27">
                  <c:v>52.639999999999986</c:v>
                </c:pt>
                <c:pt idx="28">
                  <c:v>100.60571428571426</c:v>
                </c:pt>
                <c:pt idx="29">
                  <c:v>164.68571428571428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2E-4296-A517-8C6B743BE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48880"/>
        <c:axId val="428348488"/>
      </c:scatterChart>
      <c:valAx>
        <c:axId val="428348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MonSq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8488"/>
        <c:crosses val="autoZero"/>
        <c:crossBetween val="midCat"/>
      </c:valAx>
      <c:valAx>
        <c:axId val="428348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8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'Poly Reg 1'!$F$26:$F$55</c:f>
              <c:numCache>
                <c:formatCode>General</c:formatCode>
                <c:ptCount val="30"/>
                <c:pt idx="0">
                  <c:v>1.6666666666666667</c:v>
                </c:pt>
                <c:pt idx="1">
                  <c:v>5</c:v>
                </c:pt>
                <c:pt idx="2">
                  <c:v>8.3333333333333339</c:v>
                </c:pt>
                <c:pt idx="3">
                  <c:v>11.666666666666666</c:v>
                </c:pt>
                <c:pt idx="4">
                  <c:v>15</c:v>
                </c:pt>
                <c:pt idx="5">
                  <c:v>18.333333333333336</c:v>
                </c:pt>
                <c:pt idx="6">
                  <c:v>21.666666666666668</c:v>
                </c:pt>
                <c:pt idx="7">
                  <c:v>25.000000000000004</c:v>
                </c:pt>
                <c:pt idx="8">
                  <c:v>28.333333333333336</c:v>
                </c:pt>
                <c:pt idx="9">
                  <c:v>31.666666666666668</c:v>
                </c:pt>
                <c:pt idx="10">
                  <c:v>35</c:v>
                </c:pt>
                <c:pt idx="11">
                  <c:v>38.333333333333336</c:v>
                </c:pt>
                <c:pt idx="12">
                  <c:v>41.666666666666664</c:v>
                </c:pt>
                <c:pt idx="13">
                  <c:v>45</c:v>
                </c:pt>
                <c:pt idx="14">
                  <c:v>48.333333333333336</c:v>
                </c:pt>
                <c:pt idx="15">
                  <c:v>51.666666666666664</c:v>
                </c:pt>
                <c:pt idx="16">
                  <c:v>55</c:v>
                </c:pt>
                <c:pt idx="17">
                  <c:v>58.333333333333336</c:v>
                </c:pt>
                <c:pt idx="18">
                  <c:v>61.666666666666664</c:v>
                </c:pt>
                <c:pt idx="19">
                  <c:v>65</c:v>
                </c:pt>
                <c:pt idx="20">
                  <c:v>68.333333333333343</c:v>
                </c:pt>
                <c:pt idx="21">
                  <c:v>71.666666666666671</c:v>
                </c:pt>
                <c:pt idx="22">
                  <c:v>75.000000000000014</c:v>
                </c:pt>
                <c:pt idx="23">
                  <c:v>78.333333333333343</c:v>
                </c:pt>
                <c:pt idx="24">
                  <c:v>81.666666666666671</c:v>
                </c:pt>
                <c:pt idx="25">
                  <c:v>85.000000000000014</c:v>
                </c:pt>
                <c:pt idx="26">
                  <c:v>88.333333333333343</c:v>
                </c:pt>
                <c:pt idx="27">
                  <c:v>91.666666666666671</c:v>
                </c:pt>
                <c:pt idx="28">
                  <c:v>95.000000000000014</c:v>
                </c:pt>
                <c:pt idx="29">
                  <c:v>98.333333333333343</c:v>
                </c:pt>
              </c:numCache>
            </c:numRef>
          </c:xVal>
          <c:yVal>
            <c:numRef>
              <c:f>'Poly Reg 1'!$G$26:$G$55</c:f>
              <c:numCache>
                <c:formatCode>General</c:formatCode>
                <c:ptCount val="3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12</c:v>
                </c:pt>
                <c:pt idx="11">
                  <c:v>16</c:v>
                </c:pt>
                <c:pt idx="12">
                  <c:v>20</c:v>
                </c:pt>
                <c:pt idx="13">
                  <c:v>21</c:v>
                </c:pt>
                <c:pt idx="14">
                  <c:v>23</c:v>
                </c:pt>
                <c:pt idx="15">
                  <c:v>38</c:v>
                </c:pt>
                <c:pt idx="16">
                  <c:v>45</c:v>
                </c:pt>
                <c:pt idx="17">
                  <c:v>48</c:v>
                </c:pt>
                <c:pt idx="18">
                  <c:v>58</c:v>
                </c:pt>
                <c:pt idx="19">
                  <c:v>59</c:v>
                </c:pt>
                <c:pt idx="20">
                  <c:v>78</c:v>
                </c:pt>
                <c:pt idx="21">
                  <c:v>88</c:v>
                </c:pt>
                <c:pt idx="22">
                  <c:v>111</c:v>
                </c:pt>
                <c:pt idx="23">
                  <c:v>120</c:v>
                </c:pt>
                <c:pt idx="24">
                  <c:v>128</c:v>
                </c:pt>
                <c:pt idx="25">
                  <c:v>140</c:v>
                </c:pt>
                <c:pt idx="26">
                  <c:v>145</c:v>
                </c:pt>
                <c:pt idx="27">
                  <c:v>156</c:v>
                </c:pt>
                <c:pt idx="28">
                  <c:v>180</c:v>
                </c:pt>
                <c:pt idx="29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29-4F3A-8DF9-634A38C7A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49272"/>
        <c:axId val="428349664"/>
      </c:scatterChart>
      <c:valAx>
        <c:axId val="428349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9664"/>
        <c:crosses val="autoZero"/>
        <c:crossBetween val="midCat"/>
      </c:valAx>
      <c:valAx>
        <c:axId val="42834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8349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'Poly Reg 3'!$A$2:$A$31</c:f>
              <c:numCache>
                <c:formatCode>0.0</c:formatCode>
                <c:ptCount val="30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1.6</c:v>
                </c:pt>
                <c:pt idx="4">
                  <c:v>1.8</c:v>
                </c:pt>
                <c:pt idx="5">
                  <c:v>2</c:v>
                </c:pt>
                <c:pt idx="6">
                  <c:v>2.2000000000000002</c:v>
                </c:pt>
                <c:pt idx="7">
                  <c:v>2.4</c:v>
                </c:pt>
                <c:pt idx="8">
                  <c:v>2.6</c:v>
                </c:pt>
                <c:pt idx="9">
                  <c:v>2.8</c:v>
                </c:pt>
                <c:pt idx="10">
                  <c:v>3</c:v>
                </c:pt>
                <c:pt idx="11">
                  <c:v>3.2</c:v>
                </c:pt>
                <c:pt idx="12">
                  <c:v>3.4</c:v>
                </c:pt>
                <c:pt idx="13">
                  <c:v>3.6</c:v>
                </c:pt>
                <c:pt idx="14">
                  <c:v>3.8</c:v>
                </c:pt>
                <c:pt idx="15">
                  <c:v>4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4.5999999999999996</c:v>
                </c:pt>
                <c:pt idx="19">
                  <c:v>4.8</c:v>
                </c:pt>
                <c:pt idx="20">
                  <c:v>5</c:v>
                </c:pt>
                <c:pt idx="21">
                  <c:v>5.2</c:v>
                </c:pt>
                <c:pt idx="22">
                  <c:v>5.4</c:v>
                </c:pt>
                <c:pt idx="23">
                  <c:v>5.6</c:v>
                </c:pt>
                <c:pt idx="24">
                  <c:v>5.8</c:v>
                </c:pt>
                <c:pt idx="25">
                  <c:v>6</c:v>
                </c:pt>
                <c:pt idx="26">
                  <c:v>6.2</c:v>
                </c:pt>
                <c:pt idx="27">
                  <c:v>6.4</c:v>
                </c:pt>
                <c:pt idx="28">
                  <c:v>6.6</c:v>
                </c:pt>
                <c:pt idx="29">
                  <c:v>6.8</c:v>
                </c:pt>
              </c:numCache>
            </c:numRef>
          </c:xVal>
          <c:yVal>
            <c:numRef>
              <c:f>'Poly Reg 3'!$B$2:$B$31</c:f>
              <c:numCache>
                <c:formatCode>General</c:formatCode>
                <c:ptCount val="30"/>
                <c:pt idx="0">
                  <c:v>7</c:v>
                </c:pt>
                <c:pt idx="1">
                  <c:v>12</c:v>
                </c:pt>
                <c:pt idx="2">
                  <c:v>18</c:v>
                </c:pt>
                <c:pt idx="3">
                  <c:v>27</c:v>
                </c:pt>
                <c:pt idx="4">
                  <c:v>38</c:v>
                </c:pt>
                <c:pt idx="5">
                  <c:v>51</c:v>
                </c:pt>
                <c:pt idx="6">
                  <c:v>56</c:v>
                </c:pt>
                <c:pt idx="7">
                  <c:v>64</c:v>
                </c:pt>
                <c:pt idx="8">
                  <c:v>76</c:v>
                </c:pt>
                <c:pt idx="9">
                  <c:v>95</c:v>
                </c:pt>
                <c:pt idx="10">
                  <c:v>111</c:v>
                </c:pt>
                <c:pt idx="11">
                  <c:v>107</c:v>
                </c:pt>
                <c:pt idx="12">
                  <c:v>121</c:v>
                </c:pt>
                <c:pt idx="13">
                  <c:v>143</c:v>
                </c:pt>
                <c:pt idx="14">
                  <c:v>168</c:v>
                </c:pt>
                <c:pt idx="15">
                  <c:v>197</c:v>
                </c:pt>
                <c:pt idx="16">
                  <c:v>229</c:v>
                </c:pt>
                <c:pt idx="17">
                  <c:v>241</c:v>
                </c:pt>
                <c:pt idx="18">
                  <c:v>249</c:v>
                </c:pt>
                <c:pt idx="19">
                  <c:v>303</c:v>
                </c:pt>
                <c:pt idx="20">
                  <c:v>339</c:v>
                </c:pt>
                <c:pt idx="21">
                  <c:v>317</c:v>
                </c:pt>
                <c:pt idx="22">
                  <c:v>387</c:v>
                </c:pt>
                <c:pt idx="23">
                  <c:v>430</c:v>
                </c:pt>
                <c:pt idx="24">
                  <c:v>478</c:v>
                </c:pt>
                <c:pt idx="25">
                  <c:v>510</c:v>
                </c:pt>
                <c:pt idx="26">
                  <c:v>560</c:v>
                </c:pt>
                <c:pt idx="27">
                  <c:v>600</c:v>
                </c:pt>
                <c:pt idx="28">
                  <c:v>690</c:v>
                </c:pt>
                <c:pt idx="29">
                  <c:v>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48-493D-86E8-02B4F2B12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50448"/>
        <c:axId val="428350840"/>
      </c:scatterChart>
      <c:valAx>
        <c:axId val="42835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50840"/>
        <c:crosses val="autoZero"/>
        <c:crossBetween val="midCat"/>
      </c:valAx>
      <c:valAx>
        <c:axId val="42835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5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'Res 1'!$N$32:$N$46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'Res 1'!$O$32:$O$46</c:f>
              <c:numCache>
                <c:formatCode>General</c:formatCode>
                <c:ptCount val="15"/>
                <c:pt idx="0">
                  <c:v>-2.5794191686621275</c:v>
                </c:pt>
                <c:pt idx="1">
                  <c:v>6.7281881254988463</c:v>
                </c:pt>
                <c:pt idx="2">
                  <c:v>-10.015411064038815</c:v>
                </c:pt>
                <c:pt idx="3">
                  <c:v>-2.5668017437220101</c:v>
                </c:pt>
                <c:pt idx="4">
                  <c:v>9.9589856941118597</c:v>
                </c:pt>
                <c:pt idx="5">
                  <c:v>3.3051820470313658</c:v>
                </c:pt>
                <c:pt idx="6">
                  <c:v>-10.207619573893297</c:v>
                </c:pt>
                <c:pt idx="7">
                  <c:v>9.6127893411923537</c:v>
                </c:pt>
                <c:pt idx="8">
                  <c:v>2.189783262724859</c:v>
                </c:pt>
                <c:pt idx="9">
                  <c:v>1.2153865045741838</c:v>
                </c:pt>
                <c:pt idx="10">
                  <c:v>-8.9256155215816477</c:v>
                </c:pt>
                <c:pt idx="11">
                  <c:v>8.2665929882728335</c:v>
                </c:pt>
                <c:pt idx="12">
                  <c:v>-9.502609443114153</c:v>
                </c:pt>
                <c:pt idx="13">
                  <c:v>8.7923804261067033</c:v>
                </c:pt>
                <c:pt idx="14">
                  <c:v>-6.2718118745011537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F-4E3A-BE4E-7DFB53459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48096"/>
        <c:axId val="425014096"/>
      </c:scatterChart>
      <c:valAx>
        <c:axId val="428348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5014096"/>
        <c:crosses val="autoZero"/>
        <c:crossBetween val="midCat"/>
      </c:valAx>
      <c:valAx>
        <c:axId val="425014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8348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'Res 1'!$Q$32:$Q$46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'Res 1'!$R$32:$R$46</c:f>
              <c:numCache>
                <c:formatCode>General</c:formatCode>
                <c:ptCount val="15"/>
                <c:pt idx="0">
                  <c:v>-0.32345100811793859</c:v>
                </c:pt>
                <c:pt idx="1">
                  <c:v>0.84369351768774359</c:v>
                </c:pt>
                <c:pt idx="2">
                  <c:v>-1.2559008806076084</c:v>
                </c:pt>
                <c:pt idx="3">
                  <c:v>-0.32186882292434321</c:v>
                </c:pt>
                <c:pt idx="4">
                  <c:v>1.2488253176250446</c:v>
                </c:pt>
                <c:pt idx="5">
                  <c:v>0.41445937834140428</c:v>
                </c:pt>
                <c:pt idx="6">
                  <c:v>-1.2800032200166485</c:v>
                </c:pt>
                <c:pt idx="7">
                  <c:v>1.2054133895758909</c:v>
                </c:pt>
                <c:pt idx="8">
                  <c:v>0.27459189746795337</c:v>
                </c:pt>
                <c:pt idx="9">
                  <c:v>0.1524056248528837</c:v>
                </c:pt>
                <c:pt idx="10">
                  <c:v>-1.1192439653094886</c:v>
                </c:pt>
                <c:pt idx="11">
                  <c:v>1.0366046233363364</c:v>
                </c:pt>
                <c:pt idx="12">
                  <c:v>-1.1915971787247441</c:v>
                </c:pt>
                <c:pt idx="13">
                  <c:v>1.1025367056009348</c:v>
                </c:pt>
                <c:pt idx="14">
                  <c:v>-0.78646537878744494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31-4F6A-B3D4-EE599E828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25072"/>
        <c:axId val="425023112"/>
      </c:scatterChart>
      <c:valAx>
        <c:axId val="42502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5023112"/>
        <c:crosses val="autoZero"/>
        <c:crossBetween val="midCat"/>
      </c:valAx>
      <c:valAx>
        <c:axId val="425023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5025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Studentized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'Res 1'!$T$32:$T$46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'Res 1'!$U$32:$U$46</c:f>
              <c:numCache>
                <c:formatCode>General</c:formatCode>
                <c:ptCount val="15"/>
                <c:pt idx="0">
                  <c:v>-0.35336731270605498</c:v>
                </c:pt>
                <c:pt idx="1">
                  <c:v>0.87611128018264017</c:v>
                </c:pt>
                <c:pt idx="2">
                  <c:v>-1.3101560983825884</c:v>
                </c:pt>
                <c:pt idx="3">
                  <c:v>-0.43139948969891356</c:v>
                </c:pt>
                <c:pt idx="4">
                  <c:v>1.2944977248762728</c:v>
                </c:pt>
                <c:pt idx="5">
                  <c:v>0.44345901226089324</c:v>
                </c:pt>
                <c:pt idx="6">
                  <c:v>-1.4099863361999463</c:v>
                </c:pt>
                <c:pt idx="7">
                  <c:v>1.2613493026239915</c:v>
                </c:pt>
                <c:pt idx="8">
                  <c:v>0.28931010782196626</c:v>
                </c:pt>
                <c:pt idx="9">
                  <c:v>0.15776103618215834</c:v>
                </c:pt>
                <c:pt idx="10">
                  <c:v>-1.1669524669732534</c:v>
                </c:pt>
                <c:pt idx="11">
                  <c:v>1.1438539062603683</c:v>
                </c:pt>
                <c:pt idx="12">
                  <c:v>-1.2624561672637942</c:v>
                </c:pt>
                <c:pt idx="13">
                  <c:v>1.2144982651184277</c:v>
                </c:pt>
                <c:pt idx="14">
                  <c:v>-0.81668422879101499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6-4F69-AEB5-FA76E6CB4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21936"/>
        <c:axId val="425023504"/>
      </c:scatterChart>
      <c:valAx>
        <c:axId val="42502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5023504"/>
        <c:crosses val="autoZero"/>
        <c:crossBetween val="midCat"/>
      </c:valAx>
      <c:valAx>
        <c:axId val="42502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50219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QQ Plot -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Linear (Series1)</c:name>
            <c:trendlineType val="linear"/>
            <c:dispRSqr val="0"/>
            <c:dispEq val="0"/>
          </c:trendline>
          <c:xVal>
            <c:numRef>
              <c:f>'Res 1'!$O$56:$O$70</c:f>
              <c:numCache>
                <c:formatCode>General</c:formatCode>
                <c:ptCount val="15"/>
                <c:pt idx="0">
                  <c:v>-10.207619573893297</c:v>
                </c:pt>
                <c:pt idx="1">
                  <c:v>-10.015411064038815</c:v>
                </c:pt>
                <c:pt idx="2">
                  <c:v>-9.502609443114153</c:v>
                </c:pt>
                <c:pt idx="3">
                  <c:v>-8.9256155215816477</c:v>
                </c:pt>
                <c:pt idx="4">
                  <c:v>-6.2718118745011537</c:v>
                </c:pt>
                <c:pt idx="5">
                  <c:v>-2.5794191686621275</c:v>
                </c:pt>
                <c:pt idx="6">
                  <c:v>-2.5668017437220101</c:v>
                </c:pt>
                <c:pt idx="7">
                  <c:v>1.2153865045741838</c:v>
                </c:pt>
                <c:pt idx="8">
                  <c:v>2.189783262724859</c:v>
                </c:pt>
                <c:pt idx="9">
                  <c:v>3.3051820470313658</c:v>
                </c:pt>
                <c:pt idx="10">
                  <c:v>6.7281881254988463</c:v>
                </c:pt>
                <c:pt idx="11">
                  <c:v>8.2665929882728335</c:v>
                </c:pt>
                <c:pt idx="12">
                  <c:v>8.7923804261067033</c:v>
                </c:pt>
                <c:pt idx="13">
                  <c:v>9.6127893411923537</c:v>
                </c:pt>
                <c:pt idx="14">
                  <c:v>9.9589856941118597</c:v>
                </c:pt>
              </c:numCache>
            </c:numRef>
          </c:xVal>
          <c:yVal>
            <c:numRef>
              <c:f>'Res 1'!$P$56:$P$70</c:f>
              <c:numCache>
                <c:formatCode>General</c:formatCode>
                <c:ptCount val="15"/>
                <c:pt idx="0">
                  <c:v>-1.8339146358159142</c:v>
                </c:pt>
                <c:pt idx="1">
                  <c:v>-1.2815515655446006</c:v>
                </c:pt>
                <c:pt idx="2">
                  <c:v>-0.96742156610170071</c:v>
                </c:pt>
                <c:pt idx="3">
                  <c:v>-0.72791329088164469</c:v>
                </c:pt>
                <c:pt idx="4">
                  <c:v>-0.52440051270804089</c:v>
                </c:pt>
                <c:pt idx="5">
                  <c:v>-0.34069482708779553</c:v>
                </c:pt>
                <c:pt idx="6">
                  <c:v>-0.16789400478810546</c:v>
                </c:pt>
                <c:pt idx="7">
                  <c:v>0</c:v>
                </c:pt>
                <c:pt idx="8">
                  <c:v>0.16789400478810546</c:v>
                </c:pt>
                <c:pt idx="9">
                  <c:v>0.34069482708779542</c:v>
                </c:pt>
                <c:pt idx="10">
                  <c:v>0.52440051270804078</c:v>
                </c:pt>
                <c:pt idx="11">
                  <c:v>0.72791329088164458</c:v>
                </c:pt>
                <c:pt idx="12">
                  <c:v>0.96742156610170071</c:v>
                </c:pt>
                <c:pt idx="13">
                  <c:v>1.2815515655446006</c:v>
                </c:pt>
                <c:pt idx="14">
                  <c:v>1.8339146358159142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9B-4D05-8C3D-184FCCBA1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15664"/>
        <c:axId val="425014488"/>
      </c:scatterChart>
      <c:valAx>
        <c:axId val="425015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5014488"/>
        <c:crosses val="autoZero"/>
        <c:crossBetween val="midCat"/>
      </c:valAx>
      <c:valAx>
        <c:axId val="4250144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Std Normal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5015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QQ Plot - 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Linear (Series1)</c:name>
            <c:trendlineType val="linear"/>
            <c:dispRSqr val="0"/>
            <c:dispEq val="0"/>
          </c:trendline>
          <c:xVal>
            <c:numRef>
              <c:f>'Res 1'!$O$80:$O$94</c:f>
              <c:numCache>
                <c:formatCode>General</c:formatCode>
                <c:ptCount val="15"/>
                <c:pt idx="0">
                  <c:v>53</c:v>
                </c:pt>
                <c:pt idx="1">
                  <c:v>58</c:v>
                </c:pt>
                <c:pt idx="2">
                  <c:v>60</c:v>
                </c:pt>
                <c:pt idx="3">
                  <c:v>65</c:v>
                </c:pt>
                <c:pt idx="4">
                  <c:v>68</c:v>
                </c:pt>
                <c:pt idx="5">
                  <c:v>72</c:v>
                </c:pt>
                <c:pt idx="6">
                  <c:v>73</c:v>
                </c:pt>
                <c:pt idx="7">
                  <c:v>75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84</c:v>
                </c:pt>
                <c:pt idx="13">
                  <c:v>85</c:v>
                </c:pt>
                <c:pt idx="14">
                  <c:v>92</c:v>
                </c:pt>
              </c:numCache>
            </c:numRef>
          </c:xVal>
          <c:yVal>
            <c:numRef>
              <c:f>'Res 1'!$P$80:$P$94</c:f>
              <c:numCache>
                <c:formatCode>General</c:formatCode>
                <c:ptCount val="15"/>
                <c:pt idx="0">
                  <c:v>-1.8339146358159142</c:v>
                </c:pt>
                <c:pt idx="1">
                  <c:v>-1.2815515655446006</c:v>
                </c:pt>
                <c:pt idx="2">
                  <c:v>-0.96742156610170071</c:v>
                </c:pt>
                <c:pt idx="3">
                  <c:v>-0.72791329088164469</c:v>
                </c:pt>
                <c:pt idx="4">
                  <c:v>-0.52440051270804089</c:v>
                </c:pt>
                <c:pt idx="5">
                  <c:v>-0.34069482708779553</c:v>
                </c:pt>
                <c:pt idx="6">
                  <c:v>-0.16789400478810546</c:v>
                </c:pt>
                <c:pt idx="7">
                  <c:v>0</c:v>
                </c:pt>
                <c:pt idx="8">
                  <c:v>0.16789400478810546</c:v>
                </c:pt>
                <c:pt idx="9">
                  <c:v>0.34069482708779542</c:v>
                </c:pt>
                <c:pt idx="10">
                  <c:v>0.52440051270804078</c:v>
                </c:pt>
                <c:pt idx="11">
                  <c:v>0.72791329088164458</c:v>
                </c:pt>
                <c:pt idx="12">
                  <c:v>0.96742156610170071</c:v>
                </c:pt>
                <c:pt idx="13">
                  <c:v>1.2815515655446006</c:v>
                </c:pt>
                <c:pt idx="14">
                  <c:v>1.8339146358159142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2-49A7-85C5-6F0E27B6B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22328"/>
        <c:axId val="425015272"/>
      </c:scatterChart>
      <c:valAx>
        <c:axId val="425022328"/>
        <c:scaling>
          <c:orientation val="minMax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5015272"/>
        <c:crosses val="autoZero"/>
        <c:crossBetween val="midCat"/>
      </c:valAx>
      <c:valAx>
        <c:axId val="425015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Std Normal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50223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QQ Plot - Studentized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Linear (Series1)</c:name>
            <c:trendlineType val="linear"/>
            <c:dispRSqr val="0"/>
            <c:dispEq val="0"/>
          </c:trendline>
          <c:xVal>
            <c:numRef>
              <c:f>'Res 1'!$O$104:$O$118</c:f>
              <c:numCache>
                <c:formatCode>General</c:formatCode>
                <c:ptCount val="15"/>
                <c:pt idx="0">
                  <c:v>-4.4098569762515689</c:v>
                </c:pt>
                <c:pt idx="1">
                  <c:v>-3.9547885483193022</c:v>
                </c:pt>
                <c:pt idx="2">
                  <c:v>-3.6074996744649384</c:v>
                </c:pt>
                <c:pt idx="3">
                  <c:v>-3.0521593017915123</c:v>
                </c:pt>
                <c:pt idx="4">
                  <c:v>-2.9181511633249473</c:v>
                </c:pt>
                <c:pt idx="5">
                  <c:v>-0.80323912920398621</c:v>
                </c:pt>
                <c:pt idx="6">
                  <c:v>-0.48341021558419511</c:v>
                </c:pt>
                <c:pt idx="7">
                  <c:v>0.58993854401092605</c:v>
                </c:pt>
                <c:pt idx="8">
                  <c:v>0.87201107950729451</c:v>
                </c:pt>
                <c:pt idx="9">
                  <c:v>1.1652422147908958</c:v>
                </c:pt>
                <c:pt idx="10">
                  <c:v>2.4519555167106906</c:v>
                </c:pt>
                <c:pt idx="11">
                  <c:v>2.6289915595077131</c:v>
                </c:pt>
                <c:pt idx="12">
                  <c:v>3.1304940898048206</c:v>
                </c:pt>
                <c:pt idx="13">
                  <c:v>4.0931940220702412</c:v>
                </c:pt>
                <c:pt idx="14">
                  <c:v>4.7432418796866473</c:v>
                </c:pt>
              </c:numCache>
            </c:numRef>
          </c:xVal>
          <c:yVal>
            <c:numRef>
              <c:f>'Res 1'!$P$104:$P$118</c:f>
              <c:numCache>
                <c:formatCode>General</c:formatCode>
                <c:ptCount val="15"/>
                <c:pt idx="0">
                  <c:v>-1.8339146358159142</c:v>
                </c:pt>
                <c:pt idx="1">
                  <c:v>-1.2815515655446006</c:v>
                </c:pt>
                <c:pt idx="2">
                  <c:v>-0.96742156610170071</c:v>
                </c:pt>
                <c:pt idx="3">
                  <c:v>-0.72791329088164469</c:v>
                </c:pt>
                <c:pt idx="4">
                  <c:v>-0.52440051270804089</c:v>
                </c:pt>
                <c:pt idx="5">
                  <c:v>-0.34069482708779553</c:v>
                </c:pt>
                <c:pt idx="6">
                  <c:v>-0.16789400478810546</c:v>
                </c:pt>
                <c:pt idx="7">
                  <c:v>0</c:v>
                </c:pt>
                <c:pt idx="8">
                  <c:v>0.16789400478810546</c:v>
                </c:pt>
                <c:pt idx="9">
                  <c:v>0.34069482708779542</c:v>
                </c:pt>
                <c:pt idx="10">
                  <c:v>0.52440051270804078</c:v>
                </c:pt>
                <c:pt idx="11">
                  <c:v>0.72791329088164458</c:v>
                </c:pt>
                <c:pt idx="12">
                  <c:v>0.96742156610170071</c:v>
                </c:pt>
                <c:pt idx="13">
                  <c:v>1.2815515655446006</c:v>
                </c:pt>
                <c:pt idx="14">
                  <c:v>1.8339146358159142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4A-4508-B4F5-33E89BB6F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22720"/>
        <c:axId val="425016840"/>
      </c:scatterChart>
      <c:valAx>
        <c:axId val="42502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5016840"/>
        <c:crosses val="autoZero"/>
        <c:crossBetween val="midCat"/>
      </c:valAx>
      <c:valAx>
        <c:axId val="4250168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Std Normal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5022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QQ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name>Linear (Series1)</c:name>
            <c:trendlineType val="linear"/>
            <c:dispRSqr val="0"/>
            <c:dispEq val="0"/>
          </c:trendline>
          <c:xVal>
            <c:numRef>
              <c:f>'Res 2'!$B$31:$B$41</c:f>
              <c:numCache>
                <c:formatCode>General</c:formatCode>
                <c:ptCount val="11"/>
                <c:pt idx="0">
                  <c:v>25</c:v>
                </c:pt>
                <c:pt idx="1">
                  <c:v>33</c:v>
                </c:pt>
                <c:pt idx="2">
                  <c:v>38</c:v>
                </c:pt>
                <c:pt idx="3">
                  <c:v>38</c:v>
                </c:pt>
                <c:pt idx="4">
                  <c:v>43</c:v>
                </c:pt>
                <c:pt idx="5">
                  <c:v>49</c:v>
                </c:pt>
                <c:pt idx="6">
                  <c:v>51</c:v>
                </c:pt>
                <c:pt idx="7">
                  <c:v>51</c:v>
                </c:pt>
                <c:pt idx="8">
                  <c:v>55</c:v>
                </c:pt>
                <c:pt idx="9">
                  <c:v>65</c:v>
                </c:pt>
                <c:pt idx="10">
                  <c:v>71</c:v>
                </c:pt>
              </c:numCache>
            </c:numRef>
          </c:xVal>
          <c:yVal>
            <c:numRef>
              <c:f>'Res 2'!$C$31:$C$41</c:f>
              <c:numCache>
                <c:formatCode>General</c:formatCode>
                <c:ptCount val="11"/>
                <c:pt idx="0">
                  <c:v>-1.6906216295848977</c:v>
                </c:pt>
                <c:pt idx="1">
                  <c:v>-1.096803562093513</c:v>
                </c:pt>
                <c:pt idx="2">
                  <c:v>-0.74785859476330196</c:v>
                </c:pt>
                <c:pt idx="3">
                  <c:v>-0.47278912099226744</c:v>
                </c:pt>
                <c:pt idx="4">
                  <c:v>-0.22988411757923208</c:v>
                </c:pt>
                <c:pt idx="5">
                  <c:v>0</c:v>
                </c:pt>
                <c:pt idx="6">
                  <c:v>0.22988411757923222</c:v>
                </c:pt>
                <c:pt idx="7">
                  <c:v>0.47278912099226728</c:v>
                </c:pt>
                <c:pt idx="8">
                  <c:v>0.74785859476330196</c:v>
                </c:pt>
                <c:pt idx="9">
                  <c:v>1.096803562093513</c:v>
                </c:pt>
                <c:pt idx="10">
                  <c:v>1.6906216295848984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7E-40AA-B55A-0070E43E1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23896"/>
        <c:axId val="425018800"/>
      </c:scatterChart>
      <c:valAx>
        <c:axId val="425023896"/>
        <c:scaling>
          <c:orientation val="minMax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5018800"/>
        <c:crosses val="autoZero"/>
        <c:crossBetween val="midCat"/>
      </c:valAx>
      <c:valAx>
        <c:axId val="42501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Std Normal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50238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'Res 2'!$S$27:$S$37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9</c:v>
                </c:pt>
              </c:numCache>
            </c:numRef>
          </c:xVal>
          <c:yVal>
            <c:numRef>
              <c:f>'Res 2'!$T$27:$T$37</c:f>
              <c:numCache>
                <c:formatCode>General</c:formatCode>
                <c:ptCount val="11"/>
                <c:pt idx="0">
                  <c:v>10.189500375171463</c:v>
                </c:pt>
                <c:pt idx="1">
                  <c:v>-4.7461771326554327</c:v>
                </c:pt>
                <c:pt idx="2">
                  <c:v>-5.2951693446143224</c:v>
                </c:pt>
                <c:pt idx="3">
                  <c:v>-6.6721260575952073</c:v>
                </c:pt>
                <c:pt idx="4">
                  <c:v>-2.0842453879789105</c:v>
                </c:pt>
                <c:pt idx="5">
                  <c:v>1.7384925871303665</c:v>
                </c:pt>
                <c:pt idx="6">
                  <c:v>3.6674428833864141</c:v>
                </c:pt>
                <c:pt idx="7">
                  <c:v>-1.0924732852078947</c:v>
                </c:pt>
                <c:pt idx="8">
                  <c:v>3.7773810447877594</c:v>
                </c:pt>
                <c:pt idx="9">
                  <c:v>4.8432042226190006</c:v>
                </c:pt>
                <c:pt idx="10">
                  <c:v>-4.3258299050427382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77-47C7-B277-1FBD4E903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24288"/>
        <c:axId val="425019192"/>
      </c:scatterChart>
      <c:valAx>
        <c:axId val="42502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5019192"/>
        <c:crosses val="autoZero"/>
        <c:crossBetween val="midCat"/>
      </c:valAx>
      <c:valAx>
        <c:axId val="425019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50242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'Res 2'!$V$27:$V$37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9</c:v>
                </c:pt>
              </c:numCache>
            </c:numRef>
          </c:xVal>
          <c:yVal>
            <c:numRef>
              <c:f>'Res 2'!$W$27:$W$37</c:f>
              <c:numCache>
                <c:formatCode>General</c:formatCode>
                <c:ptCount val="11"/>
                <c:pt idx="0">
                  <c:v>0.72498805947326206</c:v>
                </c:pt>
                <c:pt idx="1">
                  <c:v>-0.33769288214608184</c:v>
                </c:pt>
                <c:pt idx="2">
                  <c:v>-0.37675395322507593</c:v>
                </c:pt>
                <c:pt idx="3">
                  <c:v>-0.47472511359277891</c:v>
                </c:pt>
                <c:pt idx="4">
                  <c:v>-0.14829510414258162</c:v>
                </c:pt>
                <c:pt idx="5">
                  <c:v>0.12369461904368265</c:v>
                </c:pt>
                <c:pt idx="6">
                  <c:v>0.26094039956405612</c:v>
                </c:pt>
                <c:pt idx="7">
                  <c:v>-7.7730021876163222E-2</c:v>
                </c:pt>
                <c:pt idx="8">
                  <c:v>0.26876255485742384</c:v>
                </c:pt>
                <c:pt idx="9">
                  <c:v>0.34459640823460619</c:v>
                </c:pt>
                <c:pt idx="10">
                  <c:v>-0.30778496619031398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F1-448D-B84B-F395508E8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17232"/>
        <c:axId val="425017624"/>
      </c:scatterChart>
      <c:valAx>
        <c:axId val="42501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5017624"/>
        <c:crosses val="autoZero"/>
        <c:crossBetween val="midCat"/>
      </c:valAx>
      <c:valAx>
        <c:axId val="425017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5017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Studentized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'Res 2'!$Z$27:$Z$37</c:f>
              <c:numCache>
                <c:formatCode>General</c:formatCode>
                <c:ptCount val="11"/>
                <c:pt idx="0">
                  <c:v>65</c:v>
                </c:pt>
                <c:pt idx="1">
                  <c:v>38</c:v>
                </c:pt>
                <c:pt idx="2">
                  <c:v>51</c:v>
                </c:pt>
                <c:pt idx="3">
                  <c:v>38</c:v>
                </c:pt>
                <c:pt idx="4">
                  <c:v>55</c:v>
                </c:pt>
                <c:pt idx="5">
                  <c:v>43</c:v>
                </c:pt>
                <c:pt idx="6">
                  <c:v>25</c:v>
                </c:pt>
                <c:pt idx="7">
                  <c:v>33</c:v>
                </c:pt>
                <c:pt idx="8">
                  <c:v>71</c:v>
                </c:pt>
                <c:pt idx="9">
                  <c:v>51</c:v>
                </c:pt>
                <c:pt idx="10">
                  <c:v>49</c:v>
                </c:pt>
              </c:numCache>
            </c:numRef>
          </c:xVal>
          <c:yVal>
            <c:numRef>
              <c:f>'Res 2'!$Y$27:$Y$37</c:f>
              <c:numCache>
                <c:formatCode>General</c:formatCode>
                <c:ptCount val="11"/>
                <c:pt idx="0">
                  <c:v>0.77626092500939581</c:v>
                </c:pt>
                <c:pt idx="1">
                  <c:v>-0.40091962202771336</c:v>
                </c:pt>
                <c:pt idx="2">
                  <c:v>-0.44873662056771335</c:v>
                </c:pt>
                <c:pt idx="3">
                  <c:v>-0.55452191252345118</c:v>
                </c:pt>
                <c:pt idx="4">
                  <c:v>-0.17085594259939102</c:v>
                </c:pt>
                <c:pt idx="5">
                  <c:v>0.13147122406662365</c:v>
                </c:pt>
                <c:pt idx="6">
                  <c:v>0.39888040416573833</c:v>
                </c:pt>
                <c:pt idx="7">
                  <c:v>-9.7779885651430545E-2</c:v>
                </c:pt>
                <c:pt idx="8">
                  <c:v>0.33504257588057895</c:v>
                </c:pt>
                <c:pt idx="9">
                  <c:v>0.36166007666644429</c:v>
                </c:pt>
                <c:pt idx="10">
                  <c:v>-0.36006771891297884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18-430B-B293-10F5944F5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19584"/>
        <c:axId val="425018016"/>
      </c:scatterChart>
      <c:valAx>
        <c:axId val="425019584"/>
        <c:scaling>
          <c:orientation val="minMax"/>
          <c:min val="20"/>
        </c:scaling>
        <c:delete val="0"/>
        <c:axPos val="b"/>
        <c:numFmt formatCode="General" sourceLinked="1"/>
        <c:majorTickMark val="out"/>
        <c:minorTickMark val="none"/>
        <c:tickLblPos val="nextTo"/>
        <c:crossAx val="425018016"/>
        <c:crosses val="autoZero"/>
        <c:crossBetween val="midCat"/>
      </c:valAx>
      <c:valAx>
        <c:axId val="425018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5019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'Res 2'!$S$60:$S$70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'Res 2'!$T$60:$T$70</c:f>
              <c:numCache>
                <c:formatCode>General</c:formatCode>
                <c:ptCount val="11"/>
                <c:pt idx="0">
                  <c:v>10.189500375171463</c:v>
                </c:pt>
                <c:pt idx="1">
                  <c:v>-4.7461771326554327</c:v>
                </c:pt>
                <c:pt idx="2">
                  <c:v>-5.2951693446143224</c:v>
                </c:pt>
                <c:pt idx="3">
                  <c:v>-6.6721260575952073</c:v>
                </c:pt>
                <c:pt idx="4">
                  <c:v>-2.0842453879789105</c:v>
                </c:pt>
                <c:pt idx="5">
                  <c:v>1.7384925871303665</c:v>
                </c:pt>
                <c:pt idx="6">
                  <c:v>3.6674428833864141</c:v>
                </c:pt>
                <c:pt idx="7">
                  <c:v>-1.0924732852078947</c:v>
                </c:pt>
                <c:pt idx="8">
                  <c:v>3.7773810447877594</c:v>
                </c:pt>
                <c:pt idx="9">
                  <c:v>4.8432042226190006</c:v>
                </c:pt>
                <c:pt idx="10">
                  <c:v>-4.3258299050427382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E9-4CFA-8F8B-59AEEE0C5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13704"/>
        <c:axId val="425019976"/>
      </c:scatterChart>
      <c:valAx>
        <c:axId val="425013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5019976"/>
        <c:crosses val="autoZero"/>
        <c:crossBetween val="midCat"/>
      </c:valAx>
      <c:valAx>
        <c:axId val="425019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50137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'Res 2'!$V$60:$V$70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'Res 2'!$W$60:$W$70</c:f>
              <c:numCache>
                <c:formatCode>General</c:formatCode>
                <c:ptCount val="11"/>
                <c:pt idx="0">
                  <c:v>0.72498805947326206</c:v>
                </c:pt>
                <c:pt idx="1">
                  <c:v>-0.33769288214608184</c:v>
                </c:pt>
                <c:pt idx="2">
                  <c:v>-0.37675395322507593</c:v>
                </c:pt>
                <c:pt idx="3">
                  <c:v>-0.47472511359277891</c:v>
                </c:pt>
                <c:pt idx="4">
                  <c:v>-0.14829510414258162</c:v>
                </c:pt>
                <c:pt idx="5">
                  <c:v>0.12369461904368265</c:v>
                </c:pt>
                <c:pt idx="6">
                  <c:v>0.26094039956405612</c:v>
                </c:pt>
                <c:pt idx="7">
                  <c:v>-7.7730021876163222E-2</c:v>
                </c:pt>
                <c:pt idx="8">
                  <c:v>0.26876255485742384</c:v>
                </c:pt>
                <c:pt idx="9">
                  <c:v>0.34459640823460619</c:v>
                </c:pt>
                <c:pt idx="10">
                  <c:v>-0.30778496619031398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A2-41AB-B49D-090C1A4C4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28600"/>
        <c:axId val="425026640"/>
      </c:scatterChart>
      <c:valAx>
        <c:axId val="425028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5026640"/>
        <c:crosses val="autoZero"/>
        <c:crossBetween val="midCat"/>
      </c:valAx>
      <c:valAx>
        <c:axId val="425026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5028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Studentized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'Res 2'!$Y$60:$Y$70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'Res 2'!$Z$60:$Z$70</c:f>
              <c:numCache>
                <c:formatCode>General</c:formatCode>
                <c:ptCount val="11"/>
                <c:pt idx="0">
                  <c:v>0.72498805947326206</c:v>
                </c:pt>
                <c:pt idx="1">
                  <c:v>-0.33769288214608184</c:v>
                </c:pt>
                <c:pt idx="2">
                  <c:v>-0.37675395322507593</c:v>
                </c:pt>
                <c:pt idx="3">
                  <c:v>-0.47472511359277891</c:v>
                </c:pt>
                <c:pt idx="4">
                  <c:v>-0.14829510414258162</c:v>
                </c:pt>
                <c:pt idx="5">
                  <c:v>0.12369461904368265</c:v>
                </c:pt>
                <c:pt idx="6">
                  <c:v>0.26094039956405612</c:v>
                </c:pt>
                <c:pt idx="7">
                  <c:v>-7.7730021876163222E-2</c:v>
                </c:pt>
                <c:pt idx="8">
                  <c:v>0.26876255485742384</c:v>
                </c:pt>
                <c:pt idx="9">
                  <c:v>0.34459640823460619</c:v>
                </c:pt>
                <c:pt idx="10">
                  <c:v>-0.30778496619031398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92-4CA3-BDCE-4ED611900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28992"/>
        <c:axId val="425025856"/>
      </c:scatterChart>
      <c:valAx>
        <c:axId val="425028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5025856"/>
        <c:crosses val="autoZero"/>
        <c:crossBetween val="midCat"/>
      </c:valAx>
      <c:valAx>
        <c:axId val="425025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50289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Longevity</a:t>
            </a:r>
            <a:r>
              <a:rPr lang="en-US" baseline="0"/>
              <a:t> vs Smoking - Version 1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'Cooks 1'!$B$5</c:f>
              <c:strCache>
                <c:ptCount val="1"/>
                <c:pt idx="0">
                  <c:v>Life Exp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'Cooks 1'!$A$6:$A$20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'Cooks 1'!$B$6:$B$20</c:f>
              <c:numCache>
                <c:formatCode>General</c:formatCode>
                <c:ptCount val="15"/>
                <c:pt idx="0">
                  <c:v>80</c:v>
                </c:pt>
                <c:pt idx="1">
                  <c:v>78</c:v>
                </c:pt>
                <c:pt idx="2">
                  <c:v>60</c:v>
                </c:pt>
                <c:pt idx="3">
                  <c:v>53</c:v>
                </c:pt>
                <c:pt idx="4">
                  <c:v>85</c:v>
                </c:pt>
                <c:pt idx="5">
                  <c:v>84</c:v>
                </c:pt>
                <c:pt idx="6">
                  <c:v>73</c:v>
                </c:pt>
                <c:pt idx="7">
                  <c:v>79</c:v>
                </c:pt>
                <c:pt idx="8">
                  <c:v>81</c:v>
                </c:pt>
                <c:pt idx="9">
                  <c:v>75</c:v>
                </c:pt>
                <c:pt idx="10">
                  <c:v>68</c:v>
                </c:pt>
                <c:pt idx="11">
                  <c:v>72</c:v>
                </c:pt>
                <c:pt idx="12">
                  <c:v>58</c:v>
                </c:pt>
                <c:pt idx="13">
                  <c:v>92</c:v>
                </c:pt>
                <c:pt idx="14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95-4D20-8681-9D5974304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26248"/>
        <c:axId val="425027032"/>
      </c:scatterChart>
      <c:valAx>
        <c:axId val="425026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Cigarettes smoked (per day)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5027032"/>
        <c:crosses val="autoZero"/>
        <c:crossBetween val="midCat"/>
      </c:valAx>
      <c:valAx>
        <c:axId val="425027032"/>
        <c:scaling>
          <c:orientation val="minMax"/>
          <c:min val="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Life Expectancy (years)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50262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Longevity</a:t>
            </a:r>
            <a:r>
              <a:rPr lang="en-US" baseline="0"/>
              <a:t> vs Smoking - Version 2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'Cooks 1'!$B$28</c:f>
              <c:strCache>
                <c:ptCount val="1"/>
                <c:pt idx="0">
                  <c:v>Life Exp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'Cooks 1'!$A$29:$A$43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'Cooks 1'!$B$29:$B$43</c:f>
              <c:numCache>
                <c:formatCode>General</c:formatCode>
                <c:ptCount val="15"/>
                <c:pt idx="0">
                  <c:v>80</c:v>
                </c:pt>
                <c:pt idx="1">
                  <c:v>78</c:v>
                </c:pt>
                <c:pt idx="2">
                  <c:v>60</c:v>
                </c:pt>
                <c:pt idx="3">
                  <c:v>83</c:v>
                </c:pt>
                <c:pt idx="4">
                  <c:v>85</c:v>
                </c:pt>
                <c:pt idx="5">
                  <c:v>84</c:v>
                </c:pt>
                <c:pt idx="6">
                  <c:v>73</c:v>
                </c:pt>
                <c:pt idx="7">
                  <c:v>79</c:v>
                </c:pt>
                <c:pt idx="8">
                  <c:v>81</c:v>
                </c:pt>
                <c:pt idx="9">
                  <c:v>75</c:v>
                </c:pt>
                <c:pt idx="10">
                  <c:v>68</c:v>
                </c:pt>
                <c:pt idx="11">
                  <c:v>72</c:v>
                </c:pt>
                <c:pt idx="12">
                  <c:v>58</c:v>
                </c:pt>
                <c:pt idx="13">
                  <c:v>92</c:v>
                </c:pt>
                <c:pt idx="14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F4-4F4F-B34C-746F05854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83000"/>
        <c:axId val="504292408"/>
      </c:scatterChart>
      <c:valAx>
        <c:axId val="504283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Cigarettes smoked (per day)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292408"/>
        <c:crosses val="autoZero"/>
        <c:crossBetween val="midCat"/>
      </c:valAx>
      <c:valAx>
        <c:axId val="504292408"/>
        <c:scaling>
          <c:orientation val="minMax"/>
          <c:min val="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Life Expectancy (years)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2830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Studentized Residuals - Version 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'Cooks 1'!$W$66</c:f>
              <c:strCache>
                <c:ptCount val="1"/>
                <c:pt idx="0">
                  <c:v>RStudent</c:v>
                </c:pt>
              </c:strCache>
            </c:strRef>
          </c:tx>
          <c:spPr>
            <a:ln w="28575">
              <a:noFill/>
            </a:ln>
          </c:spPr>
          <c:xVal>
            <c:numRef>
              <c:f>'Cooks 1'!$V$67:$V$81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'Cooks 1'!$W$67:$W$81</c:f>
              <c:numCache>
                <c:formatCode>General</c:formatCode>
                <c:ptCount val="15"/>
                <c:pt idx="0">
                  <c:v>0.14623230177453703</c:v>
                </c:pt>
                <c:pt idx="1">
                  <c:v>0.41656011578665819</c:v>
                </c:pt>
                <c:pt idx="2">
                  <c:v>-2.0878910978328102</c:v>
                </c:pt>
                <c:pt idx="3">
                  <c:v>3.0335704242792341</c:v>
                </c:pt>
                <c:pt idx="4">
                  <c:v>1.1745697221543929</c:v>
                </c:pt>
                <c:pt idx="5">
                  <c:v>0.76700036126600379</c:v>
                </c:pt>
                <c:pt idx="6">
                  <c:v>-0.8359285807354262</c:v>
                </c:pt>
                <c:pt idx="7">
                  <c:v>0.64172189954042136</c:v>
                </c:pt>
                <c:pt idx="8">
                  <c:v>0.44909462967616182</c:v>
                </c:pt>
                <c:pt idx="9">
                  <c:v>-7.8160390167444527E-2</c:v>
                </c:pt>
                <c:pt idx="10">
                  <c:v>-1.1651995306055807</c:v>
                </c:pt>
                <c:pt idx="11">
                  <c:v>1.3696739817148742E-2</c:v>
                </c:pt>
                <c:pt idx="12">
                  <c:v>-2.3634766178487125</c:v>
                </c:pt>
                <c:pt idx="13">
                  <c:v>1.9646219279288331</c:v>
                </c:pt>
                <c:pt idx="14">
                  <c:v>-1.294749553741537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21-46E1-B364-217BE2BAF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90056"/>
        <c:axId val="504285744"/>
      </c:scatterChart>
      <c:valAx>
        <c:axId val="504290056"/>
        <c:scaling>
          <c:orientation val="minMax"/>
          <c:max val="50"/>
        </c:scaling>
        <c:delete val="0"/>
        <c:axPos val="b"/>
        <c:numFmt formatCode="General" sourceLinked="1"/>
        <c:majorTickMark val="out"/>
        <c:minorTickMark val="none"/>
        <c:tickLblPos val="nextTo"/>
        <c:crossAx val="504285744"/>
        <c:crosses val="autoZero"/>
        <c:crossBetween val="midCat"/>
      </c:valAx>
      <c:valAx>
        <c:axId val="504285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42900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600" b="1" i="0" baseline="0">
                <a:effectLst/>
              </a:rPr>
              <a:t>Studentized Residuals - Version 1</a:t>
            </a:r>
            <a:endParaRPr lang="it-IT" sz="1600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'Cooks 1'!$T$66</c:f>
              <c:strCache>
                <c:ptCount val="1"/>
                <c:pt idx="0">
                  <c:v>RStudent</c:v>
                </c:pt>
              </c:strCache>
            </c:strRef>
          </c:tx>
          <c:spPr>
            <a:ln w="28575">
              <a:noFill/>
            </a:ln>
          </c:spPr>
          <c:xVal>
            <c:numRef>
              <c:f>'Cooks 1'!$S$67:$S$81</c:f>
              <c:numCache>
                <c:formatCode>General</c:formatCode>
                <c:ptCount val="15"/>
                <c:pt idx="0">
                  <c:v>5</c:v>
                </c:pt>
                <c:pt idx="1">
                  <c:v>23</c:v>
                </c:pt>
                <c:pt idx="2">
                  <c:v>25</c:v>
                </c:pt>
                <c:pt idx="3">
                  <c:v>48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11</c:v>
                </c:pt>
                <c:pt idx="9">
                  <c:v>19</c:v>
                </c:pt>
                <c:pt idx="10">
                  <c:v>14</c:v>
                </c:pt>
                <c:pt idx="11">
                  <c:v>35</c:v>
                </c:pt>
                <c:pt idx="12">
                  <c:v>29</c:v>
                </c:pt>
                <c:pt idx="13">
                  <c:v>4</c:v>
                </c:pt>
                <c:pt idx="14">
                  <c:v>23</c:v>
                </c:pt>
              </c:numCache>
            </c:numRef>
          </c:xVal>
          <c:yVal>
            <c:numRef>
              <c:f>'Cooks 1'!$T$67:$T$81</c:f>
              <c:numCache>
                <c:formatCode>General</c:formatCode>
                <c:ptCount val="15"/>
                <c:pt idx="0">
                  <c:v>-0.34114668806182424</c:v>
                </c:pt>
                <c:pt idx="1">
                  <c:v>0.8677478429535036</c:v>
                </c:pt>
                <c:pt idx="2">
                  <c:v>-1.3511137768141768</c:v>
                </c:pt>
                <c:pt idx="3">
                  <c:v>-0.41747423579741882</c:v>
                </c:pt>
                <c:pt idx="4">
                  <c:v>1.3325597725103162</c:v>
                </c:pt>
                <c:pt idx="5">
                  <c:v>0.42932126412379101</c:v>
                </c:pt>
                <c:pt idx="6">
                  <c:v>-1.4718841811600343</c:v>
                </c:pt>
                <c:pt idx="7">
                  <c:v>1.2936066624599454</c:v>
                </c:pt>
                <c:pt idx="8">
                  <c:v>0.27885932646467648</c:v>
                </c:pt>
                <c:pt idx="9">
                  <c:v>0.1517172019269904</c:v>
                </c:pt>
                <c:pt idx="10">
                  <c:v>-1.1849512188942048</c:v>
                </c:pt>
                <c:pt idx="11">
                  <c:v>1.1588420374683235</c:v>
                </c:pt>
                <c:pt idx="12">
                  <c:v>-1.2949003726146766</c:v>
                </c:pt>
                <c:pt idx="13">
                  <c:v>1.2392735154674501</c:v>
                </c:pt>
                <c:pt idx="14">
                  <c:v>-0.80558236972443698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9-4EE9-B1D5-80D4460E0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91624"/>
        <c:axId val="504292016"/>
      </c:scatterChart>
      <c:valAx>
        <c:axId val="504291624"/>
        <c:scaling>
          <c:orientation val="minMax"/>
          <c:max val="50"/>
        </c:scaling>
        <c:delete val="0"/>
        <c:axPos val="b"/>
        <c:numFmt formatCode="General" sourceLinked="1"/>
        <c:majorTickMark val="out"/>
        <c:minorTickMark val="none"/>
        <c:tickLblPos val="nextTo"/>
        <c:crossAx val="504292016"/>
        <c:crosses val="autoZero"/>
        <c:crossBetween val="midCat"/>
      </c:valAx>
      <c:valAx>
        <c:axId val="504292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4291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OLS</a:t>
            </a:r>
            <a:r>
              <a:rPr lang="en-GB" baseline="0"/>
              <a:t> (blue) vs. WLS (red)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'WReg A'!$B$6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'WReg A'!$A$7:$A$13</c:f>
              <c:numCache>
                <c:formatCode>General</c:formatCode>
                <c:ptCount val="7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16</c:v>
                </c:pt>
                <c:pt idx="6">
                  <c:v>15</c:v>
                </c:pt>
              </c:numCache>
            </c:numRef>
          </c:xVal>
          <c:yVal>
            <c:numRef>
              <c:f>'WReg A'!$B$7:$B$13</c:f>
              <c:numCache>
                <c:formatCode>0.00</c:formatCode>
                <c:ptCount val="7"/>
                <c:pt idx="0">
                  <c:v>17.260000000000002</c:v>
                </c:pt>
                <c:pt idx="1">
                  <c:v>17.07</c:v>
                </c:pt>
                <c:pt idx="2">
                  <c:v>16.37</c:v>
                </c:pt>
                <c:pt idx="3">
                  <c:v>16.400000000000002</c:v>
                </c:pt>
                <c:pt idx="4">
                  <c:v>16.13</c:v>
                </c:pt>
                <c:pt idx="5">
                  <c:v>16.170000000000002</c:v>
                </c:pt>
                <c:pt idx="6">
                  <c:v>15.98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D8-4144-B9A9-B939DA6A578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'WReg A'!$U$6:$U$7</c:f>
              <c:numCache>
                <c:formatCode>General</c:formatCode>
                <c:ptCount val="2"/>
                <c:pt idx="0">
                  <c:v>15</c:v>
                </c:pt>
                <c:pt idx="1">
                  <c:v>21</c:v>
                </c:pt>
              </c:numCache>
            </c:numRef>
          </c:xVal>
          <c:yVal>
            <c:numRef>
              <c:f>'WReg A'!$V$6:$V$7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D8-4144-B9A9-B939DA6A5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88880"/>
        <c:axId val="504287704"/>
      </c:scatterChart>
      <c:valAx>
        <c:axId val="504288880"/>
        <c:scaling>
          <c:orientation val="minMax"/>
          <c:max val="21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87704"/>
        <c:crosses val="autoZero"/>
        <c:crossBetween val="midCat"/>
      </c:valAx>
      <c:valAx>
        <c:axId val="504287704"/>
        <c:scaling>
          <c:orientation val="minMax"/>
          <c:max val="17.399999999999999"/>
          <c:min val="15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8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'WReg C'!$W$5</c:f>
              <c:strCache>
                <c:ptCount val="1"/>
                <c:pt idx="0">
                  <c:v>Residual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'WReg C'!$T$6:$T$17</c:f>
              <c:numCache>
                <c:formatCode>General</c:formatCode>
                <c:ptCount val="12"/>
                <c:pt idx="0">
                  <c:v>26</c:v>
                </c:pt>
                <c:pt idx="1">
                  <c:v>24</c:v>
                </c:pt>
                <c:pt idx="2">
                  <c:v>32</c:v>
                </c:pt>
                <c:pt idx="3">
                  <c:v>20</c:v>
                </c:pt>
                <c:pt idx="4">
                  <c:v>24</c:v>
                </c:pt>
                <c:pt idx="5">
                  <c:v>27</c:v>
                </c:pt>
                <c:pt idx="6">
                  <c:v>20</c:v>
                </c:pt>
                <c:pt idx="7">
                  <c:v>23</c:v>
                </c:pt>
                <c:pt idx="8">
                  <c:v>29</c:v>
                </c:pt>
                <c:pt idx="9">
                  <c:v>22</c:v>
                </c:pt>
                <c:pt idx="10">
                  <c:v>28</c:v>
                </c:pt>
                <c:pt idx="11">
                  <c:v>21</c:v>
                </c:pt>
              </c:numCache>
            </c:numRef>
          </c:xVal>
          <c:yVal>
            <c:numRef>
              <c:f>'WReg C'!$W$6:$W$17</c:f>
              <c:numCache>
                <c:formatCode>General</c:formatCode>
                <c:ptCount val="12"/>
                <c:pt idx="0">
                  <c:v>-0.22689075630251665</c:v>
                </c:pt>
                <c:pt idx="1">
                  <c:v>4.6134453781512619</c:v>
                </c:pt>
                <c:pt idx="2">
                  <c:v>-7.7478991596638593</c:v>
                </c:pt>
                <c:pt idx="3">
                  <c:v>-1.7058823529411811</c:v>
                </c:pt>
                <c:pt idx="4">
                  <c:v>-3.3865546218487381</c:v>
                </c:pt>
                <c:pt idx="5">
                  <c:v>-5.6470588235293917</c:v>
                </c:pt>
                <c:pt idx="6">
                  <c:v>3.2941176470588189</c:v>
                </c:pt>
                <c:pt idx="7">
                  <c:v>1.0336134453781582</c:v>
                </c:pt>
                <c:pt idx="8">
                  <c:v>9.5126050420168156</c:v>
                </c:pt>
                <c:pt idx="9">
                  <c:v>-1.5462184873949596</c:v>
                </c:pt>
                <c:pt idx="10">
                  <c:v>5.9327731092436977</c:v>
                </c:pt>
                <c:pt idx="11">
                  <c:v>-4.1260504201680632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8A-4C80-BFB4-B9A110070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93192"/>
        <c:axId val="504282608"/>
      </c:scatterChart>
      <c:valAx>
        <c:axId val="504293192"/>
        <c:scaling>
          <c:orientation val="minMax"/>
          <c:max val="32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82608"/>
        <c:crosses val="autoZero"/>
        <c:crossBetween val="midCat"/>
      </c:valAx>
      <c:valAx>
        <c:axId val="504282608"/>
        <c:scaling>
          <c:orientation val="minMax"/>
          <c:max val="10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93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Ad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'WReg C'!$B$3</c:f>
              <c:strCache>
                <c:ptCount val="1"/>
                <c:pt idx="0">
                  <c:v>Clients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'WReg C'!$A$4:$A$15</c:f>
              <c:numCache>
                <c:formatCode>General</c:formatCode>
                <c:ptCount val="12"/>
                <c:pt idx="0">
                  <c:v>26</c:v>
                </c:pt>
                <c:pt idx="1">
                  <c:v>24</c:v>
                </c:pt>
                <c:pt idx="2">
                  <c:v>32</c:v>
                </c:pt>
                <c:pt idx="3">
                  <c:v>20</c:v>
                </c:pt>
                <c:pt idx="4">
                  <c:v>24</c:v>
                </c:pt>
                <c:pt idx="5">
                  <c:v>27</c:v>
                </c:pt>
                <c:pt idx="6">
                  <c:v>20</c:v>
                </c:pt>
                <c:pt idx="7">
                  <c:v>23</c:v>
                </c:pt>
                <c:pt idx="8">
                  <c:v>29</c:v>
                </c:pt>
                <c:pt idx="9">
                  <c:v>22</c:v>
                </c:pt>
                <c:pt idx="10">
                  <c:v>28</c:v>
                </c:pt>
                <c:pt idx="11">
                  <c:v>21</c:v>
                </c:pt>
              </c:numCache>
            </c:numRef>
          </c:xVal>
          <c:yVal>
            <c:numRef>
              <c:f>'WReg C'!$B$4:$B$15</c:f>
              <c:numCache>
                <c:formatCode>General</c:formatCode>
                <c:ptCount val="12"/>
                <c:pt idx="0">
                  <c:v>61</c:v>
                </c:pt>
                <c:pt idx="1">
                  <c:v>59</c:v>
                </c:pt>
                <c:pt idx="2">
                  <c:v>74</c:v>
                </c:pt>
                <c:pt idx="3">
                  <c:v>39</c:v>
                </c:pt>
                <c:pt idx="4">
                  <c:v>51</c:v>
                </c:pt>
                <c:pt idx="5">
                  <c:v>59</c:v>
                </c:pt>
                <c:pt idx="6">
                  <c:v>44</c:v>
                </c:pt>
                <c:pt idx="7">
                  <c:v>52</c:v>
                </c:pt>
                <c:pt idx="8">
                  <c:v>81</c:v>
                </c:pt>
                <c:pt idx="9">
                  <c:v>46</c:v>
                </c:pt>
                <c:pt idx="10">
                  <c:v>74</c:v>
                </c:pt>
                <c:pt idx="1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C6-4EB6-82E3-61E38AC56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84568"/>
        <c:axId val="504290448"/>
      </c:scatterChart>
      <c:valAx>
        <c:axId val="504284568"/>
        <c:scaling>
          <c:orientation val="minMax"/>
          <c:max val="32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90448"/>
        <c:crosses val="autoZero"/>
        <c:crossBetween val="midCat"/>
      </c:valAx>
      <c:valAx>
        <c:axId val="504290448"/>
        <c:scaling>
          <c:orientation val="minMax"/>
          <c:max val="9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New Clients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84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'WReg D'!$R$3</c:f>
              <c:strCache>
                <c:ptCount val="1"/>
                <c:pt idx="0">
                  <c:v>Res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'WReg D'!$Q$4:$Q$18</c:f>
              <c:numCache>
                <c:formatCode>General</c:formatCode>
                <c:ptCount val="15"/>
                <c:pt idx="0">
                  <c:v>55.026564295334694</c:v>
                </c:pt>
                <c:pt idx="1">
                  <c:v>42.689423742742569</c:v>
                </c:pt>
                <c:pt idx="2">
                  <c:v>56.567118409338214</c:v>
                </c:pt>
                <c:pt idx="3">
                  <c:v>44.619881750458461</c:v>
                </c:pt>
                <c:pt idx="4">
                  <c:v>57.340572376480964</c:v>
                </c:pt>
                <c:pt idx="5">
                  <c:v>41.14886962873905</c:v>
                </c:pt>
                <c:pt idx="6">
                  <c:v>22.259608726420481</c:v>
                </c:pt>
                <c:pt idx="7">
                  <c:v>63.892692726207414</c:v>
                </c:pt>
                <c:pt idx="8">
                  <c:v>19.562050571843827</c:v>
                </c:pt>
                <c:pt idx="9">
                  <c:v>24.957166880997136</c:v>
                </c:pt>
                <c:pt idx="10">
                  <c:v>20.719054612416969</c:v>
                </c:pt>
                <c:pt idx="11">
                  <c:v>33.823295311869856</c:v>
                </c:pt>
                <c:pt idx="12">
                  <c:v>67.747254921357211</c:v>
                </c:pt>
                <c:pt idx="13">
                  <c:v>46.160435864461974</c:v>
                </c:pt>
                <c:pt idx="14">
                  <c:v>53.486010181331174</c:v>
                </c:pt>
              </c:numCache>
            </c:numRef>
          </c:xVal>
          <c:yVal>
            <c:numRef>
              <c:f>'WReg D'!$R$4:$R$18</c:f>
              <c:numCache>
                <c:formatCode>General</c:formatCode>
                <c:ptCount val="15"/>
                <c:pt idx="0">
                  <c:v>9.9734357046653059</c:v>
                </c:pt>
                <c:pt idx="1">
                  <c:v>-4.6894237427425693</c:v>
                </c:pt>
                <c:pt idx="2">
                  <c:v>-5.5671184093382138</c:v>
                </c:pt>
                <c:pt idx="3">
                  <c:v>-6.6198817504584611</c:v>
                </c:pt>
                <c:pt idx="4">
                  <c:v>-2.3405723764809636</c:v>
                </c:pt>
                <c:pt idx="5">
                  <c:v>1.8511303712609504</c:v>
                </c:pt>
                <c:pt idx="6">
                  <c:v>-2.2596087264204812</c:v>
                </c:pt>
                <c:pt idx="7">
                  <c:v>1.1073072737925855</c:v>
                </c:pt>
                <c:pt idx="8">
                  <c:v>0.43794942815617333</c:v>
                </c:pt>
                <c:pt idx="9">
                  <c:v>1.0428331190028644</c:v>
                </c:pt>
                <c:pt idx="10">
                  <c:v>4.2809453875830314</c:v>
                </c:pt>
                <c:pt idx="11">
                  <c:v>-0.82329531186985605</c:v>
                </c:pt>
                <c:pt idx="12">
                  <c:v>3.2527450786427892</c:v>
                </c:pt>
                <c:pt idx="13">
                  <c:v>4.8395641355380263</c:v>
                </c:pt>
                <c:pt idx="14">
                  <c:v>-4.4860101813311744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E-4212-9380-B535BC155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83784"/>
        <c:axId val="504284176"/>
      </c:scatterChart>
      <c:valAx>
        <c:axId val="504283784"/>
        <c:scaling>
          <c:orientation val="minMax"/>
          <c:max val="8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Forecasted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84176"/>
        <c:crosses val="autoZero"/>
        <c:crossBetween val="midCat"/>
      </c:valAx>
      <c:valAx>
        <c:axId val="504284176"/>
        <c:scaling>
          <c:orientation val="minMax"/>
          <c:max val="12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83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Female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'WReg E'!$Q$4:$Q$13</c:f>
              <c:numCache>
                <c:formatCode>General</c:formatCode>
                <c:ptCount val="10"/>
                <c:pt idx="0">
                  <c:v>3.4648189777471519</c:v>
                </c:pt>
                <c:pt idx="1">
                  <c:v>3.4880909975274603</c:v>
                </c:pt>
                <c:pt idx="2">
                  <c:v>3.3979119208787636</c:v>
                </c:pt>
                <c:pt idx="3">
                  <c:v>3.4357289530217656</c:v>
                </c:pt>
                <c:pt idx="4">
                  <c:v>3.4124569332414572</c:v>
                </c:pt>
                <c:pt idx="5">
                  <c:v>3.5026360098901534</c:v>
                </c:pt>
                <c:pt idx="6">
                  <c:v>3.4648189777471519</c:v>
                </c:pt>
                <c:pt idx="7">
                  <c:v>3.4240929431316114</c:v>
                </c:pt>
                <c:pt idx="8">
                  <c:v>3.5753610717036191</c:v>
                </c:pt>
                <c:pt idx="9">
                  <c:v>3.7440832151108578</c:v>
                </c:pt>
              </c:numCache>
            </c:numRef>
          </c:xVal>
          <c:yVal>
            <c:numRef>
              <c:f>'WReg E'!$R$4:$R$13</c:f>
              <c:numCache>
                <c:formatCode>General</c:formatCode>
                <c:ptCount val="10"/>
                <c:pt idx="0">
                  <c:v>-0.11481897774715177</c:v>
                </c:pt>
                <c:pt idx="1">
                  <c:v>0.12190900247253955</c:v>
                </c:pt>
                <c:pt idx="2">
                  <c:v>-9.791192087876377E-2</c:v>
                </c:pt>
                <c:pt idx="3">
                  <c:v>-2.5728953021765477E-2</c:v>
                </c:pt>
                <c:pt idx="4">
                  <c:v>0.16754306675854291</c:v>
                </c:pt>
                <c:pt idx="5">
                  <c:v>-3.263600989015325E-2</c:v>
                </c:pt>
                <c:pt idx="6">
                  <c:v>-1.4818977747151685E-2</c:v>
                </c:pt>
                <c:pt idx="7">
                  <c:v>-6.4092943131611513E-2</c:v>
                </c:pt>
                <c:pt idx="8">
                  <c:v>9.4638928296380875E-2</c:v>
                </c:pt>
                <c:pt idx="9">
                  <c:v>-3.4083215110857878E-2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02-46EC-84E9-088BDE22DE23}"/>
            </c:ext>
          </c:extLst>
        </c:ser>
        <c:ser>
          <c:idx val="1"/>
          <c:order val="1"/>
          <c:tx>
            <c:v>Male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'WReg E'!$Q$14:$Q$24</c:f>
              <c:numCache>
                <c:formatCode>General</c:formatCode>
                <c:ptCount val="11"/>
                <c:pt idx="0">
                  <c:v>3.6011519597908466</c:v>
                </c:pt>
                <c:pt idx="1">
                  <c:v>3.4847918608893025</c:v>
                </c:pt>
                <c:pt idx="2">
                  <c:v>3.5255178955048425</c:v>
                </c:pt>
                <c:pt idx="3">
                  <c:v>3.4237028089659916</c:v>
                </c:pt>
                <c:pt idx="4">
                  <c:v>3.4644288435815325</c:v>
                </c:pt>
                <c:pt idx="5">
                  <c:v>3.2840706902841381</c:v>
                </c:pt>
                <c:pt idx="6">
                  <c:v>3.5167908880872272</c:v>
                </c:pt>
                <c:pt idx="7">
                  <c:v>3.2898886952292159</c:v>
                </c:pt>
                <c:pt idx="8">
                  <c:v>3.4120667990758369</c:v>
                </c:pt>
                <c:pt idx="9">
                  <c:v>3.3800677718779122</c:v>
                </c:pt>
                <c:pt idx="10">
                  <c:v>3.3975217867131438</c:v>
                </c:pt>
              </c:numCache>
            </c:numRef>
          </c:xVal>
          <c:yVal>
            <c:numRef>
              <c:f>'WReg E'!$R$14:$R$24</c:f>
              <c:numCache>
                <c:formatCode>General</c:formatCode>
                <c:ptCount val="11"/>
                <c:pt idx="0">
                  <c:v>0.31884804020915336</c:v>
                </c:pt>
                <c:pt idx="1">
                  <c:v>-0.32479186088930234</c:v>
                </c:pt>
                <c:pt idx="2">
                  <c:v>5.4482104495157557E-2</c:v>
                </c:pt>
                <c:pt idx="3">
                  <c:v>-0.20370280896599136</c:v>
                </c:pt>
                <c:pt idx="4">
                  <c:v>-0.16442884358153265</c:v>
                </c:pt>
                <c:pt idx="5">
                  <c:v>-0.15407069028413822</c:v>
                </c:pt>
                <c:pt idx="6">
                  <c:v>-5.6790888087227209E-2</c:v>
                </c:pt>
                <c:pt idx="7">
                  <c:v>0.35011130477078423</c:v>
                </c:pt>
                <c:pt idx="8">
                  <c:v>0.13793320092416295</c:v>
                </c:pt>
                <c:pt idx="9">
                  <c:v>0.33993222812208801</c:v>
                </c:pt>
                <c:pt idx="10">
                  <c:v>-0.29752178671314367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02-46EC-84E9-088BDE22D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85352"/>
        <c:axId val="504286136"/>
      </c:scatterChart>
      <c:valAx>
        <c:axId val="504285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Forecasted Stress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86136"/>
        <c:crosses val="autoZero"/>
        <c:crossBetween val="midCat"/>
      </c:valAx>
      <c:valAx>
        <c:axId val="50428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85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'WReg E'!$C$3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'WReg E'!$A$4:$A$13</c:f>
              <c:numCache>
                <c:formatCode>0.00</c:formatCode>
                <c:ptCount val="10"/>
                <c:pt idx="0">
                  <c:v>5.08</c:v>
                </c:pt>
                <c:pt idx="1">
                  <c:v>5.16</c:v>
                </c:pt>
                <c:pt idx="2">
                  <c:v>4.8499999999999996</c:v>
                </c:pt>
                <c:pt idx="3">
                  <c:v>4.9800000000000004</c:v>
                </c:pt>
                <c:pt idx="4">
                  <c:v>4.9000000000000004</c:v>
                </c:pt>
                <c:pt idx="5">
                  <c:v>5.21</c:v>
                </c:pt>
                <c:pt idx="6">
                  <c:v>5.08</c:v>
                </c:pt>
                <c:pt idx="7">
                  <c:v>4.9400000000000004</c:v>
                </c:pt>
                <c:pt idx="8">
                  <c:v>5.46</c:v>
                </c:pt>
                <c:pt idx="9">
                  <c:v>6.04</c:v>
                </c:pt>
              </c:numCache>
            </c:numRef>
          </c:xVal>
          <c:yVal>
            <c:numRef>
              <c:f>'WReg E'!$C$4:$C$13</c:f>
              <c:numCache>
                <c:formatCode>0.00</c:formatCode>
                <c:ptCount val="10"/>
                <c:pt idx="0">
                  <c:v>3.35</c:v>
                </c:pt>
                <c:pt idx="1">
                  <c:v>3.61</c:v>
                </c:pt>
                <c:pt idx="2">
                  <c:v>3.3</c:v>
                </c:pt>
                <c:pt idx="3">
                  <c:v>3.41</c:v>
                </c:pt>
                <c:pt idx="4">
                  <c:v>3.58</c:v>
                </c:pt>
                <c:pt idx="5">
                  <c:v>3.47</c:v>
                </c:pt>
                <c:pt idx="6">
                  <c:v>3.45</c:v>
                </c:pt>
                <c:pt idx="7">
                  <c:v>3.36</c:v>
                </c:pt>
                <c:pt idx="8">
                  <c:v>3.67</c:v>
                </c:pt>
                <c:pt idx="9">
                  <c:v>3.71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63-4922-AF11-95CB94B61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86920"/>
        <c:axId val="504288488"/>
      </c:scatterChart>
      <c:valAx>
        <c:axId val="504286920"/>
        <c:scaling>
          <c:orientation val="minMax"/>
          <c:max val="6.1"/>
          <c:min val="4.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88488"/>
        <c:crosses val="autoZero"/>
        <c:crossBetween val="midCat"/>
      </c:valAx>
      <c:valAx>
        <c:axId val="504288488"/>
        <c:scaling>
          <c:orientation val="minMax"/>
          <c:max val="3.8"/>
          <c:min val="3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86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'WReg E'!$A$14:$A$24</c:f>
              <c:numCache>
                <c:formatCode>0.00</c:formatCode>
                <c:ptCount val="11"/>
                <c:pt idx="0">
                  <c:v>6.41</c:v>
                </c:pt>
                <c:pt idx="1">
                  <c:v>6.01</c:v>
                </c:pt>
                <c:pt idx="2">
                  <c:v>6.15</c:v>
                </c:pt>
                <c:pt idx="3">
                  <c:v>5.8</c:v>
                </c:pt>
                <c:pt idx="4">
                  <c:v>5.94</c:v>
                </c:pt>
                <c:pt idx="5">
                  <c:v>5.32</c:v>
                </c:pt>
                <c:pt idx="6">
                  <c:v>6.12</c:v>
                </c:pt>
                <c:pt idx="7">
                  <c:v>5.34</c:v>
                </c:pt>
                <c:pt idx="8">
                  <c:v>5.76</c:v>
                </c:pt>
                <c:pt idx="9">
                  <c:v>5.65</c:v>
                </c:pt>
                <c:pt idx="10">
                  <c:v>5.71</c:v>
                </c:pt>
              </c:numCache>
            </c:numRef>
          </c:xVal>
          <c:yVal>
            <c:numRef>
              <c:f>'WReg E'!$C$14:$C$24</c:f>
              <c:numCache>
                <c:formatCode>0.00</c:formatCode>
                <c:ptCount val="11"/>
                <c:pt idx="0">
                  <c:v>3.92</c:v>
                </c:pt>
                <c:pt idx="1">
                  <c:v>3.16</c:v>
                </c:pt>
                <c:pt idx="2">
                  <c:v>3.58</c:v>
                </c:pt>
                <c:pt idx="3">
                  <c:v>3.22</c:v>
                </c:pt>
                <c:pt idx="4">
                  <c:v>3.3</c:v>
                </c:pt>
                <c:pt idx="5">
                  <c:v>3.13</c:v>
                </c:pt>
                <c:pt idx="6">
                  <c:v>3.46</c:v>
                </c:pt>
                <c:pt idx="7">
                  <c:v>3.64</c:v>
                </c:pt>
                <c:pt idx="8">
                  <c:v>3.55</c:v>
                </c:pt>
                <c:pt idx="9">
                  <c:v>3.72</c:v>
                </c:pt>
                <c:pt idx="10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AB-4EBC-A6DB-4E68DF19B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89664"/>
        <c:axId val="504290840"/>
      </c:scatterChart>
      <c:valAx>
        <c:axId val="504289664"/>
        <c:scaling>
          <c:orientation val="minMax"/>
          <c:max val="6.5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90840"/>
        <c:crosses val="autoZero"/>
        <c:crossBetween val="midCat"/>
      </c:valAx>
      <c:valAx>
        <c:axId val="504290840"/>
        <c:scaling>
          <c:orientation val="minMax"/>
          <c:max val="4.5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8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Autocorr!$G$3</c:f>
              <c:strCache>
                <c:ptCount val="1"/>
                <c:pt idx="0">
                  <c:v>Residuals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Autocorr!$A$4:$A$14</c:f>
              <c:numCache>
                <c:formatCode>General</c:formatCode>
                <c:ptCount val="1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</c:numCache>
            </c:numRef>
          </c:cat>
          <c:val>
            <c:numRef>
              <c:f>Autocorr!$G$4:$G$14</c:f>
              <c:numCache>
                <c:formatCode>General</c:formatCode>
                <c:ptCount val="11"/>
                <c:pt idx="0">
                  <c:v>2.3212803510947921</c:v>
                </c:pt>
                <c:pt idx="1">
                  <c:v>1.3147927300481896</c:v>
                </c:pt>
                <c:pt idx="2">
                  <c:v>0.40366359776750471</c:v>
                </c:pt>
                <c:pt idx="3">
                  <c:v>7.3415064637707417E-2</c:v>
                </c:pt>
                <c:pt idx="4">
                  <c:v>-2.1610933549587301</c:v>
                </c:pt>
                <c:pt idx="5">
                  <c:v>-1.202833563898281</c:v>
                </c:pt>
                <c:pt idx="6">
                  <c:v>-0.80933072556408092</c:v>
                </c:pt>
                <c:pt idx="7">
                  <c:v>-1.2312169059771918</c:v>
                </c:pt>
                <c:pt idx="8">
                  <c:v>-0.41377665410485065</c:v>
                </c:pt>
                <c:pt idx="9">
                  <c:v>1.3298192052664319</c:v>
                </c:pt>
                <c:pt idx="10">
                  <c:v>0.37528025568860812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FD-41A6-96D2-62300FBD7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282216"/>
        <c:axId val="504296720"/>
      </c:lineChart>
      <c:catAx>
        <c:axId val="504282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96720"/>
        <c:crosses val="autoZero"/>
        <c:auto val="1"/>
        <c:lblAlgn val="ctr"/>
        <c:lblOffset val="100"/>
        <c:noMultiLvlLbl val="0"/>
      </c:catAx>
      <c:valAx>
        <c:axId val="50429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82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Autocorr!$Q$5:$Q$14</c:f>
              <c:numCache>
                <c:formatCode>General</c:formatCode>
                <c:ptCount val="10"/>
                <c:pt idx="0">
                  <c:v>1.3147927300481896</c:v>
                </c:pt>
                <c:pt idx="1">
                  <c:v>0.40366359776750471</c:v>
                </c:pt>
                <c:pt idx="2">
                  <c:v>7.3415064637707417E-2</c:v>
                </c:pt>
                <c:pt idx="3">
                  <c:v>-2.1610933549587301</c:v>
                </c:pt>
                <c:pt idx="4">
                  <c:v>-1.202833563898281</c:v>
                </c:pt>
                <c:pt idx="5">
                  <c:v>-0.80933072556408092</c:v>
                </c:pt>
                <c:pt idx="6">
                  <c:v>-1.2312169059771918</c:v>
                </c:pt>
                <c:pt idx="7">
                  <c:v>-0.41377665410485065</c:v>
                </c:pt>
                <c:pt idx="8">
                  <c:v>1.3298192052664319</c:v>
                </c:pt>
                <c:pt idx="9">
                  <c:v>0.37528025568860812</c:v>
                </c:pt>
              </c:numCache>
            </c:numRef>
          </c:xVal>
          <c:yVal>
            <c:numRef>
              <c:f>Autocorr!$R$5:$R$14</c:f>
              <c:numCache>
                <c:formatCode>General</c:formatCode>
                <c:ptCount val="10"/>
                <c:pt idx="0">
                  <c:v>2.3212803510947921</c:v>
                </c:pt>
                <c:pt idx="1">
                  <c:v>1.3147927300481896</c:v>
                </c:pt>
                <c:pt idx="2">
                  <c:v>0.40366359776750471</c:v>
                </c:pt>
                <c:pt idx="3">
                  <c:v>7.3415064637707417E-2</c:v>
                </c:pt>
                <c:pt idx="4">
                  <c:v>-2.1610933549587301</c:v>
                </c:pt>
                <c:pt idx="5">
                  <c:v>-1.202833563898281</c:v>
                </c:pt>
                <c:pt idx="6">
                  <c:v>-0.80933072556408092</c:v>
                </c:pt>
                <c:pt idx="7">
                  <c:v>-1.2312169059771918</c:v>
                </c:pt>
                <c:pt idx="8">
                  <c:v>-0.41377665410485065</c:v>
                </c:pt>
                <c:pt idx="9">
                  <c:v>1.3298192052664319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5A-4605-B400-D1E8EDA61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97112"/>
        <c:axId val="504297896"/>
      </c:scatterChart>
      <c:valAx>
        <c:axId val="504297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97896"/>
        <c:crosses val="autoZero"/>
        <c:crossBetween val="midCat"/>
      </c:valAx>
      <c:valAx>
        <c:axId val="50429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97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Ridge 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'Ridge 2'!$Z$4</c:f>
              <c:strCache>
                <c:ptCount val="1"/>
                <c:pt idx="0">
                  <c:v>X1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'Ridge 2'!$AA$3:$AG$3</c:f>
              <c:numCache>
                <c:formatCode>General</c:formatCode>
                <c:ptCount val="7"/>
                <c:pt idx="0">
                  <c:v>0</c:v>
                </c:pt>
                <c:pt idx="1">
                  <c:v>1.7000000000000001E-3</c:v>
                </c:pt>
                <c:pt idx="2">
                  <c:v>1.7000000000000001E-2</c:v>
                </c:pt>
                <c:pt idx="3">
                  <c:v>0.17</c:v>
                </c:pt>
                <c:pt idx="4">
                  <c:v>1.7000000000000002</c:v>
                </c:pt>
                <c:pt idx="5">
                  <c:v>17</c:v>
                </c:pt>
                <c:pt idx="6">
                  <c:v>170</c:v>
                </c:pt>
              </c:numCache>
            </c:numRef>
          </c:cat>
          <c:val>
            <c:numRef>
              <c:f>'Ridge 2'!$AA$4:$AG$4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6-400A-AA05-DEC6360AF823}"/>
            </c:ext>
          </c:extLst>
        </c:ser>
        <c:ser>
          <c:idx val="1"/>
          <c:order val="1"/>
          <c:tx>
            <c:strRef>
              <c:f>'Ridge 2'!$Z$5</c:f>
              <c:strCache>
                <c:ptCount val="1"/>
                <c:pt idx="0">
                  <c:v>X2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'Ridge 2'!$AA$3:$AG$3</c:f>
              <c:numCache>
                <c:formatCode>General</c:formatCode>
                <c:ptCount val="7"/>
                <c:pt idx="0">
                  <c:v>0</c:v>
                </c:pt>
                <c:pt idx="1">
                  <c:v>1.7000000000000001E-3</c:v>
                </c:pt>
                <c:pt idx="2">
                  <c:v>1.7000000000000001E-2</c:v>
                </c:pt>
                <c:pt idx="3">
                  <c:v>0.17</c:v>
                </c:pt>
                <c:pt idx="4">
                  <c:v>1.7000000000000002</c:v>
                </c:pt>
                <c:pt idx="5">
                  <c:v>17</c:v>
                </c:pt>
                <c:pt idx="6">
                  <c:v>170</c:v>
                </c:pt>
              </c:numCache>
            </c:numRef>
          </c:cat>
          <c:val>
            <c:numRef>
              <c:f>'Ridge 2'!$AA$5:$AG$5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76-400A-AA05-DEC6360AF823}"/>
            </c:ext>
          </c:extLst>
        </c:ser>
        <c:ser>
          <c:idx val="2"/>
          <c:order val="2"/>
          <c:tx>
            <c:strRef>
              <c:f>'Ridge 2'!$Z$6</c:f>
              <c:strCache>
                <c:ptCount val="1"/>
                <c:pt idx="0">
                  <c:v>X3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'Ridge 2'!$AA$3:$AG$3</c:f>
              <c:numCache>
                <c:formatCode>General</c:formatCode>
                <c:ptCount val="7"/>
                <c:pt idx="0">
                  <c:v>0</c:v>
                </c:pt>
                <c:pt idx="1">
                  <c:v>1.7000000000000001E-3</c:v>
                </c:pt>
                <c:pt idx="2">
                  <c:v>1.7000000000000001E-2</c:v>
                </c:pt>
                <c:pt idx="3">
                  <c:v>0.17</c:v>
                </c:pt>
                <c:pt idx="4">
                  <c:v>1.7000000000000002</c:v>
                </c:pt>
                <c:pt idx="5">
                  <c:v>17</c:v>
                </c:pt>
                <c:pt idx="6">
                  <c:v>170</c:v>
                </c:pt>
              </c:numCache>
            </c:numRef>
          </c:cat>
          <c:val>
            <c:numRef>
              <c:f>'Ridge 2'!$AA$6:$AG$6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76-400A-AA05-DEC6360AF823}"/>
            </c:ext>
          </c:extLst>
        </c:ser>
        <c:ser>
          <c:idx val="3"/>
          <c:order val="3"/>
          <c:tx>
            <c:strRef>
              <c:f>'Ridge 2'!$Z$7</c:f>
              <c:strCache>
                <c:ptCount val="1"/>
                <c:pt idx="0">
                  <c:v>X4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'Ridge 2'!$AA$3:$AG$3</c:f>
              <c:numCache>
                <c:formatCode>General</c:formatCode>
                <c:ptCount val="7"/>
                <c:pt idx="0">
                  <c:v>0</c:v>
                </c:pt>
                <c:pt idx="1">
                  <c:v>1.7000000000000001E-3</c:v>
                </c:pt>
                <c:pt idx="2">
                  <c:v>1.7000000000000001E-2</c:v>
                </c:pt>
                <c:pt idx="3">
                  <c:v>0.17</c:v>
                </c:pt>
                <c:pt idx="4">
                  <c:v>1.7000000000000002</c:v>
                </c:pt>
                <c:pt idx="5">
                  <c:v>17</c:v>
                </c:pt>
                <c:pt idx="6">
                  <c:v>170</c:v>
                </c:pt>
              </c:numCache>
            </c:numRef>
          </c:cat>
          <c:val>
            <c:numRef>
              <c:f>'Ridge 2'!$AA$7:$AG$7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76-400A-AA05-DEC6360AF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299856"/>
        <c:axId val="504297504"/>
      </c:lineChart>
      <c:catAx>
        <c:axId val="5042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97504"/>
        <c:crosses val="autoZero"/>
        <c:auto val="1"/>
        <c:lblAlgn val="ctr"/>
        <c:lblOffset val="100"/>
        <c:noMultiLvlLbl val="0"/>
      </c:catAx>
      <c:valAx>
        <c:axId val="50429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9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LASSO 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LASSO!$G$4</c:f>
              <c:strCache>
                <c:ptCount val="1"/>
                <c:pt idx="0">
                  <c:v>X1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LASSO!$H$3:$N$3</c:f>
              <c:numCache>
                <c:formatCode>General</c:formatCode>
                <c:ptCount val="7"/>
                <c:pt idx="0">
                  <c:v>0</c:v>
                </c:pt>
                <c:pt idx="1">
                  <c:v>1.7000000000000001E-3</c:v>
                </c:pt>
                <c:pt idx="2">
                  <c:v>1.7000000000000001E-2</c:v>
                </c:pt>
                <c:pt idx="3">
                  <c:v>0.17</c:v>
                </c:pt>
                <c:pt idx="4">
                  <c:v>1.7000000000000002</c:v>
                </c:pt>
                <c:pt idx="5">
                  <c:v>17</c:v>
                </c:pt>
                <c:pt idx="6">
                  <c:v>170</c:v>
                </c:pt>
              </c:numCache>
            </c:numRef>
          </c:cat>
          <c:val>
            <c:numRef>
              <c:f>LASSO!$H$4:$N$4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0-4780-B841-56D41E3D88C3}"/>
            </c:ext>
          </c:extLst>
        </c:ser>
        <c:ser>
          <c:idx val="1"/>
          <c:order val="1"/>
          <c:tx>
            <c:strRef>
              <c:f>LASSO!$G$5</c:f>
              <c:strCache>
                <c:ptCount val="1"/>
                <c:pt idx="0">
                  <c:v>X2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LASSO!$H$3:$N$3</c:f>
              <c:numCache>
                <c:formatCode>General</c:formatCode>
                <c:ptCount val="7"/>
                <c:pt idx="0">
                  <c:v>0</c:v>
                </c:pt>
                <c:pt idx="1">
                  <c:v>1.7000000000000001E-3</c:v>
                </c:pt>
                <c:pt idx="2">
                  <c:v>1.7000000000000001E-2</c:v>
                </c:pt>
                <c:pt idx="3">
                  <c:v>0.17</c:v>
                </c:pt>
                <c:pt idx="4">
                  <c:v>1.7000000000000002</c:v>
                </c:pt>
                <c:pt idx="5">
                  <c:v>17</c:v>
                </c:pt>
                <c:pt idx="6">
                  <c:v>170</c:v>
                </c:pt>
              </c:numCache>
            </c:numRef>
          </c:cat>
          <c:val>
            <c:numRef>
              <c:f>LASSO!$H$5:$N$5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C0-4780-B841-56D41E3D88C3}"/>
            </c:ext>
          </c:extLst>
        </c:ser>
        <c:ser>
          <c:idx val="2"/>
          <c:order val="2"/>
          <c:tx>
            <c:strRef>
              <c:f>LASSO!$G$6</c:f>
              <c:strCache>
                <c:ptCount val="1"/>
                <c:pt idx="0">
                  <c:v>X3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LASSO!$H$3:$N$3</c:f>
              <c:numCache>
                <c:formatCode>General</c:formatCode>
                <c:ptCount val="7"/>
                <c:pt idx="0">
                  <c:v>0</c:v>
                </c:pt>
                <c:pt idx="1">
                  <c:v>1.7000000000000001E-3</c:v>
                </c:pt>
                <c:pt idx="2">
                  <c:v>1.7000000000000001E-2</c:v>
                </c:pt>
                <c:pt idx="3">
                  <c:v>0.17</c:v>
                </c:pt>
                <c:pt idx="4">
                  <c:v>1.7000000000000002</c:v>
                </c:pt>
                <c:pt idx="5">
                  <c:v>17</c:v>
                </c:pt>
                <c:pt idx="6">
                  <c:v>170</c:v>
                </c:pt>
              </c:numCache>
            </c:numRef>
          </c:cat>
          <c:val>
            <c:numRef>
              <c:f>LASSO!$H$6:$N$6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C0-4780-B841-56D41E3D88C3}"/>
            </c:ext>
          </c:extLst>
        </c:ser>
        <c:ser>
          <c:idx val="3"/>
          <c:order val="3"/>
          <c:tx>
            <c:strRef>
              <c:f>LASSO!$G$7</c:f>
              <c:strCache>
                <c:ptCount val="1"/>
                <c:pt idx="0">
                  <c:v>X4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LASSO!$H$3:$N$3</c:f>
              <c:numCache>
                <c:formatCode>General</c:formatCode>
                <c:ptCount val="7"/>
                <c:pt idx="0">
                  <c:v>0</c:v>
                </c:pt>
                <c:pt idx="1">
                  <c:v>1.7000000000000001E-3</c:v>
                </c:pt>
                <c:pt idx="2">
                  <c:v>1.7000000000000001E-2</c:v>
                </c:pt>
                <c:pt idx="3">
                  <c:v>0.17</c:v>
                </c:pt>
                <c:pt idx="4">
                  <c:v>1.7000000000000002</c:v>
                </c:pt>
                <c:pt idx="5">
                  <c:v>17</c:v>
                </c:pt>
                <c:pt idx="6">
                  <c:v>170</c:v>
                </c:pt>
              </c:numCache>
            </c:numRef>
          </c:cat>
          <c:val>
            <c:numRef>
              <c:f>LASSO!$H$7:$N$7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C0-4780-B841-56D41E3D8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299072"/>
        <c:axId val="504299464"/>
      </c:lineChart>
      <c:catAx>
        <c:axId val="50429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99464"/>
        <c:crosses val="autoZero"/>
        <c:auto val="1"/>
        <c:lblAlgn val="ctr"/>
        <c:lblOffset val="100"/>
        <c:noMultiLvlLbl val="0"/>
      </c:catAx>
      <c:valAx>
        <c:axId val="50429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9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7" Type="http://schemas.openxmlformats.org/officeDocument/2006/relationships/chart" Target="../charts/chart41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7" Type="http://schemas.openxmlformats.org/officeDocument/2006/relationships/chart" Target="../charts/chart56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6" Type="http://schemas.openxmlformats.org/officeDocument/2006/relationships/chart" Target="../charts/chart55.xml"/><Relationship Id="rId5" Type="http://schemas.openxmlformats.org/officeDocument/2006/relationships/chart" Target="../charts/chart54.xml"/><Relationship Id="rId4" Type="http://schemas.openxmlformats.org/officeDocument/2006/relationships/chart" Target="../charts/chart5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Relationship Id="rId5" Type="http://schemas.openxmlformats.org/officeDocument/2006/relationships/chart" Target="../charts/chart63.xml"/><Relationship Id="rId4" Type="http://schemas.openxmlformats.org/officeDocument/2006/relationships/chart" Target="../charts/chart62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6" Type="http://schemas.openxmlformats.org/officeDocument/2006/relationships/chart" Target="../charts/chart70.xml"/><Relationship Id="rId5" Type="http://schemas.openxmlformats.org/officeDocument/2006/relationships/chart" Target="../charts/chart69.xml"/><Relationship Id="rId4" Type="http://schemas.openxmlformats.org/officeDocument/2006/relationships/chart" Target="../charts/chart68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7" Type="http://schemas.openxmlformats.org/officeDocument/2006/relationships/chart" Target="../charts/chart77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6" Type="http://schemas.openxmlformats.org/officeDocument/2006/relationships/chart" Target="../charts/chart76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0.xml"/><Relationship Id="rId2" Type="http://schemas.openxmlformats.org/officeDocument/2006/relationships/chart" Target="../charts/chart79.xml"/><Relationship Id="rId1" Type="http://schemas.openxmlformats.org/officeDocument/2006/relationships/chart" Target="../charts/chart78.xml"/><Relationship Id="rId4" Type="http://schemas.openxmlformats.org/officeDocument/2006/relationships/chart" Target="../charts/chart81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4.xml"/><Relationship Id="rId1" Type="http://schemas.openxmlformats.org/officeDocument/2006/relationships/chart" Target="../charts/chart83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8.xml"/><Relationship Id="rId2" Type="http://schemas.openxmlformats.org/officeDocument/2006/relationships/chart" Target="../charts/chart87.xml"/><Relationship Id="rId1" Type="http://schemas.openxmlformats.org/officeDocument/2006/relationships/chart" Target="../charts/chart86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0.xml"/><Relationship Id="rId1" Type="http://schemas.openxmlformats.org/officeDocument/2006/relationships/chart" Target="../charts/chart89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5</xdr:row>
      <xdr:rowOff>90487</xdr:rowOff>
    </xdr:from>
    <xdr:to>
      <xdr:col>6</xdr:col>
      <xdr:colOff>2419350</xdr:colOff>
      <xdr:row>18</xdr:row>
      <xdr:rowOff>37147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219075</xdr:colOff>
      <xdr:row>11</xdr:row>
      <xdr:rowOff>180975</xdr:rowOff>
    </xdr:from>
    <xdr:to>
      <xdr:col>15</xdr:col>
      <xdr:colOff>219075</xdr:colOff>
      <xdr:row>21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200025</xdr:colOff>
      <xdr:row>23</xdr:row>
      <xdr:rowOff>47625</xdr:rowOff>
    </xdr:from>
    <xdr:to>
      <xdr:col>19</xdr:col>
      <xdr:colOff>734926</xdr:colOff>
      <xdr:row>44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342899</xdr:colOff>
      <xdr:row>0</xdr:row>
      <xdr:rowOff>100012</xdr:rowOff>
    </xdr:from>
    <xdr:to>
      <xdr:col>11</xdr:col>
      <xdr:colOff>449525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333374</xdr:colOff>
      <xdr:row>12</xdr:row>
      <xdr:rowOff>100011</xdr:rowOff>
    </xdr:from>
    <xdr:to>
      <xdr:col>11</xdr:col>
      <xdr:colOff>438150</xdr:colOff>
      <xdr:row>24</xdr:row>
      <xdr:rowOff>15217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15</xdr:row>
      <xdr:rowOff>52387</xdr:rowOff>
    </xdr:from>
    <xdr:to>
      <xdr:col>10</xdr:col>
      <xdr:colOff>200025</xdr:colOff>
      <xdr:row>29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400050</xdr:colOff>
      <xdr:row>15</xdr:row>
      <xdr:rowOff>61912</xdr:rowOff>
    </xdr:from>
    <xdr:to>
      <xdr:col>18</xdr:col>
      <xdr:colOff>95250</xdr:colOff>
      <xdr:row>29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25</xdr:row>
      <xdr:rowOff>14287</xdr:rowOff>
    </xdr:from>
    <xdr:to>
      <xdr:col>12</xdr:col>
      <xdr:colOff>304800</xdr:colOff>
      <xdr:row>39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24</xdr:row>
      <xdr:rowOff>185737</xdr:rowOff>
    </xdr:from>
    <xdr:to>
      <xdr:col>6</xdr:col>
      <xdr:colOff>1131127</xdr:colOff>
      <xdr:row>39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457200</xdr:colOff>
      <xdr:row>7</xdr:row>
      <xdr:rowOff>157162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5943600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457200</xdr:colOff>
      <xdr:row>7</xdr:row>
      <xdr:rowOff>157162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5943600" y="1490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457200</xdr:colOff>
      <xdr:row>7</xdr:row>
      <xdr:rowOff>157162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9601200" y="1900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457200</xdr:colOff>
      <xdr:row>7</xdr:row>
      <xdr:rowOff>157162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5943600" y="1490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457200</xdr:colOff>
      <xdr:row>12</xdr:row>
      <xdr:rowOff>157162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6448425" y="1509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457200</xdr:colOff>
      <xdr:row>13</xdr:row>
      <xdr:rowOff>157162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/>
      </xdr:nvSpPr>
      <xdr:spPr>
        <a:xfrm>
          <a:off x="62388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457200</xdr:colOff>
      <xdr:row>14</xdr:row>
      <xdr:rowOff>157162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/>
      </xdr:nvSpPr>
      <xdr:spPr>
        <a:xfrm>
          <a:off x="62388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457200</xdr:colOff>
      <xdr:row>15</xdr:row>
      <xdr:rowOff>157162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62388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9</xdr:col>
      <xdr:colOff>457200</xdr:colOff>
      <xdr:row>12</xdr:row>
      <xdr:rowOff>157162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/>
      </xdr:nvSpPr>
      <xdr:spPr>
        <a:xfrm>
          <a:off x="62388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24</xdr:row>
      <xdr:rowOff>185737</xdr:rowOff>
    </xdr:from>
    <xdr:to>
      <xdr:col>6</xdr:col>
      <xdr:colOff>1114425</xdr:colOff>
      <xdr:row>39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</xdr:colOff>
      <xdr:row>25</xdr:row>
      <xdr:rowOff>14287</xdr:rowOff>
    </xdr:from>
    <xdr:to>
      <xdr:col>12</xdr:col>
      <xdr:colOff>304800</xdr:colOff>
      <xdr:row>39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18</xdr:row>
      <xdr:rowOff>0</xdr:rowOff>
    </xdr:from>
    <xdr:to>
      <xdr:col>17</xdr:col>
      <xdr:colOff>476250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285750</xdr:colOff>
      <xdr:row>6</xdr:row>
      <xdr:rowOff>171450</xdr:rowOff>
    </xdr:from>
    <xdr:to>
      <xdr:col>20</xdr:col>
      <xdr:colOff>285750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371475</xdr:colOff>
      <xdr:row>15</xdr:row>
      <xdr:rowOff>95250</xdr:rowOff>
    </xdr:from>
    <xdr:to>
      <xdr:col>17</xdr:col>
      <xdr:colOff>371475</xdr:colOff>
      <xdr:row>25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18</xdr:row>
      <xdr:rowOff>0</xdr:rowOff>
    </xdr:from>
    <xdr:to>
      <xdr:col>17</xdr:col>
      <xdr:colOff>533400</xdr:colOff>
      <xdr:row>28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180975</xdr:colOff>
      <xdr:row>0</xdr:row>
      <xdr:rowOff>171450</xdr:rowOff>
    </xdr:from>
    <xdr:to>
      <xdr:col>22</xdr:col>
      <xdr:colOff>180975</xdr:colOff>
      <xdr:row>10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361950</xdr:colOff>
      <xdr:row>15</xdr:row>
      <xdr:rowOff>104775</xdr:rowOff>
    </xdr:from>
    <xdr:to>
      <xdr:col>17</xdr:col>
      <xdr:colOff>361950</xdr:colOff>
      <xdr:row>25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314325</xdr:colOff>
      <xdr:row>4</xdr:row>
      <xdr:rowOff>61912</xdr:rowOff>
    </xdr:from>
    <xdr:to>
      <xdr:col>26</xdr:col>
      <xdr:colOff>9525</xdr:colOff>
      <xdr:row>18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133350</xdr:colOff>
      <xdr:row>1</xdr:row>
      <xdr:rowOff>33337</xdr:rowOff>
    </xdr:from>
    <xdr:to>
      <xdr:col>29</xdr:col>
      <xdr:colOff>438150</xdr:colOff>
      <xdr:row>15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28</xdr:row>
      <xdr:rowOff>4762</xdr:rowOff>
    </xdr:from>
    <xdr:to>
      <xdr:col>15</xdr:col>
      <xdr:colOff>266700</xdr:colOff>
      <xdr:row>42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228600</xdr:colOff>
      <xdr:row>27</xdr:row>
      <xdr:rowOff>185737</xdr:rowOff>
    </xdr:from>
    <xdr:to>
      <xdr:col>28</xdr:col>
      <xdr:colOff>533400</xdr:colOff>
      <xdr:row>42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</xdr:colOff>
      <xdr:row>44</xdr:row>
      <xdr:rowOff>157162</xdr:rowOff>
    </xdr:from>
    <xdr:to>
      <xdr:col>15</xdr:col>
      <xdr:colOff>238125</xdr:colOff>
      <xdr:row>59</xdr:row>
      <xdr:rowOff>42862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590550</xdr:colOff>
      <xdr:row>2</xdr:row>
      <xdr:rowOff>33337</xdr:rowOff>
    </xdr:from>
    <xdr:to>
      <xdr:col>25</xdr:col>
      <xdr:colOff>285750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2</xdr:row>
      <xdr:rowOff>180975</xdr:rowOff>
    </xdr:from>
    <xdr:to>
      <xdr:col>19</xdr:col>
      <xdr:colOff>238125</xdr:colOff>
      <xdr:row>12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333375</xdr:colOff>
      <xdr:row>2</xdr:row>
      <xdr:rowOff>180975</xdr:rowOff>
    </xdr:from>
    <xdr:to>
      <xdr:col>25</xdr:col>
      <xdr:colOff>333375</xdr:colOff>
      <xdr:row>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352425</xdr:colOff>
      <xdr:row>14</xdr:row>
      <xdr:rowOff>19050</xdr:rowOff>
    </xdr:from>
    <xdr:to>
      <xdr:col>25</xdr:col>
      <xdr:colOff>352425</xdr:colOff>
      <xdr:row>24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238125</xdr:colOff>
      <xdr:row>14</xdr:row>
      <xdr:rowOff>19050</xdr:rowOff>
    </xdr:from>
    <xdr:to>
      <xdr:col>19</xdr:col>
      <xdr:colOff>238125</xdr:colOff>
      <xdr:row>24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247650</xdr:colOff>
      <xdr:row>24</xdr:row>
      <xdr:rowOff>171450</xdr:rowOff>
    </xdr:from>
    <xdr:to>
      <xdr:col>19</xdr:col>
      <xdr:colOff>247650</xdr:colOff>
      <xdr:row>35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39</xdr:row>
      <xdr:rowOff>4762</xdr:rowOff>
    </xdr:from>
    <xdr:to>
      <xdr:col>23</xdr:col>
      <xdr:colOff>304800</xdr:colOff>
      <xdr:row>53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19050</xdr:colOff>
      <xdr:row>60</xdr:row>
      <xdr:rowOff>4762</xdr:rowOff>
    </xdr:from>
    <xdr:to>
      <xdr:col>23</xdr:col>
      <xdr:colOff>323850</xdr:colOff>
      <xdr:row>74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371475</xdr:colOff>
      <xdr:row>59</xdr:row>
      <xdr:rowOff>185737</xdr:rowOff>
    </xdr:from>
    <xdr:to>
      <xdr:col>31</xdr:col>
      <xdr:colOff>66675</xdr:colOff>
      <xdr:row>74</xdr:row>
      <xdr:rowOff>71437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238125</xdr:colOff>
      <xdr:row>8</xdr:row>
      <xdr:rowOff>180975</xdr:rowOff>
    </xdr:from>
    <xdr:to>
      <xdr:col>19</xdr:col>
      <xdr:colOff>238125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238125</xdr:colOff>
      <xdr:row>10</xdr:row>
      <xdr:rowOff>180975</xdr:rowOff>
    </xdr:from>
    <xdr:to>
      <xdr:col>20</xdr:col>
      <xdr:colOff>238125</xdr:colOff>
      <xdr:row>20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238125</xdr:colOff>
      <xdr:row>12</xdr:row>
      <xdr:rowOff>180975</xdr:rowOff>
    </xdr:from>
    <xdr:to>
      <xdr:col>21</xdr:col>
      <xdr:colOff>238125</xdr:colOff>
      <xdr:row>22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0</xdr:row>
      <xdr:rowOff>180975</xdr:rowOff>
    </xdr:from>
    <xdr:to>
      <xdr:col>13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238125</xdr:colOff>
      <xdr:row>2</xdr:row>
      <xdr:rowOff>180975</xdr:rowOff>
    </xdr:from>
    <xdr:to>
      <xdr:col>14</xdr:col>
      <xdr:colOff>238125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238125</xdr:colOff>
      <xdr:row>4</xdr:row>
      <xdr:rowOff>180975</xdr:rowOff>
    </xdr:from>
    <xdr:to>
      <xdr:col>15</xdr:col>
      <xdr:colOff>238125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123825</xdr:colOff>
      <xdr:row>12</xdr:row>
      <xdr:rowOff>38100</xdr:rowOff>
    </xdr:from>
    <xdr:to>
      <xdr:col>18</xdr:col>
      <xdr:colOff>123825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238125</xdr:colOff>
      <xdr:row>2</xdr:row>
      <xdr:rowOff>180975</xdr:rowOff>
    </xdr:from>
    <xdr:to>
      <xdr:col>14</xdr:col>
      <xdr:colOff>238125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238125</xdr:colOff>
      <xdr:row>4</xdr:row>
      <xdr:rowOff>180975</xdr:rowOff>
    </xdr:from>
    <xdr:to>
      <xdr:col>15</xdr:col>
      <xdr:colOff>238125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238125</xdr:colOff>
      <xdr:row>6</xdr:row>
      <xdr:rowOff>180975</xdr:rowOff>
    </xdr:from>
    <xdr:to>
      <xdr:col>16</xdr:col>
      <xdr:colOff>238125</xdr:colOff>
      <xdr:row>16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200025</xdr:colOff>
      <xdr:row>9</xdr:row>
      <xdr:rowOff>76200</xdr:rowOff>
    </xdr:from>
    <xdr:to>
      <xdr:col>17</xdr:col>
      <xdr:colOff>200025</xdr:colOff>
      <xdr:row>19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</xdr:colOff>
      <xdr:row>22</xdr:row>
      <xdr:rowOff>52387</xdr:rowOff>
    </xdr:from>
    <xdr:to>
      <xdr:col>19</xdr:col>
      <xdr:colOff>95250</xdr:colOff>
      <xdr:row>36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</xdr:colOff>
      <xdr:row>37</xdr:row>
      <xdr:rowOff>185737</xdr:rowOff>
    </xdr:from>
    <xdr:to>
      <xdr:col>19</xdr:col>
      <xdr:colOff>95250</xdr:colOff>
      <xdr:row>52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323850</xdr:colOff>
      <xdr:row>37</xdr:row>
      <xdr:rowOff>166687</xdr:rowOff>
    </xdr:from>
    <xdr:to>
      <xdr:col>27</xdr:col>
      <xdr:colOff>19050</xdr:colOff>
      <xdr:row>52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314325</xdr:colOff>
      <xdr:row>22</xdr:row>
      <xdr:rowOff>33337</xdr:rowOff>
    </xdr:from>
    <xdr:to>
      <xdr:col>27</xdr:col>
      <xdr:colOff>9525</xdr:colOff>
      <xdr:row>36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9525</xdr:colOff>
      <xdr:row>22</xdr:row>
      <xdr:rowOff>33337</xdr:rowOff>
    </xdr:from>
    <xdr:to>
      <xdr:col>40</xdr:col>
      <xdr:colOff>314325</xdr:colOff>
      <xdr:row>36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19050</xdr:colOff>
      <xdr:row>55</xdr:row>
      <xdr:rowOff>4762</xdr:rowOff>
    </xdr:from>
    <xdr:to>
      <xdr:col>19</xdr:col>
      <xdr:colOff>85725</xdr:colOff>
      <xdr:row>69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28575</xdr:colOff>
      <xdr:row>69</xdr:row>
      <xdr:rowOff>166687</xdr:rowOff>
    </xdr:from>
    <xdr:to>
      <xdr:col>19</xdr:col>
      <xdr:colOff>95250</xdr:colOff>
      <xdr:row>84</xdr:row>
      <xdr:rowOff>52387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142875</xdr:colOff>
      <xdr:row>3</xdr:row>
      <xdr:rowOff>4762</xdr:rowOff>
    </xdr:from>
    <xdr:to>
      <xdr:col>24</xdr:col>
      <xdr:colOff>447675</xdr:colOff>
      <xdr:row>17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40215</xdr:colOff>
      <xdr:row>11</xdr:row>
      <xdr:rowOff>1587</xdr:rowOff>
    </xdr:from>
    <xdr:to>
      <xdr:col>7</xdr:col>
      <xdr:colOff>661458</xdr:colOff>
      <xdr:row>23</xdr:row>
      <xdr:rowOff>127318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0</xdr:row>
      <xdr:rowOff>180975</xdr:rowOff>
    </xdr:from>
    <xdr:to>
      <xdr:col>14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2</xdr:row>
      <xdr:rowOff>180975</xdr:rowOff>
    </xdr:from>
    <xdr:to>
      <xdr:col>15</xdr:col>
      <xdr:colOff>238125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238125</xdr:colOff>
      <xdr:row>4</xdr:row>
      <xdr:rowOff>180975</xdr:rowOff>
    </xdr:from>
    <xdr:to>
      <xdr:col>16</xdr:col>
      <xdr:colOff>238125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238125</xdr:colOff>
      <xdr:row>6</xdr:row>
      <xdr:rowOff>180975</xdr:rowOff>
    </xdr:from>
    <xdr:to>
      <xdr:col>17</xdr:col>
      <xdr:colOff>238125</xdr:colOff>
      <xdr:row>16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238125</xdr:colOff>
      <xdr:row>8</xdr:row>
      <xdr:rowOff>180975</xdr:rowOff>
    </xdr:from>
    <xdr:to>
      <xdr:col>18</xdr:col>
      <xdr:colOff>238125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</xdr:row>
      <xdr:rowOff>138112</xdr:rowOff>
    </xdr:from>
    <xdr:to>
      <xdr:col>9</xdr:col>
      <xdr:colOff>457200</xdr:colOff>
      <xdr:row>15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590550</xdr:colOff>
      <xdr:row>23</xdr:row>
      <xdr:rowOff>195262</xdr:rowOff>
    </xdr:from>
    <xdr:to>
      <xdr:col>30</xdr:col>
      <xdr:colOff>285750</xdr:colOff>
      <xdr:row>37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590550</xdr:colOff>
      <xdr:row>38</xdr:row>
      <xdr:rowOff>90487</xdr:rowOff>
    </xdr:from>
    <xdr:to>
      <xdr:col>30</xdr:col>
      <xdr:colOff>285750</xdr:colOff>
      <xdr:row>52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53</xdr:row>
      <xdr:rowOff>80962</xdr:rowOff>
    </xdr:from>
    <xdr:to>
      <xdr:col>30</xdr:col>
      <xdr:colOff>304800</xdr:colOff>
      <xdr:row>67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123825</xdr:colOff>
      <xdr:row>48</xdr:row>
      <xdr:rowOff>23812</xdr:rowOff>
    </xdr:from>
    <xdr:to>
      <xdr:col>12</xdr:col>
      <xdr:colOff>0</xdr:colOff>
      <xdr:row>62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4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123825</xdr:colOff>
      <xdr:row>70</xdr:row>
      <xdr:rowOff>100012</xdr:rowOff>
    </xdr:from>
    <xdr:to>
      <xdr:col>12</xdr:col>
      <xdr:colOff>0</xdr:colOff>
      <xdr:row>84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4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171450</xdr:colOff>
      <xdr:row>95</xdr:row>
      <xdr:rowOff>176212</xdr:rowOff>
    </xdr:from>
    <xdr:to>
      <xdr:col>12</xdr:col>
      <xdr:colOff>47625</xdr:colOff>
      <xdr:row>110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4C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25</xdr:row>
      <xdr:rowOff>4762</xdr:rowOff>
    </xdr:from>
    <xdr:to>
      <xdr:col>13</xdr:col>
      <xdr:colOff>323850</xdr:colOff>
      <xdr:row>39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4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19050</xdr:colOff>
      <xdr:row>23</xdr:row>
      <xdr:rowOff>4762</xdr:rowOff>
    </xdr:from>
    <xdr:to>
      <xdr:col>34</xdr:col>
      <xdr:colOff>323850</xdr:colOff>
      <xdr:row>37</xdr:row>
      <xdr:rowOff>80962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4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304800</xdr:colOff>
      <xdr:row>38</xdr:row>
      <xdr:rowOff>71437</xdr:rowOff>
    </xdr:from>
    <xdr:to>
      <xdr:col>26</xdr:col>
      <xdr:colOff>0</xdr:colOff>
      <xdr:row>52</xdr:row>
      <xdr:rowOff>147637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4D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9525</xdr:colOff>
      <xdr:row>38</xdr:row>
      <xdr:rowOff>42862</xdr:rowOff>
    </xdr:from>
    <xdr:to>
      <xdr:col>34</xdr:col>
      <xdr:colOff>314325</xdr:colOff>
      <xdr:row>52</xdr:row>
      <xdr:rowOff>119062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4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56</xdr:row>
      <xdr:rowOff>33337</xdr:rowOff>
    </xdr:from>
    <xdr:to>
      <xdr:col>34</xdr:col>
      <xdr:colOff>304800</xdr:colOff>
      <xdr:row>70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257175</xdr:colOff>
      <xdr:row>71</xdr:row>
      <xdr:rowOff>138112</xdr:rowOff>
    </xdr:from>
    <xdr:to>
      <xdr:col>25</xdr:col>
      <xdr:colOff>561975</xdr:colOff>
      <xdr:row>86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0</xdr:colOff>
      <xdr:row>71</xdr:row>
      <xdr:rowOff>90487</xdr:rowOff>
    </xdr:from>
    <xdr:to>
      <xdr:col>34</xdr:col>
      <xdr:colOff>304800</xdr:colOff>
      <xdr:row>85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48</xdr:row>
      <xdr:rowOff>128587</xdr:rowOff>
    </xdr:from>
    <xdr:to>
      <xdr:col>9</xdr:col>
      <xdr:colOff>200025</xdr:colOff>
      <xdr:row>63</xdr:row>
      <xdr:rowOff>14287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4F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323850</xdr:colOff>
      <xdr:row>48</xdr:row>
      <xdr:rowOff>123825</xdr:rowOff>
    </xdr:from>
    <xdr:to>
      <xdr:col>16</xdr:col>
      <xdr:colOff>485775</xdr:colOff>
      <xdr:row>63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4F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323850</xdr:colOff>
      <xdr:row>65</xdr:row>
      <xdr:rowOff>14287</xdr:rowOff>
    </xdr:from>
    <xdr:to>
      <xdr:col>16</xdr:col>
      <xdr:colOff>485775</xdr:colOff>
      <xdr:row>79</xdr:row>
      <xdr:rowOff>90487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4F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65</xdr:row>
      <xdr:rowOff>23812</xdr:rowOff>
    </xdr:from>
    <xdr:to>
      <xdr:col>9</xdr:col>
      <xdr:colOff>180975</xdr:colOff>
      <xdr:row>79</xdr:row>
      <xdr:rowOff>100012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4F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57150</xdr:colOff>
      <xdr:row>4</xdr:row>
      <xdr:rowOff>52387</xdr:rowOff>
    </xdr:from>
    <xdr:to>
      <xdr:col>30</xdr:col>
      <xdr:colOff>361950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257175</xdr:colOff>
      <xdr:row>3</xdr:row>
      <xdr:rowOff>138112</xdr:rowOff>
    </xdr:from>
    <xdr:to>
      <xdr:col>37</xdr:col>
      <xdr:colOff>561975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95250</xdr:colOff>
      <xdr:row>1</xdr:row>
      <xdr:rowOff>119062</xdr:rowOff>
    </xdr:from>
    <xdr:to>
      <xdr:col>9</xdr:col>
      <xdr:colOff>400050</xdr:colOff>
      <xdr:row>15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304800</xdr:colOff>
      <xdr:row>19</xdr:row>
      <xdr:rowOff>185737</xdr:rowOff>
    </xdr:from>
    <xdr:to>
      <xdr:col>20</xdr:col>
      <xdr:colOff>0</xdr:colOff>
      <xdr:row>34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428625</xdr:colOff>
      <xdr:row>3</xdr:row>
      <xdr:rowOff>100012</xdr:rowOff>
    </xdr:from>
    <xdr:to>
      <xdr:col>26</xdr:col>
      <xdr:colOff>123825</xdr:colOff>
      <xdr:row>17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25</xdr:row>
      <xdr:rowOff>176212</xdr:rowOff>
    </xdr:from>
    <xdr:to>
      <xdr:col>11</xdr:col>
      <xdr:colOff>123825</xdr:colOff>
      <xdr:row>40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361950</xdr:colOff>
      <xdr:row>25</xdr:row>
      <xdr:rowOff>138112</xdr:rowOff>
    </xdr:from>
    <xdr:to>
      <xdr:col>19</xdr:col>
      <xdr:colOff>57150</xdr:colOff>
      <xdr:row>40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5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1</xdr:row>
      <xdr:rowOff>61912</xdr:rowOff>
    </xdr:from>
    <xdr:to>
      <xdr:col>14</xdr:col>
      <xdr:colOff>533400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171450</xdr:colOff>
      <xdr:row>1</xdr:row>
      <xdr:rowOff>52387</xdr:rowOff>
    </xdr:from>
    <xdr:to>
      <xdr:col>25</xdr:col>
      <xdr:colOff>476250</xdr:colOff>
      <xdr:row>15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581025</xdr:colOff>
      <xdr:row>13</xdr:row>
      <xdr:rowOff>166687</xdr:rowOff>
    </xdr:from>
    <xdr:to>
      <xdr:col>32</xdr:col>
      <xdr:colOff>276225</xdr:colOff>
      <xdr:row>28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6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8</xdr:row>
      <xdr:rowOff>33337</xdr:rowOff>
    </xdr:from>
    <xdr:to>
      <xdr:col>13</xdr:col>
      <xdr:colOff>504825</xdr:colOff>
      <xdr:row>22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0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2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3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4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3.nd.edu/~wevans1/econ30331/Durbin_Watson_tabl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41"/>
  <dimension ref="A1:B10"/>
  <sheetViews>
    <sheetView zoomScaleNormal="100" workbookViewId="0">
      <selection activeCell="A8" sqref="A8"/>
    </sheetView>
  </sheetViews>
  <sheetFormatPr defaultRowHeight="15"/>
  <cols>
    <col min="1" max="1" width="50.5703125" customWidth="1"/>
  </cols>
  <sheetData>
    <row r="1" spans="1:2" ht="15" customHeight="1">
      <c r="A1" s="1" t="s">
        <v>1034</v>
      </c>
      <c r="B1" s="1"/>
    </row>
    <row r="2" spans="1:2" ht="15" customHeight="1">
      <c r="A2" s="1" t="s">
        <v>1056</v>
      </c>
      <c r="B2" s="1"/>
    </row>
    <row r="3" spans="1:2">
      <c r="A3" s="1"/>
      <c r="B3" s="1"/>
    </row>
    <row r="4" spans="1:2">
      <c r="A4" s="336" t="s">
        <v>930</v>
      </c>
    </row>
    <row r="6" spans="1:2">
      <c r="A6" s="1" t="s">
        <v>533</v>
      </c>
    </row>
    <row r="8" spans="1:2">
      <c r="A8" s="2" t="s">
        <v>602</v>
      </c>
    </row>
    <row r="9" spans="1:2">
      <c r="A9" s="2" t="s">
        <v>312</v>
      </c>
    </row>
    <row r="10" spans="1:2">
      <c r="A10" s="2" t="s">
        <v>1033</v>
      </c>
    </row>
  </sheetData>
  <hyperlinks>
    <hyperlink ref="A8" location="TOC!A8" display="Linear Regression" xr:uid="{00000000-0004-0000-0000-000000000000}"/>
    <hyperlink ref="A9" location="TOC!A61" display="Multiple Regression" xr:uid="{00000000-0004-0000-0000-000001000000}"/>
    <hyperlink ref="A10" location="TOC!A208" display="Tables" xr:uid="{00000000-0004-0000-0000-000002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210"/>
  <sheetViews>
    <sheetView topLeftCell="A55" zoomScale="130" zoomScaleNormal="130" workbookViewId="0">
      <selection activeCell="A8" sqref="A8"/>
    </sheetView>
  </sheetViews>
  <sheetFormatPr defaultRowHeight="15" customHeight="1"/>
  <cols>
    <col min="1" max="1" width="4" customWidth="1"/>
    <col min="2" max="2" width="85.5703125" customWidth="1"/>
  </cols>
  <sheetData>
    <row r="1" spans="1:2" ht="15" customHeight="1">
      <c r="A1" s="1" t="s">
        <v>1034</v>
      </c>
      <c r="B1" s="1"/>
    </row>
    <row r="2" spans="1:2" ht="15" customHeight="1">
      <c r="A2" s="1" t="s">
        <v>1056</v>
      </c>
      <c r="B2" s="1"/>
    </row>
    <row r="3" spans="1:2" ht="15" customHeight="1">
      <c r="A3" s="1"/>
      <c r="B3" s="1"/>
    </row>
    <row r="4" spans="1:2" ht="15" customHeight="1">
      <c r="A4" s="336" t="s">
        <v>930</v>
      </c>
    </row>
    <row r="6" spans="1:2" ht="15" customHeight="1">
      <c r="A6" s="1" t="s">
        <v>0</v>
      </c>
    </row>
    <row r="7" spans="1:2" ht="15" customHeight="1">
      <c r="A7" s="1"/>
    </row>
    <row r="8" spans="1:2" ht="15" customHeight="1">
      <c r="A8" s="1" t="s">
        <v>602</v>
      </c>
      <c r="B8" s="2"/>
    </row>
    <row r="9" spans="1:2" ht="15" customHeight="1">
      <c r="B9" s="2"/>
    </row>
    <row r="10" spans="1:2" ht="15" customHeight="1">
      <c r="A10" t="s">
        <v>534</v>
      </c>
    </row>
    <row r="11" spans="1:2" ht="15" customHeight="1">
      <c r="B11" s="2" t="s">
        <v>535</v>
      </c>
    </row>
    <row r="12" spans="1:2" ht="15" customHeight="1">
      <c r="B12" s="2"/>
    </row>
    <row r="13" spans="1:2" ht="15" customHeight="1">
      <c r="A13" t="s">
        <v>536</v>
      </c>
      <c r="B13" s="2"/>
    </row>
    <row r="14" spans="1:2" ht="15" customHeight="1">
      <c r="B14" s="2" t="s">
        <v>537</v>
      </c>
    </row>
    <row r="15" spans="1:2" ht="15" customHeight="1">
      <c r="B15" s="2" t="s">
        <v>508</v>
      </c>
    </row>
    <row r="16" spans="1:2" ht="15" customHeight="1">
      <c r="B16" s="2"/>
    </row>
    <row r="17" spans="1:2" ht="15" customHeight="1">
      <c r="A17" t="s">
        <v>540</v>
      </c>
    </row>
    <row r="18" spans="1:2" ht="15" customHeight="1">
      <c r="B18" s="2" t="s">
        <v>538</v>
      </c>
    </row>
    <row r="19" spans="1:2" ht="15" customHeight="1">
      <c r="B19" s="2"/>
    </row>
    <row r="20" spans="1:2" ht="15" customHeight="1">
      <c r="A20" t="s">
        <v>541</v>
      </c>
      <c r="B20" s="2"/>
    </row>
    <row r="21" spans="1:2" ht="15" customHeight="1">
      <c r="B21" s="2" t="s">
        <v>539</v>
      </c>
    </row>
    <row r="22" spans="1:2" ht="15" customHeight="1">
      <c r="B22" s="2" t="s">
        <v>544</v>
      </c>
    </row>
    <row r="23" spans="1:2" ht="15" customHeight="1">
      <c r="B23" s="2" t="s">
        <v>545</v>
      </c>
    </row>
    <row r="24" spans="1:2" ht="15" customHeight="1">
      <c r="B24" s="2" t="s">
        <v>588</v>
      </c>
    </row>
    <row r="25" spans="1:2" ht="15" customHeight="1">
      <c r="B25" s="2"/>
    </row>
    <row r="26" spans="1:2" ht="15" customHeight="1">
      <c r="A26" t="s">
        <v>542</v>
      </c>
    </row>
    <row r="27" spans="1:2" ht="15" customHeight="1">
      <c r="B27" s="2" t="s">
        <v>546</v>
      </c>
    </row>
    <row r="28" spans="1:2" ht="15" customHeight="1">
      <c r="B28" s="2" t="s">
        <v>547</v>
      </c>
    </row>
    <row r="29" spans="1:2" ht="15" customHeight="1">
      <c r="B29" s="2" t="s">
        <v>931</v>
      </c>
    </row>
    <row r="30" spans="1:2" ht="15" customHeight="1">
      <c r="B30" s="2"/>
    </row>
    <row r="31" spans="1:2" ht="15" customHeight="1">
      <c r="A31" t="s">
        <v>543</v>
      </c>
    </row>
    <row r="32" spans="1:2" ht="15" customHeight="1">
      <c r="B32" s="2" t="s">
        <v>731</v>
      </c>
    </row>
    <row r="33" spans="1:2" ht="15" customHeight="1">
      <c r="B33" s="2" t="s">
        <v>548</v>
      </c>
    </row>
    <row r="34" spans="1:2" ht="15" customHeight="1">
      <c r="B34" s="2" t="s">
        <v>732</v>
      </c>
    </row>
    <row r="35" spans="1:2" ht="15" customHeight="1">
      <c r="B35" s="2" t="s">
        <v>733</v>
      </c>
    </row>
    <row r="36" spans="1:2" ht="15" customHeight="1">
      <c r="B36" s="2" t="s">
        <v>734</v>
      </c>
    </row>
    <row r="37" spans="1:2" ht="15" customHeight="1">
      <c r="B37" s="2" t="s">
        <v>737</v>
      </c>
    </row>
    <row r="38" spans="1:2" ht="15" customHeight="1">
      <c r="B38" s="2"/>
    </row>
    <row r="39" spans="1:2" ht="15" customHeight="1">
      <c r="A39" t="s">
        <v>603</v>
      </c>
      <c r="B39" s="2"/>
    </row>
    <row r="40" spans="1:2" ht="15" customHeight="1">
      <c r="B40" s="2" t="s">
        <v>604</v>
      </c>
    </row>
    <row r="42" spans="1:2" ht="15" customHeight="1">
      <c r="A42" t="s">
        <v>587</v>
      </c>
    </row>
    <row r="43" spans="1:2" ht="15" customHeight="1">
      <c r="B43" s="2" t="s">
        <v>549</v>
      </c>
    </row>
    <row r="44" spans="1:2" ht="15" customHeight="1">
      <c r="B44" s="2" t="s">
        <v>550</v>
      </c>
    </row>
    <row r="45" spans="1:2" ht="15" customHeight="1">
      <c r="B45" s="2" t="s">
        <v>551</v>
      </c>
    </row>
    <row r="46" spans="1:2" ht="15" customHeight="1">
      <c r="B46" s="2" t="s">
        <v>552</v>
      </c>
    </row>
    <row r="47" spans="1:2" ht="15" customHeight="1">
      <c r="B47" s="2"/>
    </row>
    <row r="48" spans="1:2" ht="15" customHeight="1">
      <c r="A48" t="s">
        <v>857</v>
      </c>
      <c r="B48" s="2"/>
    </row>
    <row r="49" spans="1:2" ht="15" customHeight="1">
      <c r="B49" s="2" t="s">
        <v>862</v>
      </c>
    </row>
    <row r="50" spans="1:2" ht="15" customHeight="1">
      <c r="B50" s="2" t="s">
        <v>863</v>
      </c>
    </row>
    <row r="51" spans="1:2" ht="15" customHeight="1">
      <c r="B51" s="2"/>
    </row>
    <row r="52" spans="1:2" ht="15" customHeight="1">
      <c r="A52" t="s">
        <v>864</v>
      </c>
      <c r="B52" s="2"/>
    </row>
    <row r="53" spans="1:2" ht="15" customHeight="1">
      <c r="B53" s="2" t="s">
        <v>902</v>
      </c>
    </row>
    <row r="54" spans="1:2" ht="15" customHeight="1">
      <c r="B54" s="2" t="s">
        <v>219</v>
      </c>
    </row>
    <row r="55" spans="1:2" ht="15" customHeight="1">
      <c r="B55" s="2" t="s">
        <v>901</v>
      </c>
    </row>
    <row r="56" spans="1:2" ht="15" customHeight="1">
      <c r="B56" s="2" t="s">
        <v>903</v>
      </c>
    </row>
    <row r="57" spans="1:2" ht="15" customHeight="1">
      <c r="B57" s="2" t="s">
        <v>904</v>
      </c>
    </row>
    <row r="58" spans="1:2" ht="15" customHeight="1">
      <c r="B58" s="2" t="s">
        <v>254</v>
      </c>
    </row>
    <row r="59" spans="1:2" ht="15" customHeight="1">
      <c r="B59" s="2" t="s">
        <v>905</v>
      </c>
    </row>
    <row r="60" spans="1:2" ht="15" customHeight="1">
      <c r="B60" s="2"/>
    </row>
    <row r="61" spans="1:2" ht="15" customHeight="1">
      <c r="A61" s="1" t="s">
        <v>312</v>
      </c>
      <c r="B61" s="2"/>
    </row>
    <row r="63" spans="1:2" ht="15" customHeight="1">
      <c r="A63" t="s">
        <v>534</v>
      </c>
    </row>
    <row r="64" spans="1:2" ht="15" customHeight="1">
      <c r="B64" s="2" t="s">
        <v>553</v>
      </c>
    </row>
    <row r="65" spans="1:2" ht="15" customHeight="1">
      <c r="B65" s="2" t="s">
        <v>554</v>
      </c>
    </row>
    <row r="66" spans="1:2" ht="15" customHeight="1">
      <c r="B66" s="2" t="s">
        <v>555</v>
      </c>
    </row>
    <row r="67" spans="1:2" ht="15" customHeight="1">
      <c r="B67" s="2" t="s">
        <v>702</v>
      </c>
    </row>
    <row r="68" spans="1:2" ht="15" customHeight="1">
      <c r="B68" s="2"/>
    </row>
    <row r="69" spans="1:2" ht="15" customHeight="1">
      <c r="A69" t="s">
        <v>556</v>
      </c>
    </row>
    <row r="70" spans="1:2" ht="15" customHeight="1">
      <c r="B70" s="2" t="s">
        <v>560</v>
      </c>
    </row>
    <row r="71" spans="1:2" ht="15" customHeight="1">
      <c r="B71" s="2" t="s">
        <v>557</v>
      </c>
    </row>
    <row r="72" spans="1:2" ht="15" customHeight="1">
      <c r="B72" s="2" t="s">
        <v>559</v>
      </c>
    </row>
    <row r="73" spans="1:2" ht="15" customHeight="1">
      <c r="B73" s="2" t="s">
        <v>558</v>
      </c>
    </row>
    <row r="74" spans="1:2" ht="15" customHeight="1">
      <c r="B74" s="2" t="s">
        <v>605</v>
      </c>
    </row>
    <row r="75" spans="1:2" ht="15" customHeight="1">
      <c r="B75" s="2" t="s">
        <v>561</v>
      </c>
    </row>
    <row r="76" spans="1:2" ht="15" customHeight="1">
      <c r="B76" s="2" t="s">
        <v>703</v>
      </c>
    </row>
    <row r="77" spans="1:2" ht="15" customHeight="1">
      <c r="B77" s="2" t="s">
        <v>589</v>
      </c>
    </row>
    <row r="78" spans="1:2" ht="15" customHeight="1">
      <c r="B78" s="2" t="s">
        <v>719</v>
      </c>
    </row>
    <row r="79" spans="1:2" ht="15" customHeight="1">
      <c r="B79" s="2"/>
    </row>
    <row r="80" spans="1:2" ht="15" customHeight="1">
      <c r="A80" t="s">
        <v>672</v>
      </c>
      <c r="B80" s="2"/>
    </row>
    <row r="81" spans="1:2" ht="15" customHeight="1">
      <c r="B81" s="2" t="s">
        <v>673</v>
      </c>
    </row>
    <row r="82" spans="1:2" ht="15" customHeight="1">
      <c r="B82" s="2"/>
    </row>
    <row r="83" spans="1:2" ht="15" customHeight="1">
      <c r="A83" t="s">
        <v>806</v>
      </c>
      <c r="B83" s="2"/>
    </row>
    <row r="84" spans="1:2" ht="15" customHeight="1">
      <c r="B84" s="2" t="s">
        <v>805</v>
      </c>
    </row>
    <row r="85" spans="1:2" ht="15" customHeight="1">
      <c r="B85" s="2"/>
    </row>
    <row r="86" spans="1:2" ht="15" customHeight="1">
      <c r="A86" t="s">
        <v>812</v>
      </c>
      <c r="B86" s="2"/>
    </row>
    <row r="87" spans="1:2" ht="15" customHeight="1">
      <c r="B87" s="2" t="s">
        <v>807</v>
      </c>
    </row>
    <row r="88" spans="1:2" ht="15" customHeight="1">
      <c r="B88" s="2"/>
    </row>
    <row r="89" spans="1:2" ht="15" customHeight="1">
      <c r="A89" t="s">
        <v>562</v>
      </c>
    </row>
    <row r="90" spans="1:2" ht="15" customHeight="1">
      <c r="B90" s="2" t="s">
        <v>563</v>
      </c>
    </row>
    <row r="91" spans="1:2" ht="15" customHeight="1">
      <c r="B91" s="2" t="s">
        <v>564</v>
      </c>
    </row>
    <row r="92" spans="1:2" ht="15" customHeight="1">
      <c r="B92" s="2" t="s">
        <v>565</v>
      </c>
    </row>
    <row r="93" spans="1:2" ht="15" customHeight="1">
      <c r="B93" s="2" t="s">
        <v>822</v>
      </c>
    </row>
    <row r="94" spans="1:2" ht="15" customHeight="1">
      <c r="B94" s="2" t="s">
        <v>823</v>
      </c>
    </row>
    <row r="95" spans="1:2" ht="15" customHeight="1">
      <c r="B95" s="2" t="s">
        <v>667</v>
      </c>
    </row>
    <row r="96" spans="1:2" ht="15" customHeight="1">
      <c r="B96" s="2" t="s">
        <v>836</v>
      </c>
    </row>
    <row r="97" spans="1:2" ht="15" customHeight="1">
      <c r="B97" s="2"/>
    </row>
    <row r="98" spans="1:2" ht="15" customHeight="1">
      <c r="A98" t="s">
        <v>613</v>
      </c>
      <c r="B98" s="2"/>
    </row>
    <row r="99" spans="1:2" ht="15" customHeight="1">
      <c r="B99" s="2" t="s">
        <v>616</v>
      </c>
    </row>
    <row r="100" spans="1:2" ht="15" customHeight="1">
      <c r="B100" s="2" t="s">
        <v>615</v>
      </c>
    </row>
    <row r="101" spans="1:2" ht="15" customHeight="1">
      <c r="B101" s="2"/>
    </row>
    <row r="102" spans="1:2" ht="15" customHeight="1">
      <c r="A102" t="s">
        <v>349</v>
      </c>
    </row>
    <row r="103" spans="1:2" ht="15" customHeight="1">
      <c r="B103" s="2" t="s">
        <v>566</v>
      </c>
    </row>
    <row r="104" spans="1:2" ht="15" customHeight="1">
      <c r="B104" s="2"/>
    </row>
    <row r="105" spans="1:2" ht="15" customHeight="1">
      <c r="A105" t="s">
        <v>572</v>
      </c>
      <c r="B105" s="2"/>
    </row>
    <row r="106" spans="1:2" ht="15" customHeight="1">
      <c r="B106" s="2" t="s">
        <v>567</v>
      </c>
    </row>
    <row r="107" spans="1:2" ht="15" customHeight="1">
      <c r="B107" s="2" t="s">
        <v>568</v>
      </c>
    </row>
    <row r="108" spans="1:2" ht="15" customHeight="1">
      <c r="B108" s="2" t="s">
        <v>586</v>
      </c>
    </row>
    <row r="109" spans="1:2" ht="15" customHeight="1">
      <c r="B109" s="2" t="s">
        <v>569</v>
      </c>
    </row>
    <row r="110" spans="1:2" ht="15" customHeight="1">
      <c r="B110" s="2"/>
    </row>
    <row r="111" spans="1:2" ht="15" customHeight="1">
      <c r="A111" t="s">
        <v>571</v>
      </c>
      <c r="B111" s="2"/>
    </row>
    <row r="112" spans="1:2" ht="15" customHeight="1">
      <c r="B112" s="2" t="s">
        <v>570</v>
      </c>
    </row>
    <row r="113" spans="1:2" ht="15" customHeight="1">
      <c r="B113" s="2" t="s">
        <v>704</v>
      </c>
    </row>
    <row r="114" spans="1:2" ht="15" customHeight="1">
      <c r="B114" s="2"/>
    </row>
    <row r="115" spans="1:2" ht="15" customHeight="1">
      <c r="A115" t="s">
        <v>632</v>
      </c>
      <c r="B115" s="2"/>
    </row>
    <row r="116" spans="1:2" ht="15" customHeight="1">
      <c r="B116" s="2" t="s">
        <v>634</v>
      </c>
    </row>
    <row r="117" spans="1:2" ht="15" customHeight="1">
      <c r="B117" s="2" t="s">
        <v>633</v>
      </c>
    </row>
    <row r="118" spans="1:2" ht="15" customHeight="1">
      <c r="B118" s="2"/>
    </row>
    <row r="119" spans="1:2" ht="15" customHeight="1">
      <c r="A119" s="728" t="s">
        <v>989</v>
      </c>
      <c r="B119" s="728"/>
    </row>
    <row r="120" spans="1:2" ht="15" customHeight="1">
      <c r="B120" s="661" t="s">
        <v>986</v>
      </c>
    </row>
    <row r="121" spans="1:2" ht="15" customHeight="1">
      <c r="B121" s="661" t="s">
        <v>987</v>
      </c>
    </row>
    <row r="122" spans="1:2" ht="15" customHeight="1">
      <c r="B122" s="661" t="s">
        <v>988</v>
      </c>
    </row>
    <row r="123" spans="1:2" ht="15" customHeight="1">
      <c r="B123" s="661"/>
    </row>
    <row r="124" spans="1:2" ht="15" customHeight="1">
      <c r="A124" t="s">
        <v>583</v>
      </c>
      <c r="B124" s="2"/>
    </row>
    <row r="125" spans="1:2" ht="15" customHeight="1">
      <c r="B125" s="2" t="s">
        <v>584</v>
      </c>
    </row>
    <row r="126" spans="1:2" ht="15" customHeight="1">
      <c r="B126" s="2" t="s">
        <v>585</v>
      </c>
    </row>
    <row r="127" spans="1:2" ht="15" customHeight="1">
      <c r="B127" s="2"/>
    </row>
    <row r="128" spans="1:2" ht="15" customHeight="1">
      <c r="A128" t="s">
        <v>219</v>
      </c>
      <c r="B128" s="2"/>
    </row>
    <row r="129" spans="1:2" ht="15" customHeight="1">
      <c r="B129" s="2" t="s">
        <v>580</v>
      </c>
    </row>
    <row r="130" spans="1:2" ht="15" customHeight="1">
      <c r="B130" s="2" t="s">
        <v>582</v>
      </c>
    </row>
    <row r="131" spans="1:2" ht="15" customHeight="1">
      <c r="B131" s="2"/>
    </row>
    <row r="132" spans="1:2" ht="15" customHeight="1">
      <c r="A132" t="s">
        <v>573</v>
      </c>
      <c r="B132" s="2"/>
    </row>
    <row r="133" spans="1:2" ht="15" customHeight="1">
      <c r="B133" s="2" t="s">
        <v>578</v>
      </c>
    </row>
    <row r="134" spans="1:2" ht="15" customHeight="1">
      <c r="B134" s="2" t="s">
        <v>579</v>
      </c>
    </row>
    <row r="135" spans="1:2" ht="15" customHeight="1">
      <c r="B135" s="2" t="s">
        <v>742</v>
      </c>
    </row>
    <row r="136" spans="1:2" ht="15" customHeight="1">
      <c r="B136" s="2"/>
    </row>
    <row r="137" spans="1:2" ht="15" customHeight="1">
      <c r="A137" t="s">
        <v>745</v>
      </c>
      <c r="B137" s="2"/>
    </row>
    <row r="138" spans="1:2" ht="15" customHeight="1">
      <c r="B138" s="2" t="s">
        <v>747</v>
      </c>
    </row>
    <row r="139" spans="1:2" ht="15" customHeight="1">
      <c r="B139" s="2" t="s">
        <v>196</v>
      </c>
    </row>
    <row r="140" spans="1:2" ht="15" customHeight="1">
      <c r="B140" s="2" t="s">
        <v>767</v>
      </c>
    </row>
    <row r="141" spans="1:2" ht="15" customHeight="1">
      <c r="B141" s="2" t="s">
        <v>637</v>
      </c>
    </row>
    <row r="142" spans="1:2" ht="15" customHeight="1">
      <c r="B142" s="2"/>
    </row>
    <row r="143" spans="1:2" ht="15" customHeight="1">
      <c r="A143" t="s">
        <v>769</v>
      </c>
      <c r="B143" s="2"/>
    </row>
    <row r="144" spans="1:2" ht="15" customHeight="1">
      <c r="B144" s="2" t="s">
        <v>746</v>
      </c>
    </row>
    <row r="145" spans="1:2" ht="15" customHeight="1">
      <c r="B145" s="2" t="s">
        <v>1071</v>
      </c>
    </row>
    <row r="146" spans="1:2" ht="15" customHeight="1">
      <c r="B146" s="2" t="s">
        <v>1072</v>
      </c>
    </row>
    <row r="147" spans="1:2" ht="15" customHeight="1">
      <c r="B147" s="2" t="s">
        <v>1073</v>
      </c>
    </row>
    <row r="148" spans="1:2" ht="15" customHeight="1">
      <c r="B148" s="2" t="s">
        <v>1074</v>
      </c>
    </row>
    <row r="149" spans="1:2" ht="15" customHeight="1">
      <c r="B149" s="2" t="s">
        <v>1075</v>
      </c>
    </row>
    <row r="150" spans="1:2" ht="15" customHeight="1">
      <c r="B150" s="2" t="s">
        <v>855</v>
      </c>
    </row>
    <row r="151" spans="1:2" ht="15" customHeight="1">
      <c r="B151" s="2"/>
    </row>
    <row r="152" spans="1:2" ht="15" customHeight="1">
      <c r="A152" t="s">
        <v>768</v>
      </c>
      <c r="B152" s="2"/>
    </row>
    <row r="153" spans="1:2" ht="15" customHeight="1">
      <c r="B153" s="2" t="s">
        <v>770</v>
      </c>
    </row>
    <row r="154" spans="1:2" ht="15" customHeight="1">
      <c r="B154" s="2"/>
    </row>
    <row r="155" spans="1:2" ht="15" customHeight="1">
      <c r="A155" t="s">
        <v>642</v>
      </c>
      <c r="B155" s="2"/>
    </row>
    <row r="156" spans="1:2" ht="15" customHeight="1">
      <c r="B156" s="2" t="s">
        <v>967</v>
      </c>
    </row>
    <row r="157" spans="1:2" ht="15" customHeight="1">
      <c r="B157" s="2" t="s">
        <v>976</v>
      </c>
    </row>
    <row r="158" spans="1:2" ht="15" customHeight="1">
      <c r="B158" s="2" t="s">
        <v>643</v>
      </c>
    </row>
    <row r="159" spans="1:2" ht="15" customHeight="1">
      <c r="B159" s="2" t="s">
        <v>937</v>
      </c>
    </row>
    <row r="160" spans="1:2" ht="15" customHeight="1">
      <c r="B160" s="2" t="s">
        <v>975</v>
      </c>
    </row>
    <row r="161" spans="1:2" ht="15" customHeight="1">
      <c r="B161" s="2" t="s">
        <v>966</v>
      </c>
    </row>
    <row r="162" spans="1:2" ht="15" customHeight="1">
      <c r="B162" s="2"/>
    </row>
    <row r="163" spans="1:2" ht="15" customHeight="1">
      <c r="A163" t="s">
        <v>574</v>
      </c>
    </row>
    <row r="164" spans="1:2" ht="15" customHeight="1">
      <c r="B164" s="2" t="s">
        <v>581</v>
      </c>
    </row>
    <row r="165" spans="1:2" ht="15" customHeight="1">
      <c r="B165" s="2" t="s">
        <v>576</v>
      </c>
    </row>
    <row r="166" spans="1:2" ht="15" customHeight="1">
      <c r="B166" s="2"/>
    </row>
    <row r="167" spans="1:2" ht="15" customHeight="1">
      <c r="A167" t="s">
        <v>575</v>
      </c>
      <c r="B167" s="2"/>
    </row>
    <row r="168" spans="1:2" ht="15" customHeight="1">
      <c r="B168" s="2" t="s">
        <v>744</v>
      </c>
    </row>
    <row r="169" spans="1:2" ht="15" customHeight="1">
      <c r="B169" s="2" t="s">
        <v>743</v>
      </c>
    </row>
    <row r="170" spans="1:2" ht="15" customHeight="1">
      <c r="B170" s="2" t="s">
        <v>577</v>
      </c>
    </row>
    <row r="171" spans="1:2" ht="15" customHeight="1">
      <c r="B171" s="2"/>
    </row>
    <row r="172" spans="1:2" ht="15" customHeight="1">
      <c r="A172" t="s">
        <v>837</v>
      </c>
      <c r="B172" s="2"/>
    </row>
    <row r="173" spans="1:2" ht="15" customHeight="1">
      <c r="B173" s="2" t="s">
        <v>838</v>
      </c>
    </row>
    <row r="174" spans="1:2" ht="15" customHeight="1">
      <c r="B174" s="2" t="s">
        <v>596</v>
      </c>
    </row>
    <row r="175" spans="1:2" ht="15" customHeight="1">
      <c r="B175" s="2"/>
    </row>
    <row r="176" spans="1:2" ht="15" customHeight="1">
      <c r="A176" t="s">
        <v>653</v>
      </c>
      <c r="B176" s="2"/>
    </row>
    <row r="177" spans="1:2" ht="15" customHeight="1">
      <c r="B177" s="2" t="s">
        <v>654</v>
      </c>
    </row>
    <row r="178" spans="1:2" ht="15" customHeight="1">
      <c r="B178" s="2" t="s">
        <v>655</v>
      </c>
    </row>
    <row r="179" spans="1:2" ht="15" customHeight="1">
      <c r="B179" s="2" t="s">
        <v>656</v>
      </c>
    </row>
    <row r="180" spans="1:2" ht="15" customHeight="1">
      <c r="B180" s="2"/>
    </row>
    <row r="181" spans="1:2" ht="15" customHeight="1">
      <c r="A181" t="s">
        <v>683</v>
      </c>
      <c r="B181" s="2"/>
    </row>
    <row r="182" spans="1:2" ht="15" customHeight="1">
      <c r="B182" s="2" t="s">
        <v>684</v>
      </c>
    </row>
    <row r="183" spans="1:2" ht="15" customHeight="1">
      <c r="B183" s="2" t="s">
        <v>692</v>
      </c>
    </row>
    <row r="184" spans="1:2" ht="15" customHeight="1">
      <c r="B184" s="2" t="s">
        <v>692</v>
      </c>
    </row>
    <row r="185" spans="1:2" ht="15" customHeight="1">
      <c r="B185" s="2" t="s">
        <v>685</v>
      </c>
    </row>
    <row r="186" spans="1:2" ht="15" customHeight="1">
      <c r="B186" s="2" t="s">
        <v>698</v>
      </c>
    </row>
    <row r="187" spans="1:2" ht="15" customHeight="1">
      <c r="B187" s="2"/>
    </row>
    <row r="188" spans="1:2" ht="15" customHeight="1">
      <c r="A188" t="s">
        <v>824</v>
      </c>
      <c r="B188" s="2"/>
    </row>
    <row r="189" spans="1:2" ht="15" customHeight="1">
      <c r="B189" s="2" t="s">
        <v>825</v>
      </c>
    </row>
    <row r="190" spans="1:2" ht="15" customHeight="1">
      <c r="B190" s="2" t="s">
        <v>835</v>
      </c>
    </row>
    <row r="191" spans="1:2" ht="15" customHeight="1">
      <c r="B191" s="2" t="s">
        <v>596</v>
      </c>
    </row>
    <row r="192" spans="1:2" ht="15" customHeight="1">
      <c r="B192" s="2" t="s">
        <v>910</v>
      </c>
    </row>
    <row r="193" spans="1:2" ht="15" customHeight="1">
      <c r="B193" s="2" t="s">
        <v>911</v>
      </c>
    </row>
    <row r="194" spans="1:2" ht="15" customHeight="1">
      <c r="B194" s="2" t="s">
        <v>907</v>
      </c>
    </row>
    <row r="195" spans="1:2" ht="15" customHeight="1">
      <c r="B195" s="2"/>
    </row>
    <row r="196" spans="1:2" ht="15" customHeight="1">
      <c r="A196" t="s">
        <v>899</v>
      </c>
      <c r="B196" s="2"/>
    </row>
    <row r="197" spans="1:2" ht="15" customHeight="1">
      <c r="B197" s="2" t="s">
        <v>900</v>
      </c>
    </row>
    <row r="198" spans="1:2" ht="15" customHeight="1">
      <c r="B198" s="2"/>
    </row>
    <row r="199" spans="1:2" ht="15" customHeight="1">
      <c r="A199" t="s">
        <v>913</v>
      </c>
      <c r="B199" s="2"/>
    </row>
    <row r="200" spans="1:2" ht="15" customHeight="1">
      <c r="B200" s="2" t="s">
        <v>927</v>
      </c>
    </row>
    <row r="201" spans="1:2" ht="15" customHeight="1">
      <c r="B201" s="2" t="s">
        <v>914</v>
      </c>
    </row>
    <row r="202" spans="1:2" ht="15" customHeight="1">
      <c r="B202" s="2" t="s">
        <v>929</v>
      </c>
    </row>
    <row r="203" spans="1:2" ht="15" customHeight="1">
      <c r="B203" s="2" t="s">
        <v>915</v>
      </c>
    </row>
    <row r="204" spans="1:2" ht="15" customHeight="1">
      <c r="B204" s="2"/>
    </row>
    <row r="205" spans="1:2" ht="15" customHeight="1">
      <c r="A205" t="s">
        <v>1042</v>
      </c>
      <c r="B205" s="2"/>
    </row>
    <row r="206" spans="1:2" ht="15" customHeight="1">
      <c r="B206" s="2" t="s">
        <v>1043</v>
      </c>
    </row>
    <row r="207" spans="1:2" ht="15" customHeight="1">
      <c r="B207" s="2"/>
    </row>
    <row r="208" spans="1:2" ht="15" customHeight="1">
      <c r="A208" s="1" t="s">
        <v>1033</v>
      </c>
    </row>
    <row r="209" spans="2:2" ht="15" customHeight="1">
      <c r="B209" s="2" t="s">
        <v>1035</v>
      </c>
    </row>
    <row r="210" spans="2:2" ht="15" customHeight="1">
      <c r="B210" s="2" t="s">
        <v>1036</v>
      </c>
    </row>
  </sheetData>
  <mergeCells count="1">
    <mergeCell ref="A119:B119"/>
  </mergeCells>
  <hyperlinks>
    <hyperlink ref="B11" location="'Reg 1'!A1" display="Linear Regression Line (Example 18.1)" xr:uid="{00000000-0004-0000-0100-000000000000}"/>
    <hyperlink ref="B14" location="'Reg 1'!I1" display="Using regression ine for prediction (Example 18.2)" xr:uid="{00000000-0004-0000-0100-000001000000}"/>
    <hyperlink ref="B18" location="'Reg 2'!A1" display="Testing fit of regression line (Example 18.3)" xr:uid="{00000000-0004-0000-0100-000002000000}"/>
    <hyperlink ref="B21" location="'Reg 3'!A1" display="Testing slope of regression line (Example 18.4)" xr:uid="{00000000-0004-0000-0100-000003000000}"/>
    <hyperlink ref="B22" location="'Reg 2'!AM1" display="LINEST Function" xr:uid="{00000000-0004-0000-0100-000004000000}"/>
    <hyperlink ref="B23" location="'Reg 4'!A1" display="Regression data analysis tool (Figures 18.6 and 18.7)" xr:uid="{00000000-0004-0000-0100-000005000000}"/>
    <hyperlink ref="B64" location="'Mult Reg 1'!A1" display="Method of least squares (Example 19.1)" xr:uid="{00000000-0004-0000-0100-000006000000}"/>
    <hyperlink ref="B65" location="'Mult Reg 1'!A1" display="Method of least squares using covariance matrix (Example 19.2)" xr:uid="{00000000-0004-0000-0100-000007000000}"/>
    <hyperlink ref="B66" location="'Mult Reg 2'!A1" display="Method of least squares using hat matrix (Example 19.3)" xr:uid="{00000000-0004-0000-0100-000008000000}"/>
    <hyperlink ref="B70" location="'Mult Reg 3'!A1" display="Sample size requirements for multiple regression (Figure 19.4)" xr:uid="{00000000-0004-0000-0100-000009000000}"/>
    <hyperlink ref="B71" location="'Mult Reg 4'!A1" display="TREND and LINEST function (Example 19.4)" xr:uid="{00000000-0004-0000-0100-00000A000000}"/>
    <hyperlink ref="B73" location="'Mult Reg 5'!A1" display="Regression data analysis tool (Example 19.5)" xr:uid="{00000000-0004-0000-0100-00000B000000}"/>
    <hyperlink ref="B75" location="'Mult Reg 6'!A1" display="Formulas for regression analysis (Figure 19.8 and 19.9)" xr:uid="{00000000-0004-0000-0100-00000C000000}"/>
    <hyperlink ref="B27" location="'Reg 6'!A1" display="Confidence/prediction Intervals (Example 18.5)" xr:uid="{00000000-0004-0000-0100-00000D000000}"/>
    <hyperlink ref="B32" location="'Exp Reg'!A1" display="Exponential Regression (Example 18.7)" xr:uid="{00000000-0004-0000-0100-00000E000000}"/>
    <hyperlink ref="B33" location="'Exp Reg'!O3" display="LOGEST and GROWTH functions (Figure)" xr:uid="{00000000-0004-0000-0100-00000F000000}"/>
    <hyperlink ref="B43" location="'Reg T 1'!A1" display="Regression to Compare Means (Example 18.9)" xr:uid="{00000000-0004-0000-0100-000010000000}"/>
    <hyperlink ref="B45" location="'Reg T 2'!A1" display="Regression to Compare Means (Example 18.10)" xr:uid="{00000000-0004-0000-0100-000011000000}"/>
    <hyperlink ref="B90" location="'Poly Reg'!A1" display="Quadratic regression (Example 19.6)" xr:uid="{00000000-0004-0000-0100-000012000000}"/>
    <hyperlink ref="B103" location="'Interaction Reg'!A1" display="Regression with interaction (Example 19.7)" xr:uid="{00000000-0004-0000-0100-000013000000}"/>
    <hyperlink ref="B164" location="Collinearity!A1" display="Collinearity (Figure 19.15)" xr:uid="{00000000-0004-0000-0100-000014000000}"/>
    <hyperlink ref="B106" location="'Reg Anova 1'!A1" display="Categorical variable models (Example 19.8)" xr:uid="{00000000-0004-0000-0100-000015000000}"/>
    <hyperlink ref="B107" location="'Reg Anova 2'!A1" display="Categorical variable models (Example 19.8 alternative approach)" xr:uid="{00000000-0004-0000-0100-000016000000}"/>
    <hyperlink ref="B76" location="'Mult Reg 6A'!A1" display="Supplementary functions (Figure 19.8)" xr:uid="{00000000-0004-0000-0100-000017000000}"/>
    <hyperlink ref="B108" location="'Reg Anova 2'!Q2" display=" Group means and group effect sizes (Figure 19.25)" xr:uid="{00000000-0004-0000-0100-000018000000}"/>
    <hyperlink ref="B109" location="'Reg Anova 3'!A1" display="Two factor ANOVA via Regression model (Example 19.9)" xr:uid="{00000000-0004-0000-0100-000019000000}"/>
    <hyperlink ref="B112" location="'Reg Anova 4'!A1" display="Unbalanced ANOVA via Regression model (Example 19.10)" xr:uid="{00000000-0004-0000-0100-00001A000000}"/>
    <hyperlink ref="B125" location="'ANOVA 5'!N14" display="Omega square effect size for ANOVA (Example 15.1)" xr:uid="{00000000-0004-0000-0100-00001B000000}"/>
    <hyperlink ref="B126" location="'Reg Anova 3'!O42" display="Omega square effect size for 2 factor ANOVA (Example 19.9)" xr:uid="{00000000-0004-0000-0100-00001C000000}"/>
    <hyperlink ref="B129" location="'Mult Reg 2'!Q3" display="Studentized residuals and hat matrix (Example 19.10)" xr:uid="{00000000-0004-0000-0100-00001D000000}"/>
    <hyperlink ref="B130" location="'Mult Reg 2'!F45" display="Studentized residuals and hat matrix (Example 19.10)" xr:uid="{00000000-0004-0000-0100-00001E000000}"/>
    <hyperlink ref="B133" location="'Cooks 1'!A1" display="Outliers and influencers: Cook's distance (Example 19.12)" xr:uid="{00000000-0004-0000-0100-00001F000000}"/>
    <hyperlink ref="B134" location="'Cooks 2'!A1" display="Outliers and influencers: Cook's distance (Example 19.13)" xr:uid="{00000000-0004-0000-0100-000020000000}"/>
    <hyperlink ref="B72" location="'Mult Reg 4A'!A1" display="Data for Example 1 is normal via QQ plot (extra worksheet)" xr:uid="{00000000-0004-0000-0100-000021000000}"/>
    <hyperlink ref="B168" location="'Mult Reg 4'!AC1" display="Testing significance of extra varaiables (Example 19.14)" xr:uid="{00000000-0004-0000-0100-000022000000}"/>
    <hyperlink ref="B169" location="'Mult Reg 4'!AC13" display="Testing significance of extra varaiables using R Square (Figure 19.48)" xr:uid="{00000000-0004-0000-0100-000023000000}"/>
    <hyperlink ref="B170" location="'Mult Reg 4'!AJ1" display="Akaike’s Information Criterion (Example 19.15) " xr:uid="{00000000-0004-0000-0100-000024000000}"/>
    <hyperlink ref="B44" location="'Reg T 1A'!A1" display="Full results from data analysis tool for Example 18.9" xr:uid="{00000000-0004-0000-0100-000025000000}"/>
    <hyperlink ref="B46" location="'Reg T 2A'!A1" display="Full results from data analysis tool for Example 18.10" xr:uid="{00000000-0004-0000-0100-000026000000}"/>
    <hyperlink ref="B91:B92" location="'Poly Reg'!A1" display="Quadratic regression (Example 19.6)" xr:uid="{00000000-0004-0000-0100-000027000000}"/>
    <hyperlink ref="B91" location="'Poly Reg 1'!A1" display="Full data analysis for quadratic model (Example 19.6)" xr:uid="{00000000-0004-0000-0100-000028000000}"/>
    <hyperlink ref="B92" location="'Poly Reg 2'!A1" display="Full data analysis for linear model (Example 19.6)" xr:uid="{00000000-0004-0000-0100-000029000000}"/>
    <hyperlink ref="B165" location="VIF!A1" display="Tolerance and VIF (Example 19.14)" xr:uid="{00000000-0004-0000-0100-00002A000000}"/>
    <hyperlink ref="B74" location="'Mult Reg 6B'!A1" display="Real Statistics regression data analysis tool (Example 2)" xr:uid="{00000000-0004-0000-0100-00002B000000}"/>
    <hyperlink ref="B99" location="'Log Reg'!A1" display="Log-level transformation (Example 1)" xr:uid="{00000000-0004-0000-0100-00002C000000}"/>
    <hyperlink ref="B100" location="'Log Reg'!A33" display="Log-log transformation (Example 2)" xr:uid="{00000000-0004-0000-0100-00002D000000}"/>
    <hyperlink ref="B113" location="'Reg Anova 5'!A1" display="Unbalanced ANOVA via Regression model using supplemental analysis tool (Example 1)" xr:uid="{00000000-0004-0000-0100-00002E000000}"/>
    <hyperlink ref="B158" location="Durbin!A1" display="Durbin-Watson test (Example 1)" xr:uid="{00000000-0004-0000-0100-00002F000000}"/>
    <hyperlink ref="B116" location="'Reg An3.1'!A1" display="Balanced model, including data format conversion (Example 1)" xr:uid="{00000000-0004-0000-0100-000030000000}"/>
    <hyperlink ref="B117" location="'Reg An3.2'!A1" display="Unbalanced model (Example 2)" xr:uid="{00000000-0004-0000-0100-000031000000}"/>
    <hyperlink ref="B177" location="MCorr!A1" display="Partial correlation coefficient (Example 1)" xr:uid="{00000000-0004-0000-0100-000032000000}"/>
    <hyperlink ref="B178" location="MCorr!G1" display="Partial correlation matrix (Example 2)" xr:uid="{00000000-0004-0000-0100-000033000000}"/>
    <hyperlink ref="B179" location="MCorr!Q1" display="Coefficient of determination" xr:uid="{00000000-0004-0000-0100-000034000000}"/>
    <hyperlink ref="B40" location="'Pow Reg'!A1" display="Log-log Regression (Example 1)" xr:uid="{00000000-0004-0000-0100-000035000000}"/>
    <hyperlink ref="B28" location="'Reg 6'!L9" display="Testing intercept of regression line (Example 18.6)" xr:uid="{00000000-0004-0000-0100-000036000000}"/>
    <hyperlink ref="B15" location="'Corr 4'!A1" display="Significance vs effect size (re correlation coefficient)" xr:uid="{00000000-0004-0000-0100-000037000000}"/>
    <hyperlink ref="B24" location="'Reg 5'!A1" display="Comparing the slopes of two independent samples (Example 1 of Detail)" xr:uid="{00000000-0004-0000-0100-000038000000}"/>
    <hyperlink ref="B67" location="'Mult Reg 2A'!A1" display="Method of least squares using supplementary functions (Example 19.3)" xr:uid="{00000000-0004-0000-0100-000039000000}"/>
    <hyperlink ref="B77" location="'Mult Reg 7'!A1" display="Alternative approach to regression (Example E4.6)" xr:uid="{00000000-0004-0000-0100-00003A000000}"/>
    <hyperlink ref="B81" location="'Mult Reg 8'!A1" display="Confidence and prediction intervals (Example 1)" xr:uid="{00000000-0004-0000-0100-00003B000000}"/>
    <hyperlink ref="B183" location="'Mult Reg Pow'!A1" display="Statistical Power (other example)" xr:uid="{00000000-0004-0000-0100-00003C000000}"/>
    <hyperlink ref="B184" location="'Mult Reg Pow 1'!A1" display="Statistical Power (other example)" xr:uid="{00000000-0004-0000-0100-00003D000000}"/>
    <hyperlink ref="B182" location="'Mult Reg Pow 2'!A1" display="Statistical Power (Example 1)" xr:uid="{00000000-0004-0000-0100-00003E000000}"/>
    <hyperlink ref="B185" location="'Mult Reg Pow 2'!G1" display="Sample Size Requirement (Example 2)" xr:uid="{00000000-0004-0000-0100-00003F000000}"/>
    <hyperlink ref="B78" location="'Mult Reg 6C'!A1" display="Categorical data" xr:uid="{00000000-0004-0000-0100-000040000000}"/>
    <hyperlink ref="B34" location="'Exp Reg1'!A1" display="Nonlinear regression via Solver, before (Example 1)" xr:uid="{00000000-0004-0000-0100-000041000000}"/>
    <hyperlink ref="B35" location="'Exp Reg2'!A1" display="Nonlinear regression via Solver, after (Example 1)" xr:uid="{00000000-0004-0000-0100-000042000000}"/>
    <hyperlink ref="B36" location="'Exp Reg3'!A1" display="Nonlinear regression via Newton's method (Example 1)" xr:uid="{00000000-0004-0000-0100-000043000000}"/>
    <hyperlink ref="B37" location="'Exp Reg5'!A1" display="Data analysis tool (Example 1)" xr:uid="{00000000-0004-0000-0100-000044000000}"/>
    <hyperlink ref="B135" location="'Cooks 3'!A1" display="Outliers and influencers: Cook's distance via Real Statistics data analysis tool" xr:uid="{00000000-0004-0000-0100-000045000000}"/>
    <hyperlink ref="B138" location="'Reg No Const'!A1" display="Linear Regression without Intercept (Example 1)" xr:uid="{00000000-0004-0000-0100-000046000000}"/>
    <hyperlink ref="B144" location="'WReg A'!A1" display="Weighted Linear Regression (Example 1)" xr:uid="{00000000-0004-0000-0100-000047000000}"/>
    <hyperlink ref="B153" location="Robust!A1" display="Huber-White robust standard errors (Example 2)" xr:uid="{00000000-0004-0000-0100-000048000000}"/>
    <hyperlink ref="B139" location="'Reg No Const 1'!Y1" display="Use of LINEST" xr:uid="{00000000-0004-0000-0100-000049000000}"/>
    <hyperlink ref="B140" location="'Reg No Const 1'!N1" display="Matrix solution (Example 2)" xr:uid="{00000000-0004-0000-0100-00004A000000}"/>
    <hyperlink ref="B141" location="'Reg No Const 1'!AD1" display="Forecast" xr:uid="{00000000-0004-0000-0100-00004B000000}"/>
    <hyperlink ref="B84" location="Shapely!A1" display="Shapely-Owen (Example 1)" xr:uid="{00000000-0004-0000-0100-00004C000000}"/>
    <hyperlink ref="B87" location="Season!A1" display="Seasonality (Example 5)" xr:uid="{00000000-0004-0000-0100-00004D000000}"/>
    <hyperlink ref="B93" location="'Poly Reg 3'!A1" display="Real Statistics data analysis (Example 2)" xr:uid="{00000000-0004-0000-0100-00004E000000}"/>
    <hyperlink ref="B94" location="'Poly Reg 3'!W1" display="Real Statistics data analysis with optimization (Example 3)" xr:uid="{00000000-0004-0000-0100-00004F000000}"/>
    <hyperlink ref="B95" location="'Poly Reg 3'!AI1" display="Real Statistics functions" xr:uid="{00000000-0004-0000-0100-000050000000}"/>
    <hyperlink ref="B186" location="'Mult Reg Pow 1'!T1" display="Confidence interval for effect size and power (Example 3)" xr:uid="{00000000-0004-0000-0100-000051000000}"/>
    <hyperlink ref="B189" location="'LAD 1'!A1" display="Using Simplex method (Example 1)" xr:uid="{00000000-0004-0000-0100-000052000000}"/>
    <hyperlink ref="B190" location="'LAD 2'!A1" display="Using Iteratively reweighted least squares (IRLS) method (Example 2)" xr:uid="{00000000-0004-0000-0100-000053000000}"/>
    <hyperlink ref="B191" location="'LAD 3'!A1" display="Using Real Statistics data analysis tool" xr:uid="{00000000-0004-0000-0100-000054000000}"/>
    <hyperlink ref="B96" location="'Poly Reg 4'!A1" display="Using Extract Columns data analysis tool" xr:uid="{00000000-0004-0000-0100-000055000000}"/>
    <hyperlink ref="B192" location="'LAD 3'!H1" display="Using Real Statistics data analysis tool (no intercept)" xr:uid="{00000000-0004-0000-0100-000056000000}"/>
    <hyperlink ref="B150" location="WReg!A1" display="Weighted Linear Regression (Example 1)" xr:uid="{00000000-0004-0000-0100-000057000000}"/>
    <hyperlink ref="B150" location="WReg0!A1" display="Weighted Linear Regression (extra example)" xr:uid="{00000000-0004-0000-0100-000058000000}"/>
    <hyperlink ref="B49" location="TReg!A1" display="Total least squares regression (Example 1)" xr:uid="{00000000-0004-0000-0100-000059000000}"/>
    <hyperlink ref="B50" location="TReg!Q1" display="Comparison with ordinary linear regression" xr:uid="{00000000-0004-0000-0100-00005A000000}"/>
    <hyperlink ref="B197" location="'TLS Reg'!A1" display="TLS regression (Example 1)" xr:uid="{00000000-0004-0000-0100-00005B000000}"/>
    <hyperlink ref="B53" location="'Dem 1'!A1" display="Deming regression with known variances (Example 1)" xr:uid="{00000000-0004-0000-0100-00005C000000}"/>
    <hyperlink ref="B54" location="'Dem 1'!J1" display="Residuals" xr:uid="{00000000-0004-0000-0100-00005D000000}"/>
    <hyperlink ref="B55" location="'Dem 2'!A1" display="Deming regression with unknown variances (Example 2)" xr:uid="{00000000-0004-0000-0100-00005E000000}"/>
    <hyperlink ref="B56" location="'Dem 3'!A1" display="Standard error using jackknifing" xr:uid="{00000000-0004-0000-0100-00005F000000}"/>
    <hyperlink ref="B57" location="'Dem 4'!A1" display="Hypothesis testing" xr:uid="{00000000-0004-0000-0100-000060000000}"/>
    <hyperlink ref="B58" location="'Dem 5'!A1" display="Prediction interval" xr:uid="{00000000-0004-0000-0100-000061000000}"/>
    <hyperlink ref="B59" location="'Dem 6'!A1" display="Prediction interval function" xr:uid="{00000000-0004-0000-0100-000062000000}"/>
    <hyperlink ref="B193" location="'LAD 4'!A1" display="Standard errors via bootstrapping" xr:uid="{00000000-0004-0000-0100-000063000000}"/>
    <hyperlink ref="B194" location="'LAD 5'!A1" display="Standard errors via bootstrapping" xr:uid="{00000000-0004-0000-0100-000064000000}"/>
    <hyperlink ref="B200" location="'Ridge 1'!A1" display="Ridge Regression and multicollinearity" xr:uid="{00000000-0004-0000-0100-000065000000}"/>
    <hyperlink ref="B201" location="'Ridge 2'!A1" display="Ridge Regression" xr:uid="{00000000-0004-0000-0100-000066000000}"/>
    <hyperlink ref="B203" location="LASSO!A1" display="LASSO Regression" xr:uid="{00000000-0004-0000-0100-000067000000}"/>
    <hyperlink ref="B202" location="'Ridge 3'!A1" display="Predictions using Ridge regression" xr:uid="{00000000-0004-0000-0100-000068000000}"/>
    <hyperlink ref="B29" location="'Reg 7'!A1" display="Plot" xr:uid="{00000000-0004-0000-0100-000069000000}"/>
    <hyperlink ref="B159" location="BG!A1" display="Breusch-Godfrey Test" xr:uid="{00000000-0004-0000-0100-00006A000000}"/>
    <hyperlink ref="B161" location="Newey!A1" display="Newey-West standard errors" xr:uid="{00000000-0004-0000-0100-00006B000000}"/>
    <hyperlink ref="B156" location="Autocorr!A1" display="Introduction and graphical detection of autocorrelation" xr:uid="{00000000-0004-0000-0100-00006C000000}"/>
    <hyperlink ref="B160" location="OC!A1" display="Cochrane-Orcutt regression" xr:uid="{00000000-0004-0000-0100-00006D000000}"/>
    <hyperlink ref="B157" location="Runs!A1" display="Detecting autocorrelation using the runs test" xr:uid="{00000000-0004-0000-0100-00006E000000}"/>
    <hyperlink ref="B120" location="'ANOVA Match 2.5'!A1" display="Regression model" xr:uid="{00000000-0004-0000-0100-00006F000000}"/>
    <hyperlink ref="B121" location="'ANOVA Match 2.5A'!A1" display="Real Statistics data analysis, input in Excel format" xr:uid="{00000000-0004-0000-0100-000070000000}"/>
    <hyperlink ref="B122" location="'ANOVA Match 2.5B'!A1" display="Real Statistics data analysis, input in standard format" xr:uid="{00000000-0004-0000-0100-000071000000}"/>
    <hyperlink ref="B209" location="'DW Table 1'!A1" display="Durbin-Watson table 1" xr:uid="{00000000-0004-0000-0100-000072000000}"/>
    <hyperlink ref="B210" location="'DW Table 2'!A1" display="Durbin-Watson table 2" xr:uid="{00000000-0004-0000-0100-000073000000}"/>
    <hyperlink ref="B206" location="Med!A1" display="Mediation Analysis Example" xr:uid="{00000000-0004-0000-0100-000074000000}"/>
    <hyperlink ref="B145:B149" location="WReg!A1" display="Weighted Linear Regression (Example 1)" xr:uid="{00000000-0004-0000-0100-000075000000}"/>
    <hyperlink ref="B145" location="'WReg B'!A1" display="Weighted Linear Regression (Example 2)" xr:uid="{00000000-0004-0000-0100-000076000000}"/>
    <hyperlink ref="B146" location="'WReg C'!A1" display="Weighted Linear Regression (Example 3)" xr:uid="{00000000-0004-0000-0100-000077000000}"/>
    <hyperlink ref="B147" location="'WReg D'!A1" display="Weighted Linear Regression (Example 4)" xr:uid="{00000000-0004-0000-0100-000078000000}"/>
    <hyperlink ref="B148" location="'WReg E'!A1" display="Weighted Linear Regression (Example 5)" xr:uid="{00000000-0004-0000-0100-000079000000}"/>
    <hyperlink ref="B149" location="' WReg B0'!A1" display="Weighted Linear Regression using regression through the origin (Example 2)" xr:uid="{00000000-0004-0000-0100-00007A000000}"/>
  </hyperlink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3"/>
  <dimension ref="A1:O22"/>
  <sheetViews>
    <sheetView workbookViewId="0"/>
  </sheetViews>
  <sheetFormatPr defaultRowHeight="15"/>
  <cols>
    <col min="1" max="1" width="10.28515625" customWidth="1"/>
    <col min="2" max="2" width="11" customWidth="1"/>
    <col min="3" max="3" width="5.5703125" customWidth="1"/>
    <col min="4" max="4" width="11.42578125" customWidth="1"/>
    <col min="5" max="5" width="9.140625" customWidth="1"/>
    <col min="6" max="6" width="3.85546875" customWidth="1"/>
    <col min="7" max="7" width="37.42578125" customWidth="1"/>
    <col min="8" max="8" width="9.140625" customWidth="1"/>
    <col min="9" max="11" width="11.140625" customWidth="1"/>
    <col min="12" max="12" width="10" customWidth="1"/>
  </cols>
  <sheetData>
    <row r="1" spans="1:15">
      <c r="A1" s="1" t="s">
        <v>138</v>
      </c>
      <c r="B1" s="1"/>
    </row>
    <row r="2" spans="1:15">
      <c r="A2" s="1"/>
      <c r="B2" s="1"/>
      <c r="D2" t="s">
        <v>139</v>
      </c>
      <c r="E2">
        <f>COVAR(A4:A18,B4:B18)</f>
        <v>-90.946666666666673</v>
      </c>
      <c r="G2" s="13" t="s">
        <v>148</v>
      </c>
      <c r="N2" s="1" t="s">
        <v>154</v>
      </c>
    </row>
    <row r="3" spans="1:15">
      <c r="A3" s="80" t="s">
        <v>143</v>
      </c>
      <c r="B3" s="80" t="s">
        <v>144</v>
      </c>
      <c r="D3" t="s">
        <v>140</v>
      </c>
      <c r="E3">
        <f>VARP(A4:A18)</f>
        <v>144.77333333333334</v>
      </c>
      <c r="G3" s="13" t="s">
        <v>149</v>
      </c>
      <c r="I3" s="729" t="s">
        <v>34</v>
      </c>
      <c r="J3" s="730"/>
      <c r="K3" s="731" t="s">
        <v>145</v>
      </c>
      <c r="L3" s="732"/>
    </row>
    <row r="4" spans="1:15">
      <c r="A4" s="40">
        <v>5</v>
      </c>
      <c r="B4" s="81">
        <v>80</v>
      </c>
      <c r="D4" t="s">
        <v>141</v>
      </c>
      <c r="E4">
        <f>E2/E3</f>
        <v>-0.62820040523116594</v>
      </c>
      <c r="G4" s="13" t="s">
        <v>150</v>
      </c>
      <c r="I4" s="83" t="s">
        <v>143</v>
      </c>
      <c r="J4" s="84" t="s">
        <v>144</v>
      </c>
      <c r="K4" s="83" t="s">
        <v>147</v>
      </c>
      <c r="L4" s="89" t="s">
        <v>155</v>
      </c>
      <c r="N4" s="11" t="s">
        <v>4</v>
      </c>
      <c r="O4" s="11" t="s">
        <v>146</v>
      </c>
    </row>
    <row r="5" spans="1:15">
      <c r="A5" s="40">
        <v>23</v>
      </c>
      <c r="B5" s="40">
        <v>78</v>
      </c>
      <c r="D5" t="s">
        <v>142</v>
      </c>
      <c r="E5">
        <f>AVERAGE(B4:B18)-E4*AVERAGE(A4:A18)</f>
        <v>85.720421194817945</v>
      </c>
      <c r="G5" s="13" t="s">
        <v>151</v>
      </c>
      <c r="I5" s="29">
        <v>5</v>
      </c>
      <c r="J5" s="85">
        <v>80</v>
      </c>
      <c r="K5" s="4">
        <f t="shared" ref="K5:K19" si="0">I5*$E$4+$E$5</f>
        <v>82.579419168662113</v>
      </c>
      <c r="L5" s="6">
        <f>J5-K5</f>
        <v>-2.5794191686621133</v>
      </c>
      <c r="N5">
        <v>4</v>
      </c>
      <c r="O5" s="109">
        <f>N5*$E$4+$E$5</f>
        <v>83.207619573893282</v>
      </c>
    </row>
    <row r="6" spans="1:15">
      <c r="A6" s="40">
        <v>25</v>
      </c>
      <c r="B6" s="40">
        <v>60</v>
      </c>
      <c r="I6" s="29">
        <v>23</v>
      </c>
      <c r="J6" s="30">
        <v>78</v>
      </c>
      <c r="K6" s="4">
        <f t="shared" si="0"/>
        <v>71.271811874501125</v>
      </c>
      <c r="L6" s="6">
        <f t="shared" ref="L6:L18" si="1">J6-K6</f>
        <v>6.7281881254988747</v>
      </c>
      <c r="N6">
        <v>24</v>
      </c>
      <c r="O6" s="109">
        <f>N6*$E$4+$E$5</f>
        <v>70.643611469269956</v>
      </c>
    </row>
    <row r="7" spans="1:15">
      <c r="A7" s="40">
        <v>48</v>
      </c>
      <c r="B7" s="40">
        <v>53</v>
      </c>
      <c r="I7" s="29">
        <v>25</v>
      </c>
      <c r="J7" s="30">
        <v>60</v>
      </c>
      <c r="K7" s="4">
        <f t="shared" si="0"/>
        <v>70.015411064038801</v>
      </c>
      <c r="L7" s="6">
        <f t="shared" si="1"/>
        <v>-10.015411064038801</v>
      </c>
      <c r="N7">
        <v>44</v>
      </c>
      <c r="O7" s="109">
        <f>N7*$E$4+$E$5</f>
        <v>58.079603364646644</v>
      </c>
    </row>
    <row r="8" spans="1:15">
      <c r="A8" s="82">
        <v>17</v>
      </c>
      <c r="B8" s="40">
        <v>85</v>
      </c>
      <c r="D8" s="27"/>
      <c r="I8" s="29">
        <v>48</v>
      </c>
      <c r="J8" s="30">
        <v>53</v>
      </c>
      <c r="K8" s="4">
        <f t="shared" si="0"/>
        <v>55.566801743721982</v>
      </c>
      <c r="L8" s="6">
        <f t="shared" si="1"/>
        <v>-2.5668017437219817</v>
      </c>
    </row>
    <row r="9" spans="1:15">
      <c r="A9" s="82">
        <v>8</v>
      </c>
      <c r="B9" s="40">
        <v>84</v>
      </c>
      <c r="I9" s="86">
        <v>17</v>
      </c>
      <c r="J9" s="30">
        <v>85</v>
      </c>
      <c r="K9" s="4">
        <f t="shared" si="0"/>
        <v>75.041014305888126</v>
      </c>
      <c r="L9" s="6">
        <f t="shared" si="1"/>
        <v>9.958985694111874</v>
      </c>
      <c r="N9" s="1" t="s">
        <v>153</v>
      </c>
    </row>
    <row r="10" spans="1:15">
      <c r="A10" s="40">
        <v>4</v>
      </c>
      <c r="B10" s="40">
        <v>73</v>
      </c>
      <c r="I10" s="86">
        <v>8</v>
      </c>
      <c r="J10" s="30">
        <v>84</v>
      </c>
      <c r="K10" s="4">
        <f t="shared" si="0"/>
        <v>80.69481795296862</v>
      </c>
      <c r="L10" s="6">
        <f t="shared" si="1"/>
        <v>3.30518204703138</v>
      </c>
    </row>
    <row r="11" spans="1:15">
      <c r="A11" s="40">
        <v>26</v>
      </c>
      <c r="B11" s="40">
        <v>79</v>
      </c>
      <c r="I11" s="29">
        <v>4</v>
      </c>
      <c r="J11" s="30">
        <v>73</v>
      </c>
      <c r="K11" s="4">
        <f t="shared" si="0"/>
        <v>83.207619573893282</v>
      </c>
      <c r="L11" s="6">
        <f t="shared" si="1"/>
        <v>-10.207619573893282</v>
      </c>
      <c r="N11" s="11" t="s">
        <v>4</v>
      </c>
      <c r="O11" s="11" t="s">
        <v>146</v>
      </c>
    </row>
    <row r="12" spans="1:15">
      <c r="A12" s="40">
        <v>11</v>
      </c>
      <c r="B12" s="40">
        <v>81</v>
      </c>
      <c r="I12" s="29">
        <v>26</v>
      </c>
      <c r="J12" s="30">
        <v>79</v>
      </c>
      <c r="K12" s="4">
        <f t="shared" si="0"/>
        <v>69.387210658807632</v>
      </c>
      <c r="L12" s="6">
        <f t="shared" si="1"/>
        <v>9.6127893411923679</v>
      </c>
      <c r="N12">
        <v>4</v>
      </c>
      <c r="O12" s="109">
        <f>FORECAST(N12,$J$5:$J$19,$I$5:$I$19)</f>
        <v>83.207619573893282</v>
      </c>
    </row>
    <row r="13" spans="1:15">
      <c r="A13" s="40">
        <v>19</v>
      </c>
      <c r="B13" s="40">
        <v>75</v>
      </c>
      <c r="I13" s="29">
        <v>11</v>
      </c>
      <c r="J13" s="30">
        <v>81</v>
      </c>
      <c r="K13" s="4">
        <f t="shared" si="0"/>
        <v>78.810216737275113</v>
      </c>
      <c r="L13" s="6">
        <f t="shared" si="1"/>
        <v>2.1897832627248874</v>
      </c>
      <c r="N13">
        <v>24</v>
      </c>
      <c r="O13" s="109">
        <f>FORECAST(N13,$J$5:$J$19,$I$5:$I$19)</f>
        <v>70.64361146926997</v>
      </c>
    </row>
    <row r="14" spans="1:15">
      <c r="A14" s="40">
        <v>14</v>
      </c>
      <c r="B14" s="40">
        <v>68</v>
      </c>
      <c r="I14" s="29">
        <v>19</v>
      </c>
      <c r="J14" s="30">
        <v>75</v>
      </c>
      <c r="K14" s="4">
        <f t="shared" si="0"/>
        <v>73.784613495425788</v>
      </c>
      <c r="L14" s="6">
        <f t="shared" si="1"/>
        <v>1.2153865045742123</v>
      </c>
      <c r="N14">
        <v>44</v>
      </c>
      <c r="O14" s="109">
        <f>FORECAST(N14,$J$5:$J$19,$I$5:$I$19)</f>
        <v>58.079603364646644</v>
      </c>
    </row>
    <row r="15" spans="1:15">
      <c r="A15" s="40">
        <v>35</v>
      </c>
      <c r="B15" s="40">
        <v>72</v>
      </c>
      <c r="I15" s="29">
        <v>14</v>
      </c>
      <c r="J15" s="30">
        <v>68</v>
      </c>
      <c r="K15" s="4">
        <f t="shared" si="0"/>
        <v>76.925615521581619</v>
      </c>
      <c r="L15" s="6">
        <f t="shared" si="1"/>
        <v>-8.9256155215816193</v>
      </c>
    </row>
    <row r="16" spans="1:15">
      <c r="A16" s="40">
        <v>29</v>
      </c>
      <c r="B16" s="40">
        <v>58</v>
      </c>
      <c r="I16" s="29">
        <v>35</v>
      </c>
      <c r="J16" s="30">
        <v>72</v>
      </c>
      <c r="K16" s="4">
        <f t="shared" si="0"/>
        <v>63.733407011727138</v>
      </c>
      <c r="L16" s="6">
        <f t="shared" si="1"/>
        <v>8.2665929882728619</v>
      </c>
      <c r="N16" s="1" t="s">
        <v>152</v>
      </c>
    </row>
    <row r="17" spans="1:15">
      <c r="A17" s="40">
        <v>4</v>
      </c>
      <c r="B17" s="40">
        <v>92</v>
      </c>
      <c r="I17" s="29">
        <v>29</v>
      </c>
      <c r="J17" s="30">
        <v>58</v>
      </c>
      <c r="K17" s="4">
        <f t="shared" si="0"/>
        <v>67.502609443114125</v>
      </c>
      <c r="L17" s="6">
        <f t="shared" si="1"/>
        <v>-9.5026094431141246</v>
      </c>
    </row>
    <row r="18" spans="1:15">
      <c r="A18" s="41">
        <v>23</v>
      </c>
      <c r="B18" s="41">
        <v>65</v>
      </c>
      <c r="I18" s="29">
        <v>4</v>
      </c>
      <c r="J18" s="30">
        <v>92</v>
      </c>
      <c r="K18" s="4">
        <f t="shared" si="0"/>
        <v>83.207619573893282</v>
      </c>
      <c r="L18" s="6">
        <f t="shared" si="1"/>
        <v>8.7923804261067176</v>
      </c>
      <c r="N18" s="11" t="s">
        <v>4</v>
      </c>
      <c r="O18" s="11" t="s">
        <v>146</v>
      </c>
    </row>
    <row r="19" spans="1:15">
      <c r="I19" s="87">
        <v>23</v>
      </c>
      <c r="J19" s="88">
        <v>65</v>
      </c>
      <c r="K19" s="69">
        <f t="shared" si="0"/>
        <v>71.271811874501125</v>
      </c>
      <c r="L19" s="71">
        <f>J19-K19</f>
        <v>-6.2718118745011253</v>
      </c>
      <c r="N19">
        <v>4</v>
      </c>
      <c r="O19" s="109">
        <f t="array" ref="O19:O21">TREND(J5:J19,I5:I19,N19:N21)</f>
        <v>83.207619573893282</v>
      </c>
    </row>
    <row r="20" spans="1:15">
      <c r="N20">
        <v>24</v>
      </c>
      <c r="O20" s="109">
        <v>70.643611469269956</v>
      </c>
    </row>
    <row r="21" spans="1:15">
      <c r="I21">
        <f>AVERAGE(I5:I19)</f>
        <v>19.399999999999999</v>
      </c>
      <c r="J21">
        <f>AVERAGE(J5:J19)</f>
        <v>73.533333333333331</v>
      </c>
      <c r="N21">
        <v>44</v>
      </c>
      <c r="O21" s="109">
        <v>58.079603364646644</v>
      </c>
    </row>
    <row r="22" spans="1:15">
      <c r="I22">
        <f>STDEV(I5:I19)</f>
        <v>12.45448857698644</v>
      </c>
      <c r="J22">
        <f>STDEV(J5:J19)</f>
        <v>10.966616007988378</v>
      </c>
    </row>
  </sheetData>
  <mergeCells count="2">
    <mergeCell ref="I3:J3"/>
    <mergeCell ref="K3:L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5"/>
  <dimension ref="A1:AP22"/>
  <sheetViews>
    <sheetView tabSelected="1" workbookViewId="0">
      <selection activeCell="B14" sqref="B14"/>
    </sheetView>
  </sheetViews>
  <sheetFormatPr defaultRowHeight="15"/>
  <cols>
    <col min="1" max="2" width="11" customWidth="1"/>
    <col min="3" max="3" width="5.7109375" customWidth="1"/>
    <col min="4" max="4" width="7.85546875" customWidth="1"/>
    <col min="6" max="6" width="5.42578125" customWidth="1"/>
    <col min="8" max="8" width="13.28515625" customWidth="1"/>
    <col min="9" max="9" width="8.140625" customWidth="1"/>
    <col min="10" max="13" width="12.5703125" customWidth="1"/>
    <col min="14" max="14" width="6.5703125" customWidth="1"/>
    <col min="15" max="15" width="5.5703125" customWidth="1"/>
    <col min="16" max="16" width="9" customWidth="1"/>
    <col min="17" max="17" width="4.85546875" customWidth="1"/>
    <col min="18" max="18" width="9" customWidth="1"/>
    <col min="20" max="22" width="10.85546875" customWidth="1"/>
    <col min="26" max="26" width="5.85546875" customWidth="1"/>
    <col min="27" max="27" width="6.7109375" customWidth="1"/>
    <col min="29" max="29" width="5.140625" customWidth="1"/>
    <col min="33" max="33" width="4" customWidth="1"/>
    <col min="34" max="34" width="26.42578125" customWidth="1"/>
    <col min="39" max="39" width="15.28515625" customWidth="1"/>
    <col min="42" max="42" width="19.5703125" customWidth="1"/>
  </cols>
  <sheetData>
    <row r="1" spans="1:42">
      <c r="A1" s="1" t="s">
        <v>160</v>
      </c>
      <c r="J1" t="s">
        <v>163</v>
      </c>
      <c r="T1" t="s">
        <v>164</v>
      </c>
    </row>
    <row r="3" spans="1:42">
      <c r="A3" s="83" t="s">
        <v>143</v>
      </c>
      <c r="B3" s="84" t="s">
        <v>144</v>
      </c>
      <c r="D3" s="11" t="s">
        <v>15</v>
      </c>
      <c r="E3" s="95">
        <f>COUNT(A4:A18)</f>
        <v>15</v>
      </c>
      <c r="I3" s="11"/>
      <c r="J3" s="729" t="s">
        <v>34</v>
      </c>
      <c r="K3" s="730"/>
      <c r="L3" s="731" t="s">
        <v>145</v>
      </c>
      <c r="M3" s="732"/>
      <c r="P3" s="75" t="s">
        <v>137</v>
      </c>
      <c r="Q3" s="75" t="s">
        <v>26</v>
      </c>
      <c r="R3" s="75" t="s">
        <v>156</v>
      </c>
      <c r="T3" s="729" t="s">
        <v>34</v>
      </c>
      <c r="U3" s="730"/>
      <c r="V3" s="93" t="s">
        <v>145</v>
      </c>
      <c r="W3" s="729" t="s">
        <v>137</v>
      </c>
      <c r="X3" s="733"/>
      <c r="Y3" s="730"/>
      <c r="AB3" s="75" t="s">
        <v>137</v>
      </c>
      <c r="AC3" s="75" t="s">
        <v>26</v>
      </c>
      <c r="AD3" s="75" t="s">
        <v>156</v>
      </c>
      <c r="AF3" t="s">
        <v>169</v>
      </c>
      <c r="AJ3" t="s">
        <v>172</v>
      </c>
      <c r="AM3" s="14" t="s">
        <v>196</v>
      </c>
    </row>
    <row r="4" spans="1:42">
      <c r="A4" s="29">
        <v>5</v>
      </c>
      <c r="B4" s="85">
        <v>80</v>
      </c>
      <c r="D4" s="11" t="s">
        <v>57</v>
      </c>
      <c r="E4" s="74">
        <f>CORREL(A4:A18,B4:B18)</f>
        <v>-0.71343017438658085</v>
      </c>
      <c r="I4" s="5"/>
      <c r="J4" s="83" t="s">
        <v>143</v>
      </c>
      <c r="K4" s="84" t="s">
        <v>144</v>
      </c>
      <c r="L4" s="83" t="s">
        <v>147</v>
      </c>
      <c r="M4" s="89" t="s">
        <v>155</v>
      </c>
      <c r="O4" s="98" t="s">
        <v>157</v>
      </c>
      <c r="P4" s="77">
        <f>DEVSQ(K5:K19)</f>
        <v>1683.7333333333333</v>
      </c>
      <c r="Q4" s="79">
        <f>COUNT(K5:K19)-1</f>
        <v>14</v>
      </c>
      <c r="R4" s="78">
        <f>P4/Q4</f>
        <v>120.26666666666667</v>
      </c>
      <c r="T4" s="83" t="s">
        <v>143</v>
      </c>
      <c r="U4" s="84" t="s">
        <v>144</v>
      </c>
      <c r="V4" s="83" t="s">
        <v>147</v>
      </c>
      <c r="W4" s="90" t="s">
        <v>157</v>
      </c>
      <c r="X4" s="91" t="s">
        <v>158</v>
      </c>
      <c r="Y4" s="92" t="s">
        <v>159</v>
      </c>
      <c r="AA4" s="98" t="s">
        <v>157</v>
      </c>
      <c r="AB4" s="77">
        <f>W20</f>
        <v>1683.7333333333333</v>
      </c>
      <c r="AC4" s="79">
        <f>U21-1</f>
        <v>14</v>
      </c>
      <c r="AD4" s="78">
        <f>AB4/AC4</f>
        <v>120.26666666666667</v>
      </c>
    </row>
    <row r="5" spans="1:42">
      <c r="A5" s="29">
        <v>23</v>
      </c>
      <c r="B5" s="30">
        <v>78</v>
      </c>
      <c r="D5" s="11"/>
      <c r="I5" s="5"/>
      <c r="J5" s="29">
        <v>5</v>
      </c>
      <c r="K5" s="85">
        <v>80</v>
      </c>
      <c r="L5" s="4">
        <f t="shared" ref="L5:L19" si="0">FORECAST(J5,$K$5:$K$19,$J$5:$J$19)</f>
        <v>82.579419168662113</v>
      </c>
      <c r="M5" s="6">
        <f>K5-L5</f>
        <v>-2.5794191686621133</v>
      </c>
      <c r="O5" s="11" t="s">
        <v>158</v>
      </c>
      <c r="P5" s="4">
        <f>DEVSQ(L5:L19)</f>
        <v>856.99099281635665</v>
      </c>
      <c r="Q5" s="5">
        <v>1</v>
      </c>
      <c r="R5" s="6">
        <f>P5/Q5</f>
        <v>856.99099281635665</v>
      </c>
      <c r="T5" s="29">
        <v>5</v>
      </c>
      <c r="U5" s="85">
        <v>80</v>
      </c>
      <c r="V5" s="4">
        <f t="shared" ref="V5:V19" si="1">FORECAST(T5,$K$5:$K$19,$J$5:$J$19)</f>
        <v>82.579419168662113</v>
      </c>
      <c r="W5" s="4">
        <f>(U5-$U$22)^2</f>
        <v>41.817777777777799</v>
      </c>
      <c r="X5" s="5">
        <f>(V5-$U$22)^2</f>
        <v>81.831668940136026</v>
      </c>
      <c r="Y5" s="6">
        <f>(U5-V5)^2</f>
        <v>6.6534032476615472</v>
      </c>
      <c r="AA5" s="11" t="s">
        <v>158</v>
      </c>
      <c r="AB5" s="4">
        <f>X20</f>
        <v>856.99099281635642</v>
      </c>
      <c r="AC5" s="5">
        <v>1</v>
      </c>
      <c r="AD5" s="6">
        <f>AB5/AC5</f>
        <v>856.99099281635642</v>
      </c>
      <c r="AF5">
        <f>AB4-AB5</f>
        <v>826.74234051697692</v>
      </c>
      <c r="AH5" s="13" t="s">
        <v>170</v>
      </c>
      <c r="AJ5" t="s">
        <v>175</v>
      </c>
      <c r="AK5">
        <f>CORREL(T5:T19,U5:U19)</f>
        <v>-0.71343017438658085</v>
      </c>
      <c r="AM5" t="s">
        <v>197</v>
      </c>
      <c r="AN5" s="109">
        <f t="array" ref="AN5:AO9">LINEST(B4:B18,A4:A18,TRUE,TRUE)</f>
        <v>-0.62820040523116594</v>
      </c>
      <c r="AO5" s="109">
        <v>85.720421194817945</v>
      </c>
      <c r="AP5" t="s">
        <v>198</v>
      </c>
    </row>
    <row r="6" spans="1:42" ht="18">
      <c r="A6" s="29">
        <v>25</v>
      </c>
      <c r="B6" s="30">
        <v>60</v>
      </c>
      <c r="D6" s="11"/>
      <c r="E6" s="75" t="s">
        <v>137</v>
      </c>
      <c r="F6" s="75" t="s">
        <v>26</v>
      </c>
      <c r="G6" s="75" t="s">
        <v>156</v>
      </c>
      <c r="I6" s="5"/>
      <c r="J6" s="29">
        <v>23</v>
      </c>
      <c r="K6" s="30">
        <v>78</v>
      </c>
      <c r="L6" s="4">
        <f t="shared" si="0"/>
        <v>71.271811874501125</v>
      </c>
      <c r="M6" s="6">
        <f t="shared" ref="M6:M18" si="2">K6-L6</f>
        <v>6.7281881254988747</v>
      </c>
      <c r="O6" s="11" t="s">
        <v>159</v>
      </c>
      <c r="P6" s="69">
        <f>DEVSQ(M5:M19)</f>
        <v>826.74234051697681</v>
      </c>
      <c r="Q6" s="70">
        <f>Q4-1</f>
        <v>13</v>
      </c>
      <c r="R6" s="71">
        <f>P6/Q6</f>
        <v>63.59556465515206</v>
      </c>
      <c r="T6" s="29">
        <v>23</v>
      </c>
      <c r="U6" s="30">
        <v>78</v>
      </c>
      <c r="V6" s="4">
        <f t="shared" si="1"/>
        <v>71.271811874501125</v>
      </c>
      <c r="W6" s="4">
        <f t="shared" ref="W6:W19" si="3">(U6-$U$22)^2</f>
        <v>19.951111111111128</v>
      </c>
      <c r="X6" s="5">
        <f t="shared" ref="X6:X19" si="4">(V6-$U$22)^2</f>
        <v>5.1144793087585496</v>
      </c>
      <c r="Y6" s="6">
        <f t="shared" ref="Y6:Y19" si="5">(U6-V6)^2</f>
        <v>45.268515452104062</v>
      </c>
      <c r="AA6" s="11" t="s">
        <v>159</v>
      </c>
      <c r="AB6" s="69">
        <f>Y20</f>
        <v>826.74234051697681</v>
      </c>
      <c r="AC6" s="70">
        <f>AC4-1</f>
        <v>13</v>
      </c>
      <c r="AD6" s="71">
        <f>AB6/AC6</f>
        <v>63.59556465515206</v>
      </c>
      <c r="AF6">
        <f>SUMXMY2(U5:U19,V5:V19)</f>
        <v>826.74234051697681</v>
      </c>
      <c r="AH6" s="13" t="s">
        <v>171</v>
      </c>
      <c r="AJ6" t="s">
        <v>173</v>
      </c>
      <c r="AK6">
        <f>CORREL(T5:T19,V5:V19)</f>
        <v>-0.99999999999999967</v>
      </c>
      <c r="AM6" t="s">
        <v>199</v>
      </c>
      <c r="AN6" s="109">
        <v>0.17112895461639729</v>
      </c>
      <c r="AO6" s="109">
        <v>3.9065908075799731</v>
      </c>
      <c r="AP6" t="s">
        <v>200</v>
      </c>
    </row>
    <row r="7" spans="1:42" ht="18">
      <c r="A7" s="29">
        <v>48</v>
      </c>
      <c r="B7" s="30">
        <v>53</v>
      </c>
      <c r="D7" s="98" t="s">
        <v>157</v>
      </c>
      <c r="E7" s="77">
        <f>DEVSQ(B4:B18)</f>
        <v>1683.7333333333333</v>
      </c>
      <c r="F7" s="79">
        <f>E3-1</f>
        <v>14</v>
      </c>
      <c r="G7" s="78">
        <f>E7/F7</f>
        <v>120.26666666666667</v>
      </c>
      <c r="H7" s="11"/>
      <c r="J7" s="29">
        <v>25</v>
      </c>
      <c r="K7" s="30">
        <v>60</v>
      </c>
      <c r="L7" s="4">
        <f t="shared" si="0"/>
        <v>70.015411064038801</v>
      </c>
      <c r="M7" s="6">
        <f t="shared" si="2"/>
        <v>-10.015411064038801</v>
      </c>
      <c r="T7" s="29">
        <v>25</v>
      </c>
      <c r="U7" s="30">
        <v>60</v>
      </c>
      <c r="V7" s="4">
        <f t="shared" si="1"/>
        <v>70.015411064038801</v>
      </c>
      <c r="W7" s="4">
        <f t="shared" si="3"/>
        <v>183.15111111111105</v>
      </c>
      <c r="X7" s="5">
        <f t="shared" si="4"/>
        <v>12.375777092798376</v>
      </c>
      <c r="Y7" s="6">
        <f t="shared" si="5"/>
        <v>100.30845878167084</v>
      </c>
      <c r="AJ7" t="s">
        <v>174</v>
      </c>
      <c r="AK7">
        <f>CORREL(U5:U19,V5:V19)</f>
        <v>0.71343017438658096</v>
      </c>
      <c r="AM7" t="s">
        <v>201</v>
      </c>
      <c r="AN7" s="109">
        <v>0.50898261372526721</v>
      </c>
      <c r="AO7" s="109">
        <v>7.9746827306891683</v>
      </c>
      <c r="AP7" t="s">
        <v>202</v>
      </c>
    </row>
    <row r="8" spans="1:42" ht="18">
      <c r="A8" s="86">
        <v>17</v>
      </c>
      <c r="B8" s="30">
        <v>85</v>
      </c>
      <c r="D8" s="11" t="s">
        <v>158</v>
      </c>
      <c r="E8" s="4">
        <f>E4^2*E7</f>
        <v>856.99099281635654</v>
      </c>
      <c r="F8" s="5">
        <v>1</v>
      </c>
      <c r="G8" s="6">
        <f>E8/F8</f>
        <v>856.99099281635654</v>
      </c>
      <c r="H8" s="5"/>
      <c r="J8" s="29">
        <v>48</v>
      </c>
      <c r="K8" s="30">
        <v>53</v>
      </c>
      <c r="L8" s="4">
        <f t="shared" si="0"/>
        <v>55.566801743721982</v>
      </c>
      <c r="M8" s="6">
        <f t="shared" si="2"/>
        <v>-2.5668017437219817</v>
      </c>
      <c r="T8" s="29">
        <v>48</v>
      </c>
      <c r="U8" s="30">
        <v>53</v>
      </c>
      <c r="V8" s="4">
        <f t="shared" si="1"/>
        <v>55.566801743721982</v>
      </c>
      <c r="W8" s="4">
        <f t="shared" si="3"/>
        <v>421.61777777777769</v>
      </c>
      <c r="X8" s="5">
        <f t="shared" si="4"/>
        <v>322.79625736050252</v>
      </c>
      <c r="Y8" s="6">
        <f t="shared" si="5"/>
        <v>6.5884711915742056</v>
      </c>
      <c r="AM8" t="s">
        <v>63</v>
      </c>
      <c r="AN8" s="109">
        <v>13.475640910862317</v>
      </c>
      <c r="AO8" s="109">
        <v>13</v>
      </c>
      <c r="AP8" t="s">
        <v>203</v>
      </c>
    </row>
    <row r="9" spans="1:42" ht="18">
      <c r="A9" s="86">
        <v>8</v>
      </c>
      <c r="B9" s="30">
        <v>84</v>
      </c>
      <c r="D9" s="11" t="s">
        <v>159</v>
      </c>
      <c r="E9" s="69">
        <f>E7-E8</f>
        <v>826.74234051697681</v>
      </c>
      <c r="F9" s="70">
        <f>F7-1</f>
        <v>13</v>
      </c>
      <c r="G9" s="71">
        <f>E9/F9</f>
        <v>63.59556465515206</v>
      </c>
      <c r="H9" s="5"/>
      <c r="I9" s="94"/>
      <c r="J9" s="86">
        <v>17</v>
      </c>
      <c r="K9" s="30">
        <v>85</v>
      </c>
      <c r="L9" s="4">
        <f t="shared" si="0"/>
        <v>75.041014305888126</v>
      </c>
      <c r="M9" s="6">
        <f t="shared" si="2"/>
        <v>9.958985694111874</v>
      </c>
      <c r="S9" s="10"/>
      <c r="T9" s="86">
        <v>17</v>
      </c>
      <c r="U9" s="30">
        <v>85</v>
      </c>
      <c r="V9" s="4">
        <f t="shared" si="1"/>
        <v>75.041014305888126</v>
      </c>
      <c r="W9" s="4">
        <f t="shared" si="3"/>
        <v>131.48444444444448</v>
      </c>
      <c r="X9" s="5">
        <f t="shared" si="4"/>
        <v>2.2731019150037715</v>
      </c>
      <c r="Y9" s="6">
        <f t="shared" si="5"/>
        <v>99.181396055524971</v>
      </c>
      <c r="AM9" t="s">
        <v>204</v>
      </c>
      <c r="AN9" s="109">
        <v>856.99099281635665</v>
      </c>
      <c r="AO9" s="109">
        <v>826.7423405169767</v>
      </c>
      <c r="AP9" t="s">
        <v>205</v>
      </c>
    </row>
    <row r="10" spans="1:42">
      <c r="A10" s="29">
        <v>4</v>
      </c>
      <c r="B10" s="30">
        <v>73</v>
      </c>
      <c r="H10" s="5"/>
      <c r="I10" s="10"/>
      <c r="J10" s="86">
        <v>8</v>
      </c>
      <c r="K10" s="30">
        <v>84</v>
      </c>
      <c r="L10" s="4">
        <f t="shared" si="0"/>
        <v>80.69481795296862</v>
      </c>
      <c r="M10" s="6">
        <f t="shared" si="2"/>
        <v>3.30518204703138</v>
      </c>
      <c r="S10" s="10"/>
      <c r="T10" s="86">
        <v>8</v>
      </c>
      <c r="U10" s="30">
        <v>84</v>
      </c>
      <c r="V10" s="4">
        <f t="shared" si="1"/>
        <v>80.69481795296862</v>
      </c>
      <c r="W10" s="4">
        <f t="shared" si="3"/>
        <v>109.55111111111115</v>
      </c>
      <c r="X10" s="5">
        <f t="shared" si="4"/>
        <v>51.286861957272791</v>
      </c>
      <c r="Y10" s="6">
        <f t="shared" si="5"/>
        <v>10.924228364018543</v>
      </c>
    </row>
    <row r="11" spans="1:42">
      <c r="A11" s="29">
        <v>26</v>
      </c>
      <c r="B11" s="30">
        <v>79</v>
      </c>
      <c r="D11" t="s">
        <v>63</v>
      </c>
      <c r="E11" s="95">
        <f>G8/G9</f>
        <v>13.475640910862316</v>
      </c>
      <c r="G11" s="97" t="s">
        <v>165</v>
      </c>
      <c r="H11" s="94"/>
      <c r="I11" s="94"/>
      <c r="J11" s="29">
        <v>4</v>
      </c>
      <c r="K11" s="30">
        <v>73</v>
      </c>
      <c r="L11" s="4">
        <f t="shared" si="0"/>
        <v>83.207619573893282</v>
      </c>
      <c r="M11" s="6">
        <f t="shared" si="2"/>
        <v>-10.207619573893282</v>
      </c>
      <c r="S11" s="10"/>
      <c r="T11" s="29">
        <v>4</v>
      </c>
      <c r="U11" s="30">
        <v>73</v>
      </c>
      <c r="V11" s="4">
        <f t="shared" si="1"/>
        <v>83.207619573893282</v>
      </c>
      <c r="W11" s="4">
        <f t="shared" si="3"/>
        <v>0.28444444444444245</v>
      </c>
      <c r="X11" s="5">
        <f t="shared" si="4"/>
        <v>93.591814264287592</v>
      </c>
      <c r="Y11" s="6">
        <f t="shared" si="5"/>
        <v>104.19549736532927</v>
      </c>
    </row>
    <row r="12" spans="1:42">
      <c r="A12" s="29">
        <v>11</v>
      </c>
      <c r="B12" s="30">
        <v>81</v>
      </c>
      <c r="D12" t="s">
        <v>53</v>
      </c>
      <c r="E12" s="20">
        <v>0.05</v>
      </c>
      <c r="G12" s="735"/>
      <c r="H12" s="735"/>
      <c r="I12" s="94"/>
      <c r="J12" s="29">
        <v>26</v>
      </c>
      <c r="K12" s="30">
        <v>79</v>
      </c>
      <c r="L12" s="4">
        <f t="shared" si="0"/>
        <v>69.387210658807632</v>
      </c>
      <c r="M12" s="6">
        <f t="shared" si="2"/>
        <v>9.6127893411923679</v>
      </c>
      <c r="S12" s="10"/>
      <c r="T12" s="29">
        <v>26</v>
      </c>
      <c r="U12" s="30">
        <v>79</v>
      </c>
      <c r="V12" s="4">
        <f t="shared" si="1"/>
        <v>69.387210658807632</v>
      </c>
      <c r="W12" s="4">
        <f t="shared" si="3"/>
        <v>29.884444444444465</v>
      </c>
      <c r="X12" s="5">
        <f t="shared" si="4"/>
        <v>17.190333232216137</v>
      </c>
      <c r="Y12" s="6">
        <f t="shared" si="5"/>
        <v>92.405718918141602</v>
      </c>
    </row>
    <row r="13" spans="1:42">
      <c r="A13" s="29">
        <v>19</v>
      </c>
      <c r="B13" s="30">
        <v>75</v>
      </c>
      <c r="D13" t="s">
        <v>162</v>
      </c>
      <c r="E13" s="20">
        <f>FINV(E12,F8,F9)</f>
        <v>4.6671927318268525</v>
      </c>
      <c r="G13" s="734" t="s">
        <v>166</v>
      </c>
      <c r="H13" s="734"/>
      <c r="I13" s="94"/>
      <c r="J13" s="29">
        <v>11</v>
      </c>
      <c r="K13" s="30">
        <v>81</v>
      </c>
      <c r="L13" s="4">
        <f t="shared" si="0"/>
        <v>78.810216737275127</v>
      </c>
      <c r="M13" s="6">
        <f t="shared" si="2"/>
        <v>2.1897832627248732</v>
      </c>
      <c r="S13" s="10"/>
      <c r="T13" s="29">
        <v>11</v>
      </c>
      <c r="U13" s="30">
        <v>81</v>
      </c>
      <c r="V13" s="4">
        <f t="shared" si="1"/>
        <v>78.810216737275127</v>
      </c>
      <c r="W13" s="4">
        <f t="shared" si="3"/>
        <v>55.751111111111136</v>
      </c>
      <c r="X13" s="5">
        <f t="shared" si="4"/>
        <v>27.845498458796349</v>
      </c>
      <c r="Y13" s="6">
        <f t="shared" si="5"/>
        <v>4.7951507377099913</v>
      </c>
    </row>
    <row r="14" spans="1:42">
      <c r="A14" s="29">
        <v>14</v>
      </c>
      <c r="B14" s="30">
        <v>68</v>
      </c>
      <c r="D14" t="s">
        <v>30</v>
      </c>
      <c r="E14" s="20">
        <f>FDIST(E11,F8,F9)</f>
        <v>2.822342990071234E-3</v>
      </c>
      <c r="G14" s="734" t="s">
        <v>167</v>
      </c>
      <c r="H14" s="734"/>
      <c r="J14" s="29">
        <v>19</v>
      </c>
      <c r="K14" s="30">
        <v>75</v>
      </c>
      <c r="L14" s="4">
        <f t="shared" si="0"/>
        <v>73.784613495425788</v>
      </c>
      <c r="M14" s="6">
        <f t="shared" si="2"/>
        <v>1.2153865045742123</v>
      </c>
      <c r="T14" s="29">
        <v>19</v>
      </c>
      <c r="U14" s="30">
        <v>75</v>
      </c>
      <c r="V14" s="4">
        <f t="shared" si="1"/>
        <v>73.784613495425788</v>
      </c>
      <c r="W14" s="4">
        <f t="shared" si="3"/>
        <v>2.1511111111111165</v>
      </c>
      <c r="X14" s="5">
        <f t="shared" si="4"/>
        <v>6.3141719861211115E-2</v>
      </c>
      <c r="Y14" s="6">
        <f t="shared" si="5"/>
        <v>1.4771643555011218</v>
      </c>
    </row>
    <row r="15" spans="1:42">
      <c r="A15" s="29">
        <v>35</v>
      </c>
      <c r="B15" s="30">
        <v>72</v>
      </c>
      <c r="D15" t="s">
        <v>374</v>
      </c>
      <c r="E15" s="96" t="str">
        <f>IF(E14&lt;E12,"yes","no")</f>
        <v>yes</v>
      </c>
      <c r="G15" s="734" t="s">
        <v>168</v>
      </c>
      <c r="H15" s="734"/>
      <c r="J15" s="29">
        <v>14</v>
      </c>
      <c r="K15" s="30">
        <v>68</v>
      </c>
      <c r="L15" s="4">
        <f t="shared" si="0"/>
        <v>76.925615521581619</v>
      </c>
      <c r="M15" s="6">
        <f t="shared" si="2"/>
        <v>-8.9256155215816193</v>
      </c>
      <c r="T15" s="29">
        <v>14</v>
      </c>
      <c r="U15" s="30">
        <v>68</v>
      </c>
      <c r="V15" s="4">
        <f t="shared" si="1"/>
        <v>76.925615521581619</v>
      </c>
      <c r="W15" s="4">
        <f t="shared" si="3"/>
        <v>30.617777777777757</v>
      </c>
      <c r="X15" s="5">
        <f t="shared" si="4"/>
        <v>11.507578444706592</v>
      </c>
      <c r="Y15" s="6">
        <f t="shared" si="5"/>
        <v>79.666612439098728</v>
      </c>
    </row>
    <row r="16" spans="1:42">
      <c r="A16" s="29">
        <v>29</v>
      </c>
      <c r="B16" s="30">
        <v>58</v>
      </c>
      <c r="J16" s="29">
        <v>35</v>
      </c>
      <c r="K16" s="30">
        <v>72</v>
      </c>
      <c r="L16" s="4">
        <f t="shared" si="0"/>
        <v>63.733407011727138</v>
      </c>
      <c r="M16" s="6">
        <f t="shared" si="2"/>
        <v>8.2665929882728619</v>
      </c>
      <c r="T16" s="29">
        <v>35</v>
      </c>
      <c r="U16" s="30">
        <v>72</v>
      </c>
      <c r="V16" s="4">
        <f t="shared" si="1"/>
        <v>63.733407011727138</v>
      </c>
      <c r="W16" s="4">
        <f t="shared" si="3"/>
        <v>2.3511111111111052</v>
      </c>
      <c r="X16" s="5">
        <f t="shared" si="4"/>
        <v>96.038555908909899</v>
      </c>
      <c r="Y16" s="6">
        <f t="shared" si="5"/>
        <v>68.33655963376205</v>
      </c>
    </row>
    <row r="17" spans="1:25">
      <c r="A17" s="29">
        <v>4</v>
      </c>
      <c r="B17" s="30">
        <v>92</v>
      </c>
      <c r="J17" s="29">
        <v>29</v>
      </c>
      <c r="K17" s="30">
        <v>58</v>
      </c>
      <c r="L17" s="4">
        <f t="shared" si="0"/>
        <v>67.502609443114139</v>
      </c>
      <c r="M17" s="6">
        <f t="shared" si="2"/>
        <v>-9.5026094431141388</v>
      </c>
      <c r="T17" s="29">
        <v>29</v>
      </c>
      <c r="U17" s="30">
        <v>58</v>
      </c>
      <c r="V17" s="4">
        <f t="shared" si="1"/>
        <v>67.502609443114139</v>
      </c>
      <c r="W17" s="4">
        <f t="shared" si="3"/>
        <v>241.28444444444438</v>
      </c>
      <c r="X17" s="5">
        <f t="shared" si="4"/>
        <v>36.369630640060514</v>
      </c>
      <c r="Y17" s="6">
        <f t="shared" si="5"/>
        <v>90.299586228362003</v>
      </c>
    </row>
    <row r="18" spans="1:25">
      <c r="A18" s="87">
        <v>23</v>
      </c>
      <c r="B18" s="88">
        <v>65</v>
      </c>
      <c r="J18" s="29">
        <v>4</v>
      </c>
      <c r="K18" s="30">
        <v>92</v>
      </c>
      <c r="L18" s="4">
        <f t="shared" si="0"/>
        <v>83.207619573893282</v>
      </c>
      <c r="M18" s="6">
        <f t="shared" si="2"/>
        <v>8.7923804261067176</v>
      </c>
      <c r="T18" s="29">
        <v>4</v>
      </c>
      <c r="U18" s="30">
        <v>92</v>
      </c>
      <c r="V18" s="4">
        <f t="shared" si="1"/>
        <v>83.207619573893282</v>
      </c>
      <c r="W18" s="4">
        <f t="shared" si="3"/>
        <v>341.01777777777784</v>
      </c>
      <c r="X18" s="5">
        <f t="shared" si="4"/>
        <v>93.591814264287592</v>
      </c>
      <c r="Y18" s="6">
        <f t="shared" si="5"/>
        <v>77.305953557384541</v>
      </c>
    </row>
    <row r="19" spans="1:25">
      <c r="J19" s="87">
        <v>23</v>
      </c>
      <c r="K19" s="88">
        <v>65</v>
      </c>
      <c r="L19" s="69">
        <f t="shared" si="0"/>
        <v>71.271811874501125</v>
      </c>
      <c r="M19" s="71">
        <f>K19-L19</f>
        <v>-6.2718118745011253</v>
      </c>
      <c r="T19" s="87">
        <v>23</v>
      </c>
      <c r="U19" s="88">
        <v>65</v>
      </c>
      <c r="V19" s="69">
        <f t="shared" si="1"/>
        <v>71.271811874501125</v>
      </c>
      <c r="W19" s="69">
        <f t="shared" si="3"/>
        <v>72.817777777777749</v>
      </c>
      <c r="X19" s="70">
        <f t="shared" si="4"/>
        <v>5.1144793087585496</v>
      </c>
      <c r="Y19" s="71">
        <f t="shared" si="5"/>
        <v>39.33562418913332</v>
      </c>
    </row>
    <row r="20" spans="1:25">
      <c r="W20">
        <f>SUM(W5:W19)</f>
        <v>1683.7333333333333</v>
      </c>
      <c r="X20">
        <f>SUM(X5:X19)</f>
        <v>856.99099281635642</v>
      </c>
      <c r="Y20">
        <f>SUM(Y5:Y19)</f>
        <v>826.74234051697681</v>
      </c>
    </row>
    <row r="21" spans="1:25">
      <c r="J21" t="s">
        <v>5</v>
      </c>
      <c r="K21" s="302">
        <f>AVERAGE(K5:K19)</f>
        <v>73.533333333333331</v>
      </c>
      <c r="L21" s="311">
        <f>AVERAGE(L5:L19)</f>
        <v>73.533333333333317</v>
      </c>
      <c r="M21" s="312">
        <f>AVERAGE(M5:M19)</f>
        <v>6.6317322004276018E-15</v>
      </c>
      <c r="T21" s="11" t="s">
        <v>15</v>
      </c>
      <c r="U21" s="302">
        <f>COUNT(T5:T19)</f>
        <v>15</v>
      </c>
    </row>
    <row r="22" spans="1:25">
      <c r="J22" t="s">
        <v>38</v>
      </c>
      <c r="K22" s="289">
        <f>STDEV(K5:K19)</f>
        <v>10.966616007988378</v>
      </c>
      <c r="L22" s="284">
        <f>STDEV(L5:L19)</f>
        <v>7.8239147710098651</v>
      </c>
      <c r="M22" s="9">
        <f>STDEV(M5:M19)</f>
        <v>7.6845965621261598</v>
      </c>
      <c r="T22" s="11" t="s">
        <v>161</v>
      </c>
      <c r="U22" s="289">
        <f>AVERAGE(U5:U19)</f>
        <v>73.533333333333331</v>
      </c>
    </row>
  </sheetData>
  <mergeCells count="8">
    <mergeCell ref="L3:M3"/>
    <mergeCell ref="T3:U3"/>
    <mergeCell ref="W3:Y3"/>
    <mergeCell ref="G14:H14"/>
    <mergeCell ref="G15:H15"/>
    <mergeCell ref="G12:H12"/>
    <mergeCell ref="G13:H13"/>
    <mergeCell ref="J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6"/>
  <dimension ref="A1:L20"/>
  <sheetViews>
    <sheetView workbookViewId="0"/>
  </sheetViews>
  <sheetFormatPr defaultRowHeight="15"/>
  <cols>
    <col min="1" max="2" width="11.42578125" customWidth="1"/>
    <col min="3" max="3" width="6.7109375" customWidth="1"/>
    <col min="6" max="6" width="4.85546875" customWidth="1"/>
    <col min="7" max="7" width="30.5703125" customWidth="1"/>
    <col min="8" max="8" width="4.5703125" customWidth="1"/>
    <col min="11" max="11" width="4.85546875" customWidth="1"/>
    <col min="12" max="12" width="30.5703125" customWidth="1"/>
  </cols>
  <sheetData>
    <row r="1" spans="1:12">
      <c r="A1" s="1" t="s">
        <v>185</v>
      </c>
    </row>
    <row r="3" spans="1:12">
      <c r="A3" s="83" t="s">
        <v>143</v>
      </c>
      <c r="B3" s="84" t="s">
        <v>144</v>
      </c>
      <c r="D3" t="s">
        <v>15</v>
      </c>
      <c r="E3" s="95">
        <f>COUNT(A4:A18)</f>
        <v>15</v>
      </c>
      <c r="G3" s="13" t="s">
        <v>136</v>
      </c>
      <c r="I3" t="s">
        <v>15</v>
      </c>
      <c r="J3" s="95">
        <f>COUNT(A4:A18)</f>
        <v>15</v>
      </c>
      <c r="L3" s="13" t="s">
        <v>136</v>
      </c>
    </row>
    <row r="4" spans="1:12" ht="18">
      <c r="A4" s="29">
        <v>5</v>
      </c>
      <c r="B4" s="85">
        <v>80</v>
      </c>
      <c r="D4" t="s">
        <v>57</v>
      </c>
      <c r="E4" s="20">
        <f>CORREL(A4:A18,B4:B18)</f>
        <v>-0.71343017438658085</v>
      </c>
      <c r="G4" s="13" t="s">
        <v>181</v>
      </c>
      <c r="I4" t="s">
        <v>177</v>
      </c>
      <c r="J4" s="20">
        <f>STDEV(A4:A18)</f>
        <v>12.45448857698644</v>
      </c>
      <c r="L4" s="13" t="s">
        <v>182</v>
      </c>
    </row>
    <row r="5" spans="1:12" ht="18">
      <c r="A5" s="29">
        <v>23</v>
      </c>
      <c r="B5" s="30">
        <v>78</v>
      </c>
      <c r="D5" t="s">
        <v>177</v>
      </c>
      <c r="E5" s="20">
        <f>STDEV(A4:A18)</f>
        <v>12.45448857698644</v>
      </c>
      <c r="G5" s="13" t="s">
        <v>182</v>
      </c>
      <c r="I5" t="s">
        <v>19</v>
      </c>
      <c r="J5" s="20">
        <f>SLOPE(B4:B18,A4:A18)</f>
        <v>-0.62820040523116583</v>
      </c>
      <c r="L5" s="13" t="s">
        <v>229</v>
      </c>
    </row>
    <row r="6" spans="1:12" ht="18">
      <c r="A6" s="29">
        <v>25</v>
      </c>
      <c r="B6" s="30">
        <v>60</v>
      </c>
      <c r="D6" t="s">
        <v>179</v>
      </c>
      <c r="E6" s="20">
        <f>STDEV(B4:B18)</f>
        <v>10.966616007988378</v>
      </c>
      <c r="G6" s="13" t="s">
        <v>183</v>
      </c>
      <c r="I6" t="s">
        <v>180</v>
      </c>
      <c r="J6" s="20">
        <f>STEYX(B4:B18,A4:A18)</f>
        <v>7.9746827306891692</v>
      </c>
      <c r="L6" s="13" t="s">
        <v>230</v>
      </c>
    </row>
    <row r="7" spans="1:12" ht="18">
      <c r="A7" s="29">
        <v>48</v>
      </c>
      <c r="B7" s="30">
        <v>53</v>
      </c>
      <c r="D7" t="s">
        <v>19</v>
      </c>
      <c r="E7" s="20">
        <f>E4*E6/E5</f>
        <v>-0.6282004052311666</v>
      </c>
      <c r="G7" s="13" t="s">
        <v>186</v>
      </c>
      <c r="I7" t="s">
        <v>178</v>
      </c>
      <c r="J7" s="20">
        <f>J6/(J4*SQRT(J3-1))</f>
        <v>0.17112895461639729</v>
      </c>
      <c r="L7" s="13" t="s">
        <v>231</v>
      </c>
    </row>
    <row r="8" spans="1:12" ht="18">
      <c r="A8" s="86">
        <v>17</v>
      </c>
      <c r="B8" s="30">
        <v>85</v>
      </c>
      <c r="D8" t="s">
        <v>180</v>
      </c>
      <c r="E8" s="20">
        <f>E6*SQRT((1-E4^2)*(E3-1)/(E3-2))</f>
        <v>7.974682730689179</v>
      </c>
      <c r="G8" s="13" t="s">
        <v>187</v>
      </c>
      <c r="I8" t="s">
        <v>29</v>
      </c>
      <c r="J8" s="20">
        <f>J5/J7</f>
        <v>-3.6709182653475563</v>
      </c>
      <c r="L8" s="13" t="s">
        <v>232</v>
      </c>
    </row>
    <row r="9" spans="1:12" ht="18">
      <c r="A9" s="86">
        <v>8</v>
      </c>
      <c r="B9" s="30">
        <v>84</v>
      </c>
      <c r="D9" t="s">
        <v>178</v>
      </c>
      <c r="E9" s="20">
        <f>E8/(E5*SQRT(E3-1))</f>
        <v>0.17112895461639752</v>
      </c>
      <c r="G9" s="13" t="s">
        <v>188</v>
      </c>
      <c r="I9" t="s">
        <v>26</v>
      </c>
      <c r="J9" s="20">
        <f>J3-2</f>
        <v>13</v>
      </c>
      <c r="L9" s="13" t="s">
        <v>233</v>
      </c>
    </row>
    <row r="10" spans="1:12">
      <c r="A10" s="29">
        <v>4</v>
      </c>
      <c r="B10" s="30">
        <v>73</v>
      </c>
      <c r="D10" t="s">
        <v>29</v>
      </c>
      <c r="E10" s="20">
        <f>E7/E9</f>
        <v>-3.6709182653475558</v>
      </c>
      <c r="G10" s="13" t="s">
        <v>189</v>
      </c>
      <c r="I10" t="s">
        <v>30</v>
      </c>
      <c r="J10" s="20">
        <f>TDIST(ABS(J8),J9,2)</f>
        <v>2.8223429900712388E-3</v>
      </c>
      <c r="L10" s="13" t="s">
        <v>234</v>
      </c>
    </row>
    <row r="11" spans="1:12">
      <c r="A11" s="29">
        <v>26</v>
      </c>
      <c r="B11" s="30">
        <v>79</v>
      </c>
      <c r="D11" t="s">
        <v>26</v>
      </c>
      <c r="E11" s="20">
        <f>E3-2</f>
        <v>13</v>
      </c>
      <c r="G11" s="13" t="s">
        <v>190</v>
      </c>
      <c r="I11" t="s">
        <v>53</v>
      </c>
      <c r="J11" s="20">
        <v>0.05</v>
      </c>
    </row>
    <row r="12" spans="1:12">
      <c r="A12" s="29">
        <v>11</v>
      </c>
      <c r="B12" s="30">
        <v>81</v>
      </c>
      <c r="D12" t="s">
        <v>30</v>
      </c>
      <c r="E12" s="20">
        <f>TDIST(ABS(E10),E11,2)</f>
        <v>2.8223429900712388E-3</v>
      </c>
      <c r="G12" s="13" t="s">
        <v>191</v>
      </c>
      <c r="I12" t="s">
        <v>31</v>
      </c>
      <c r="J12" s="20">
        <f>TINV(0.05,J9)</f>
        <v>2.1603686564627926</v>
      </c>
      <c r="L12" s="13" t="s">
        <v>235</v>
      </c>
    </row>
    <row r="13" spans="1:12">
      <c r="A13" s="29">
        <v>19</v>
      </c>
      <c r="B13" s="30">
        <v>75</v>
      </c>
      <c r="D13" t="s">
        <v>53</v>
      </c>
      <c r="E13" s="20">
        <v>0.05</v>
      </c>
      <c r="I13" t="s">
        <v>374</v>
      </c>
      <c r="J13" s="96" t="str">
        <f>IF(J10&lt;J11,"yes","no")</f>
        <v>yes</v>
      </c>
      <c r="L13" s="13" t="s">
        <v>236</v>
      </c>
    </row>
    <row r="14" spans="1:12">
      <c r="A14" s="29">
        <v>14</v>
      </c>
      <c r="B14" s="30">
        <v>68</v>
      </c>
      <c r="D14" t="s">
        <v>31</v>
      </c>
      <c r="E14" s="20">
        <f>TINV(0.05,E11)</f>
        <v>2.1603686564627926</v>
      </c>
      <c r="G14" s="13" t="s">
        <v>192</v>
      </c>
    </row>
    <row r="15" spans="1:12">
      <c r="A15" s="29">
        <v>35</v>
      </c>
      <c r="B15" s="30">
        <v>72</v>
      </c>
      <c r="D15" t="s">
        <v>374</v>
      </c>
      <c r="E15" s="96" t="str">
        <f>IF(E12&lt;E13,"yes","no")</f>
        <v>yes</v>
      </c>
      <c r="G15" s="13" t="s">
        <v>193</v>
      </c>
      <c r="I15" t="s">
        <v>184</v>
      </c>
    </row>
    <row r="16" spans="1:12">
      <c r="A16" s="29">
        <v>29</v>
      </c>
      <c r="B16" s="30">
        <v>58</v>
      </c>
    </row>
    <row r="17" spans="1:12">
      <c r="A17" s="29">
        <v>4</v>
      </c>
      <c r="B17" s="30">
        <v>92</v>
      </c>
      <c r="D17" t="s">
        <v>184</v>
      </c>
      <c r="I17" t="s">
        <v>13</v>
      </c>
      <c r="J17" s="95">
        <f>J5-J12*J7</f>
        <v>-0.99790203499767427</v>
      </c>
      <c r="L17" s="13" t="s">
        <v>237</v>
      </c>
    </row>
    <row r="18" spans="1:12">
      <c r="A18" s="87">
        <v>23</v>
      </c>
      <c r="B18" s="88">
        <v>65</v>
      </c>
      <c r="I18" t="s">
        <v>14</v>
      </c>
      <c r="J18" s="74">
        <f>J5+J12*J7</f>
        <v>-0.25849877546465738</v>
      </c>
      <c r="L18" s="13" t="s">
        <v>238</v>
      </c>
    </row>
    <row r="19" spans="1:12">
      <c r="D19" t="s">
        <v>13</v>
      </c>
      <c r="E19" s="95">
        <f>E7-E14*E9</f>
        <v>-0.99790203499767549</v>
      </c>
      <c r="G19" s="13" t="s">
        <v>194</v>
      </c>
    </row>
    <row r="20" spans="1:12">
      <c r="D20" t="s">
        <v>14</v>
      </c>
      <c r="E20" s="74">
        <f>E7+E14*E9</f>
        <v>-0.25849877546465766</v>
      </c>
      <c r="G20" s="13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7"/>
  <dimension ref="A1:X19"/>
  <sheetViews>
    <sheetView workbookViewId="0"/>
  </sheetViews>
  <sheetFormatPr defaultRowHeight="15"/>
  <cols>
    <col min="1" max="1" width="18.140625" customWidth="1"/>
    <col min="2" max="2" width="12.85546875" customWidth="1"/>
    <col min="3" max="3" width="14.140625" customWidth="1"/>
    <col min="4" max="5" width="12" customWidth="1"/>
    <col min="6" max="6" width="13.140625" customWidth="1"/>
    <col min="7" max="7" width="13" customWidth="1"/>
    <col min="18" max="18" width="12.42578125" customWidth="1"/>
    <col min="19" max="19" width="17.85546875" customWidth="1"/>
    <col min="20" max="20" width="12.28515625" customWidth="1"/>
    <col min="21" max="21" width="18" customWidth="1"/>
    <col min="24" max="24" width="10.42578125" customWidth="1"/>
  </cols>
  <sheetData>
    <row r="1" spans="1:24">
      <c r="A1" t="s">
        <v>206</v>
      </c>
    </row>
    <row r="2" spans="1:24" ht="15.75" thickBot="1">
      <c r="R2" t="s">
        <v>217</v>
      </c>
      <c r="W2" t="s">
        <v>221</v>
      </c>
    </row>
    <row r="3" spans="1:24" ht="15.75" thickBot="1">
      <c r="A3" s="18" t="s">
        <v>207</v>
      </c>
      <c r="B3" s="18"/>
    </row>
    <row r="4" spans="1:24">
      <c r="A4" s="16" t="s">
        <v>208</v>
      </c>
      <c r="B4" s="16">
        <v>0.71343017438658085</v>
      </c>
      <c r="R4" s="15" t="s">
        <v>218</v>
      </c>
      <c r="S4" s="15" t="s">
        <v>223</v>
      </c>
      <c r="T4" s="15" t="s">
        <v>219</v>
      </c>
      <c r="U4" s="15" t="s">
        <v>220</v>
      </c>
      <c r="W4" s="15" t="s">
        <v>222</v>
      </c>
      <c r="X4" s="15" t="s">
        <v>134</v>
      </c>
    </row>
    <row r="5" spans="1:24">
      <c r="A5" s="16" t="s">
        <v>201</v>
      </c>
      <c r="B5" s="16">
        <v>0.50898261372526721</v>
      </c>
      <c r="R5" s="16">
        <v>1</v>
      </c>
      <c r="S5" s="16">
        <v>82.579419168662113</v>
      </c>
      <c r="T5" s="16">
        <v>-2.5794191686621133</v>
      </c>
      <c r="U5" s="16">
        <v>-0.33566097423707103</v>
      </c>
      <c r="W5" s="16">
        <v>3.3333333333333335</v>
      </c>
      <c r="X5" s="16">
        <v>53</v>
      </c>
    </row>
    <row r="6" spans="1:24">
      <c r="A6" s="16" t="s">
        <v>209</v>
      </c>
      <c r="B6" s="16">
        <v>0.47121204555028778</v>
      </c>
      <c r="R6" s="16">
        <v>2</v>
      </c>
      <c r="S6" s="16">
        <v>71.271811874501125</v>
      </c>
      <c r="T6" s="16">
        <v>6.7281881254988747</v>
      </c>
      <c r="U6" s="16">
        <v>0.87554214084042081</v>
      </c>
      <c r="W6" s="16">
        <v>10</v>
      </c>
      <c r="X6" s="16">
        <v>58</v>
      </c>
    </row>
    <row r="7" spans="1:24">
      <c r="A7" s="16" t="s">
        <v>9</v>
      </c>
      <c r="B7" s="16">
        <v>7.9746827306891683</v>
      </c>
      <c r="R7" s="16">
        <v>3</v>
      </c>
      <c r="S7" s="16">
        <v>70.015411064038801</v>
      </c>
      <c r="T7" s="16">
        <v>-10.015411064038801</v>
      </c>
      <c r="U7" s="16">
        <v>-1.3033099373622494</v>
      </c>
      <c r="W7" s="16">
        <v>16.666666666666668</v>
      </c>
      <c r="X7" s="16">
        <v>60</v>
      </c>
    </row>
    <row r="8" spans="1:24" ht="15.75" thickBot="1">
      <c r="A8" s="17" t="s">
        <v>42</v>
      </c>
      <c r="B8" s="17">
        <v>15</v>
      </c>
      <c r="R8" s="16">
        <v>4</v>
      </c>
      <c r="S8" s="16">
        <v>55.566801743721982</v>
      </c>
      <c r="T8" s="16">
        <v>-2.5668017437219817</v>
      </c>
      <c r="U8" s="16">
        <v>-0.33401906306605172</v>
      </c>
      <c r="W8" s="16">
        <v>23.333333333333332</v>
      </c>
      <c r="X8" s="16">
        <v>65</v>
      </c>
    </row>
    <row r="9" spans="1:24">
      <c r="R9" s="16">
        <v>5</v>
      </c>
      <c r="S9" s="16">
        <v>75.041014305888126</v>
      </c>
      <c r="T9" s="16">
        <v>9.958985694111874</v>
      </c>
      <c r="U9" s="16">
        <v>1.2959672786461078</v>
      </c>
      <c r="W9" s="16">
        <v>30</v>
      </c>
      <c r="X9" s="16">
        <v>68</v>
      </c>
    </row>
    <row r="10" spans="1:24" ht="15.75" thickBot="1">
      <c r="A10" t="s">
        <v>210</v>
      </c>
      <c r="R10" s="16">
        <v>6</v>
      </c>
      <c r="S10" s="16">
        <v>80.69481795296862</v>
      </c>
      <c r="T10" s="16">
        <v>3.30518204703138</v>
      </c>
      <c r="U10" s="16">
        <v>0.43010482337109296</v>
      </c>
      <c r="W10" s="16">
        <v>36.666666666666671</v>
      </c>
      <c r="X10" s="16">
        <v>72</v>
      </c>
    </row>
    <row r="11" spans="1:24">
      <c r="A11" s="15"/>
      <c r="B11" s="15" t="s">
        <v>26</v>
      </c>
      <c r="C11" s="15" t="s">
        <v>137</v>
      </c>
      <c r="D11" s="15" t="s">
        <v>156</v>
      </c>
      <c r="E11" s="15" t="s">
        <v>63</v>
      </c>
      <c r="F11" s="15" t="s">
        <v>213</v>
      </c>
      <c r="R11" s="16">
        <v>7</v>
      </c>
      <c r="S11" s="16">
        <v>83.207619573893282</v>
      </c>
      <c r="T11" s="16">
        <v>-10.207619573893282</v>
      </c>
      <c r="U11" s="16">
        <v>-1.3283221170258883</v>
      </c>
      <c r="W11" s="16">
        <v>43.333333333333336</v>
      </c>
      <c r="X11" s="16">
        <v>73</v>
      </c>
    </row>
    <row r="12" spans="1:24">
      <c r="A12" s="16" t="s">
        <v>138</v>
      </c>
      <c r="B12" s="16">
        <v>1</v>
      </c>
      <c r="C12" s="16">
        <v>856.99099281635665</v>
      </c>
      <c r="D12" s="16">
        <v>856.99099281635665</v>
      </c>
      <c r="E12" s="16">
        <v>13.475640910862317</v>
      </c>
      <c r="F12" s="16">
        <v>2.822342990071234E-3</v>
      </c>
      <c r="R12" s="16">
        <v>8</v>
      </c>
      <c r="S12" s="16">
        <v>69.387210658807632</v>
      </c>
      <c r="T12" s="16">
        <v>9.6127893411923679</v>
      </c>
      <c r="U12" s="16">
        <v>1.2509165918441814</v>
      </c>
      <c r="W12" s="16">
        <v>50.000000000000007</v>
      </c>
      <c r="X12" s="16">
        <v>75</v>
      </c>
    </row>
    <row r="13" spans="1:24">
      <c r="A13" s="16" t="s">
        <v>211</v>
      </c>
      <c r="B13" s="16">
        <v>13</v>
      </c>
      <c r="C13" s="16">
        <v>826.7423405169767</v>
      </c>
      <c r="D13" s="16">
        <v>63.595564655152053</v>
      </c>
      <c r="E13" s="16"/>
      <c r="F13" s="16"/>
      <c r="R13" s="16">
        <v>9</v>
      </c>
      <c r="S13" s="16">
        <v>78.810216737275113</v>
      </c>
      <c r="T13" s="16">
        <v>2.1897832627248874</v>
      </c>
      <c r="U13" s="16">
        <v>0.2849574789023176</v>
      </c>
      <c r="W13" s="16">
        <v>56.666666666666671</v>
      </c>
      <c r="X13" s="16">
        <v>78</v>
      </c>
    </row>
    <row r="14" spans="1:24" ht="15.75" thickBot="1">
      <c r="A14" s="17" t="s">
        <v>1</v>
      </c>
      <c r="B14" s="17">
        <v>14</v>
      </c>
      <c r="C14" s="17">
        <v>1683.7333333333333</v>
      </c>
      <c r="D14" s="17"/>
      <c r="E14" s="17"/>
      <c r="F14" s="17"/>
      <c r="R14" s="16">
        <v>10</v>
      </c>
      <c r="S14" s="16">
        <v>73.784613495425788</v>
      </c>
      <c r="T14" s="16">
        <v>1.2153865045742123</v>
      </c>
      <c r="U14" s="16">
        <v>0.15815879138851521</v>
      </c>
      <c r="W14" s="16">
        <v>63.333333333333336</v>
      </c>
      <c r="X14" s="16">
        <v>79</v>
      </c>
    </row>
    <row r="15" spans="1:24" ht="15.75" thickBot="1">
      <c r="R15" s="16">
        <v>11</v>
      </c>
      <c r="S15" s="16">
        <v>76.925615521581619</v>
      </c>
      <c r="T15" s="16">
        <v>-8.9256155215816193</v>
      </c>
      <c r="U15" s="16">
        <v>-1.1614943542478042</v>
      </c>
      <c r="W15" s="16">
        <v>70</v>
      </c>
      <c r="X15" s="16">
        <v>80</v>
      </c>
    </row>
    <row r="16" spans="1:24">
      <c r="A16" s="15"/>
      <c r="B16" s="15" t="s">
        <v>214</v>
      </c>
      <c r="C16" s="15" t="s">
        <v>9</v>
      </c>
      <c r="D16" s="15" t="s">
        <v>45</v>
      </c>
      <c r="E16" s="15" t="s">
        <v>56</v>
      </c>
      <c r="F16" s="15" t="s">
        <v>215</v>
      </c>
      <c r="G16" s="15" t="s">
        <v>216</v>
      </c>
      <c r="R16" s="16">
        <v>12</v>
      </c>
      <c r="S16" s="16">
        <v>63.733407011727138</v>
      </c>
      <c r="T16" s="16">
        <v>8.2665929882728619</v>
      </c>
      <c r="U16" s="16">
        <v>1.0757354561741206</v>
      </c>
      <c r="W16" s="16">
        <v>76.666666666666671</v>
      </c>
      <c r="X16" s="16">
        <v>81</v>
      </c>
    </row>
    <row r="17" spans="1:24">
      <c r="A17" s="16" t="s">
        <v>212</v>
      </c>
      <c r="B17" s="16">
        <v>85.720421194817945</v>
      </c>
      <c r="C17" s="16">
        <v>3.9065908075799731</v>
      </c>
      <c r="D17" s="16">
        <v>21.942513413100315</v>
      </c>
      <c r="E17" s="16">
        <v>1.1757939257001413E-11</v>
      </c>
      <c r="F17" s="16">
        <v>77.280744860496497</v>
      </c>
      <c r="G17" s="16">
        <v>94.160097529139392</v>
      </c>
      <c r="R17" s="16">
        <v>13</v>
      </c>
      <c r="S17" s="16">
        <v>67.502609443114125</v>
      </c>
      <c r="T17" s="16">
        <v>-9.5026094431141246</v>
      </c>
      <c r="U17" s="16">
        <v>-1.2365788322510143</v>
      </c>
      <c r="W17" s="16">
        <v>83.333333333333329</v>
      </c>
      <c r="X17" s="16">
        <v>84</v>
      </c>
    </row>
    <row r="18" spans="1:24" ht="15.75" thickBot="1">
      <c r="A18" s="17" t="s">
        <v>143</v>
      </c>
      <c r="B18" s="17">
        <v>-0.62820040523116594</v>
      </c>
      <c r="C18" s="17">
        <v>0.17112895461639729</v>
      </c>
      <c r="D18" s="17">
        <v>-3.6709182653475567</v>
      </c>
      <c r="E18" s="17">
        <v>2.822342990071231E-3</v>
      </c>
      <c r="F18" s="17">
        <v>-0.99790203499767438</v>
      </c>
      <c r="G18" s="17">
        <v>-0.25849877546465749</v>
      </c>
      <c r="R18" s="16">
        <v>14</v>
      </c>
      <c r="S18" s="16">
        <v>83.207619573893282</v>
      </c>
      <c r="T18" s="16">
        <v>8.7923804261067176</v>
      </c>
      <c r="U18" s="16">
        <v>1.1441564114686664</v>
      </c>
      <c r="W18" s="16">
        <v>90</v>
      </c>
      <c r="X18" s="16">
        <v>85</v>
      </c>
    </row>
    <row r="19" spans="1:24" ht="15.75" thickBot="1">
      <c r="R19" s="17">
        <v>15</v>
      </c>
      <c r="S19" s="17">
        <v>71.271811874501125</v>
      </c>
      <c r="T19" s="17">
        <v>-6.2718118745011253</v>
      </c>
      <c r="U19" s="17">
        <v>-0.81615369444532726</v>
      </c>
      <c r="W19" s="17">
        <v>96.666666666666671</v>
      </c>
      <c r="X19" s="17">
        <v>92</v>
      </c>
    </row>
  </sheetData>
  <sortState ref="X5:X19">
    <sortCondition ref="X25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8"/>
  <dimension ref="A1:V33"/>
  <sheetViews>
    <sheetView workbookViewId="0"/>
  </sheetViews>
  <sheetFormatPr defaultRowHeight="15"/>
  <cols>
    <col min="1" max="1" width="10.5703125" customWidth="1"/>
    <col min="2" max="2" width="11" customWidth="1"/>
    <col min="3" max="3" width="4.140625" customWidth="1"/>
    <col min="5" max="5" width="10.42578125" customWidth="1"/>
    <col min="6" max="6" width="5.140625" customWidth="1"/>
    <col min="7" max="11" width="10.42578125" customWidth="1"/>
    <col min="16" max="16" width="2.5703125" customWidth="1"/>
    <col min="17" max="17" width="20.7109375" customWidth="1"/>
    <col min="18" max="18" width="2.85546875" customWidth="1"/>
    <col min="21" max="21" width="3" customWidth="1"/>
    <col min="22" max="22" width="36.42578125" customWidth="1"/>
  </cols>
  <sheetData>
    <row r="1" spans="1:22">
      <c r="A1" s="1" t="s">
        <v>239</v>
      </c>
      <c r="B1" s="1"/>
      <c r="M1" s="1" t="s">
        <v>224</v>
      </c>
    </row>
    <row r="2" spans="1:22">
      <c r="A2" s="1"/>
      <c r="B2" s="1"/>
    </row>
    <row r="3" spans="1:22">
      <c r="A3" s="736" t="s">
        <v>240</v>
      </c>
      <c r="B3" s="737"/>
      <c r="D3" s="736" t="s">
        <v>241</v>
      </c>
      <c r="E3" s="737"/>
      <c r="F3" s="100"/>
      <c r="G3" s="100"/>
      <c r="H3" s="100"/>
      <c r="I3" s="100"/>
      <c r="J3" s="100"/>
      <c r="K3" s="100"/>
      <c r="N3" s="75" t="s">
        <v>240</v>
      </c>
      <c r="O3" s="75" t="s">
        <v>241</v>
      </c>
      <c r="P3" s="75"/>
    </row>
    <row r="4" spans="1:22">
      <c r="A4" s="83" t="s">
        <v>143</v>
      </c>
      <c r="B4" s="84" t="s">
        <v>144</v>
      </c>
      <c r="D4" s="83" t="s">
        <v>143</v>
      </c>
      <c r="E4" s="84" t="s">
        <v>144</v>
      </c>
      <c r="F4" s="100"/>
      <c r="G4" s="100"/>
      <c r="H4" s="100"/>
      <c r="I4" s="100"/>
      <c r="J4" s="100"/>
      <c r="K4" s="100"/>
      <c r="M4" t="s">
        <v>15</v>
      </c>
      <c r="N4" s="317">
        <f>COUNT(A5:A19)</f>
        <v>15</v>
      </c>
      <c r="O4" s="315">
        <f>COUNT(D5:D20)</f>
        <v>16</v>
      </c>
      <c r="P4" s="5"/>
      <c r="Q4" s="13" t="s">
        <v>247</v>
      </c>
      <c r="R4" s="13"/>
    </row>
    <row r="5" spans="1:22">
      <c r="A5" s="29">
        <v>5</v>
      </c>
      <c r="B5" s="85">
        <v>80</v>
      </c>
      <c r="D5" s="29">
        <v>22</v>
      </c>
      <c r="E5" s="85">
        <v>88</v>
      </c>
      <c r="F5" s="40"/>
      <c r="G5" s="40"/>
      <c r="H5" s="40"/>
      <c r="I5" s="40"/>
      <c r="J5" s="40"/>
      <c r="K5" s="40"/>
      <c r="M5" t="s">
        <v>19</v>
      </c>
      <c r="N5" s="294">
        <f>SLOPE(B5:B19,A5:A19)</f>
        <v>-0.62820040523116583</v>
      </c>
      <c r="O5" s="293">
        <f>SLOPE(E5:E20,D5:D20)</f>
        <v>-0.46785962473940235</v>
      </c>
      <c r="P5" s="5"/>
      <c r="Q5" s="13" t="s">
        <v>242</v>
      </c>
      <c r="R5" s="13"/>
    </row>
    <row r="6" spans="1:22" ht="18">
      <c r="A6" s="29">
        <v>23</v>
      </c>
      <c r="B6" s="30">
        <v>78</v>
      </c>
      <c r="D6" s="29">
        <v>7</v>
      </c>
      <c r="E6" s="30">
        <v>95</v>
      </c>
      <c r="F6" s="40"/>
      <c r="G6" s="40"/>
      <c r="H6" s="40"/>
      <c r="I6" s="40"/>
      <c r="J6" s="40"/>
      <c r="K6" s="40"/>
      <c r="M6" t="s">
        <v>245</v>
      </c>
      <c r="N6" s="294">
        <f>STEYX(B5:B19,A5:A19)</f>
        <v>7.9746827306891692</v>
      </c>
      <c r="O6" s="293">
        <f>STEYX(E5:E20,D5:D20)</f>
        <v>8.3792452578993171</v>
      </c>
      <c r="P6" s="5"/>
      <c r="Q6" s="13" t="s">
        <v>243</v>
      </c>
      <c r="R6" s="13"/>
    </row>
    <row r="7" spans="1:22" ht="18">
      <c r="A7" s="29">
        <v>25</v>
      </c>
      <c r="B7" s="30">
        <v>60</v>
      </c>
      <c r="D7" s="29">
        <v>20</v>
      </c>
      <c r="E7" s="30">
        <v>86</v>
      </c>
      <c r="F7" s="40"/>
      <c r="G7" s="40"/>
      <c r="H7" s="40"/>
      <c r="I7" s="40"/>
      <c r="J7" s="40"/>
      <c r="K7" s="40"/>
      <c r="M7" t="s">
        <v>177</v>
      </c>
      <c r="N7" s="294">
        <f>STDEV(A5:A19)</f>
        <v>12.45448857698644</v>
      </c>
      <c r="O7" s="293">
        <f>STDEV(D5:D20)</f>
        <v>13.851594372730768</v>
      </c>
      <c r="P7" s="5"/>
      <c r="Q7" s="13" t="s">
        <v>244</v>
      </c>
      <c r="R7" s="13"/>
    </row>
    <row r="8" spans="1:22" ht="18">
      <c r="A8" s="29">
        <v>48</v>
      </c>
      <c r="B8" s="30">
        <v>53</v>
      </c>
      <c r="D8" s="29">
        <v>23</v>
      </c>
      <c r="E8" s="30">
        <v>60</v>
      </c>
      <c r="F8" s="40"/>
      <c r="G8" s="40"/>
      <c r="H8" s="40"/>
      <c r="I8" s="40"/>
      <c r="J8" s="40"/>
      <c r="K8" s="40"/>
      <c r="M8" t="s">
        <v>178</v>
      </c>
      <c r="N8" s="284">
        <f>N6/(N7*SQRT(N4-1))</f>
        <v>0.17112895461639729</v>
      </c>
      <c r="O8" s="289">
        <f>O6/(O7*SQRT(O4-1))</f>
        <v>0.15619225948227386</v>
      </c>
      <c r="P8" s="5"/>
      <c r="Q8" s="13" t="s">
        <v>246</v>
      </c>
      <c r="R8" s="13"/>
      <c r="S8" t="s">
        <v>227</v>
      </c>
    </row>
    <row r="9" spans="1:22" ht="18.75">
      <c r="A9" s="86">
        <v>17</v>
      </c>
      <c r="B9" s="30">
        <v>85</v>
      </c>
      <c r="D9" s="86">
        <v>15</v>
      </c>
      <c r="E9" s="30">
        <v>82</v>
      </c>
      <c r="F9" s="40"/>
      <c r="G9" s="40"/>
      <c r="H9" s="40"/>
      <c r="I9" s="40"/>
      <c r="J9" s="40"/>
      <c r="K9" s="40"/>
      <c r="N9" s="5"/>
      <c r="O9" s="5"/>
      <c r="P9" s="5"/>
      <c r="S9" t="s">
        <v>228</v>
      </c>
      <c r="T9" s="95">
        <f>((N4-2)*N6^2+(O4-2)*O6^2)/(N4+O4-4)</f>
        <v>67.026179844643394</v>
      </c>
      <c r="V9" s="13" t="s">
        <v>250</v>
      </c>
    </row>
    <row r="10" spans="1:22" ht="18.75">
      <c r="A10" s="86">
        <v>8</v>
      </c>
      <c r="B10" s="30">
        <v>84</v>
      </c>
      <c r="D10" s="29">
        <v>34</v>
      </c>
      <c r="E10" s="30">
        <v>75</v>
      </c>
      <c r="F10" s="40"/>
      <c r="G10" s="40"/>
      <c r="H10" s="40"/>
      <c r="I10" s="40"/>
      <c r="J10" s="40"/>
      <c r="K10" s="40"/>
      <c r="M10" t="s">
        <v>225</v>
      </c>
      <c r="N10" s="95">
        <f>SQRT(N8^2+O8^2)</f>
        <v>0.23169190972124801</v>
      </c>
      <c r="Q10" s="13" t="s">
        <v>251</v>
      </c>
      <c r="R10" s="13"/>
      <c r="S10" t="s">
        <v>225</v>
      </c>
      <c r="T10" s="20">
        <f>SQRT(T9*(1/(N7^2*(N4-1))+1/(O7^2*(O4-1))))</f>
        <v>0.23271019552019861</v>
      </c>
      <c r="V10" s="13" t="s">
        <v>648</v>
      </c>
    </row>
    <row r="11" spans="1:22" ht="18">
      <c r="A11" s="29">
        <v>4</v>
      </c>
      <c r="B11" s="30">
        <v>73</v>
      </c>
      <c r="D11" s="29">
        <v>4</v>
      </c>
      <c r="E11" s="30">
        <v>80</v>
      </c>
      <c r="F11" s="40"/>
      <c r="G11" s="40"/>
      <c r="H11" s="40"/>
      <c r="I11" s="40"/>
      <c r="J11" s="40"/>
      <c r="K11" s="40"/>
      <c r="M11" s="28" t="s">
        <v>29</v>
      </c>
      <c r="N11" s="20">
        <f>(N5-O5)/N10</f>
        <v>-0.69204306997457044</v>
      </c>
      <c r="Q11" s="13" t="s">
        <v>590</v>
      </c>
      <c r="R11" s="13"/>
      <c r="S11" s="28" t="s">
        <v>29</v>
      </c>
      <c r="T11" s="20">
        <f>(N5-O5)/T10</f>
        <v>-0.68901485013726582</v>
      </c>
      <c r="V11" s="13" t="s">
        <v>590</v>
      </c>
    </row>
    <row r="12" spans="1:22" ht="18">
      <c r="A12" s="29">
        <v>26</v>
      </c>
      <c r="B12" s="30">
        <v>79</v>
      </c>
      <c r="D12" s="86">
        <v>40</v>
      </c>
      <c r="E12" s="30">
        <v>68</v>
      </c>
      <c r="F12" s="40"/>
      <c r="G12" s="40"/>
      <c r="H12" s="40"/>
      <c r="I12" s="40"/>
      <c r="J12" s="40"/>
      <c r="K12" s="40"/>
      <c r="M12" s="28" t="s">
        <v>26</v>
      </c>
      <c r="N12" s="20">
        <f>N4+O4-4</f>
        <v>27</v>
      </c>
      <c r="Q12" s="99" t="s">
        <v>647</v>
      </c>
      <c r="R12" s="99"/>
      <c r="S12" s="28" t="s">
        <v>26</v>
      </c>
      <c r="T12" s="20">
        <f>N4+O4-4</f>
        <v>27</v>
      </c>
      <c r="V12" s="99" t="s">
        <v>647</v>
      </c>
    </row>
    <row r="13" spans="1:22">
      <c r="A13" s="29">
        <v>11</v>
      </c>
      <c r="B13" s="30">
        <v>81</v>
      </c>
      <c r="D13" s="29">
        <v>8</v>
      </c>
      <c r="E13" s="30">
        <v>93</v>
      </c>
      <c r="F13" s="40"/>
      <c r="G13" s="40"/>
      <c r="H13" s="40"/>
      <c r="I13" s="40"/>
      <c r="J13" s="40"/>
      <c r="K13" s="40"/>
      <c r="M13" s="28" t="s">
        <v>53</v>
      </c>
      <c r="N13" s="20">
        <v>0.05</v>
      </c>
      <c r="S13" s="28" t="s">
        <v>53</v>
      </c>
      <c r="T13" s="20">
        <v>0.05</v>
      </c>
    </row>
    <row r="14" spans="1:22">
      <c r="A14" s="29">
        <v>19</v>
      </c>
      <c r="B14" s="30">
        <v>75</v>
      </c>
      <c r="D14" s="29">
        <v>16</v>
      </c>
      <c r="E14" s="30">
        <v>77</v>
      </c>
      <c r="F14" s="40"/>
      <c r="G14" s="40"/>
      <c r="H14" s="40"/>
      <c r="I14" s="40"/>
      <c r="J14" s="40"/>
      <c r="K14" s="40"/>
      <c r="M14" s="28" t="s">
        <v>30</v>
      </c>
      <c r="N14" s="20">
        <f>TDIST(ABS(N11),N12,2)</f>
        <v>0.49481917451729318</v>
      </c>
      <c r="Q14" s="13" t="s">
        <v>249</v>
      </c>
      <c r="R14" s="13"/>
      <c r="S14" s="28" t="s">
        <v>30</v>
      </c>
      <c r="T14" s="20">
        <f>TDIST(ABS(T11),T12,2)</f>
        <v>0.49669273157063576</v>
      </c>
      <c r="V14" s="13" t="s">
        <v>249</v>
      </c>
    </row>
    <row r="15" spans="1:22">
      <c r="A15" s="29">
        <v>14</v>
      </c>
      <c r="B15" s="30">
        <v>68</v>
      </c>
      <c r="D15" s="29">
        <v>11</v>
      </c>
      <c r="E15" s="30">
        <v>72</v>
      </c>
      <c r="F15" s="40"/>
      <c r="G15" s="40"/>
      <c r="H15" s="40"/>
      <c r="I15" s="40"/>
      <c r="J15" s="40"/>
      <c r="K15" s="40"/>
      <c r="M15" s="28" t="s">
        <v>31</v>
      </c>
      <c r="N15" s="20">
        <f>TINV(N13,N12)</f>
        <v>2.0518305164802859</v>
      </c>
      <c r="Q15" s="13" t="s">
        <v>248</v>
      </c>
      <c r="R15" s="13"/>
      <c r="S15" s="28" t="s">
        <v>31</v>
      </c>
      <c r="T15" s="20">
        <f>TINV(T13,T12)</f>
        <v>2.0518305164802859</v>
      </c>
      <c r="V15" s="13" t="s">
        <v>248</v>
      </c>
    </row>
    <row r="16" spans="1:22">
      <c r="A16" s="29">
        <v>35</v>
      </c>
      <c r="B16" s="30">
        <v>72</v>
      </c>
      <c r="D16" s="29">
        <v>52</v>
      </c>
      <c r="E16" s="30">
        <v>67</v>
      </c>
      <c r="F16" s="40"/>
      <c r="G16" s="40"/>
      <c r="H16" s="40"/>
      <c r="I16" s="40"/>
      <c r="J16" s="40"/>
      <c r="K16" s="40"/>
      <c r="M16" s="28" t="s">
        <v>374</v>
      </c>
      <c r="N16" s="96" t="str">
        <f>IF(ABS(N11)&lt;N15,"no","yes")</f>
        <v>no</v>
      </c>
      <c r="Q16" s="13" t="s">
        <v>509</v>
      </c>
      <c r="R16" s="13"/>
      <c r="S16" s="28" t="s">
        <v>374</v>
      </c>
      <c r="T16" s="96" t="str">
        <f>IF(ABS(T11)&lt;T15,"no","yes")</f>
        <v>no</v>
      </c>
      <c r="V16" s="13" t="s">
        <v>509</v>
      </c>
    </row>
    <row r="17" spans="1:20">
      <c r="A17" s="29">
        <v>29</v>
      </c>
      <c r="B17" s="30">
        <v>58</v>
      </c>
      <c r="D17" s="29">
        <v>3</v>
      </c>
      <c r="E17" s="30">
        <v>90</v>
      </c>
      <c r="F17" s="40"/>
      <c r="G17" s="40"/>
      <c r="H17" s="40"/>
      <c r="I17" s="40"/>
      <c r="J17" s="40"/>
      <c r="K17" s="40"/>
    </row>
    <row r="18" spans="1:20">
      <c r="A18" s="29">
        <v>4</v>
      </c>
      <c r="B18" s="30">
        <v>92</v>
      </c>
      <c r="D18" s="29">
        <v>31</v>
      </c>
      <c r="E18" s="30">
        <v>66</v>
      </c>
      <c r="F18" s="40"/>
      <c r="G18" s="40"/>
      <c r="H18" s="40"/>
      <c r="I18" s="40"/>
      <c r="J18" s="40"/>
      <c r="K18" s="40"/>
    </row>
    <row r="19" spans="1:20">
      <c r="A19" s="87">
        <v>23</v>
      </c>
      <c r="B19" s="88">
        <v>65</v>
      </c>
      <c r="D19" s="29">
        <v>18</v>
      </c>
      <c r="E19" s="30">
        <v>72</v>
      </c>
      <c r="F19" s="40"/>
      <c r="G19" s="40"/>
      <c r="H19" s="40"/>
      <c r="I19" s="40"/>
      <c r="J19" s="40"/>
      <c r="K19" s="40"/>
      <c r="M19" t="s">
        <v>705</v>
      </c>
    </row>
    <row r="20" spans="1:20">
      <c r="D20" s="101">
        <v>8</v>
      </c>
      <c r="E20" s="102">
        <v>78</v>
      </c>
    </row>
    <row r="21" spans="1:20" ht="18">
      <c r="M21" t="s">
        <v>225</v>
      </c>
      <c r="N21" s="405" t="e">
        <f t="array" aca="1" ref="N21:N24" ca="1">SlopesTest(A5:A19,B5:B19,D5:D20,E5:E20,FALSE)</f>
        <v>#NAME?</v>
      </c>
      <c r="S21" t="s">
        <v>225</v>
      </c>
      <c r="T21" s="405" t="e">
        <f t="array" aca="1" ref="T21:T24" ca="1">SlopesTest(A5:A19,B5:B19,D5:D20,E5:E20)</f>
        <v>#NAME?</v>
      </c>
    </row>
    <row r="22" spans="1:20">
      <c r="M22" s="28" t="s">
        <v>29</v>
      </c>
      <c r="N22" s="293" t="e">
        <f ca="1"/>
        <v>#NAME?</v>
      </c>
      <c r="S22" s="28" t="s">
        <v>29</v>
      </c>
      <c r="T22" s="293" t="e">
        <f ca="1"/>
        <v>#NAME?</v>
      </c>
    </row>
    <row r="23" spans="1:20">
      <c r="M23" s="28" t="s">
        <v>26</v>
      </c>
      <c r="N23" s="293" t="e">
        <f ca="1"/>
        <v>#NAME?</v>
      </c>
      <c r="S23" s="28" t="s">
        <v>26</v>
      </c>
      <c r="T23" s="293" t="e">
        <f ca="1"/>
        <v>#NAME?</v>
      </c>
    </row>
    <row r="24" spans="1:20">
      <c r="M24" s="28" t="s">
        <v>30</v>
      </c>
      <c r="N24" s="289" t="e">
        <f ca="1"/>
        <v>#NAME?</v>
      </c>
      <c r="S24" s="28" t="s">
        <v>30</v>
      </c>
      <c r="T24" s="289" t="e">
        <f ca="1"/>
        <v>#NAME?</v>
      </c>
    </row>
    <row r="26" spans="1:20">
      <c r="M26" t="s">
        <v>705</v>
      </c>
    </row>
    <row r="27" spans="1:20">
      <c r="M27" t="s">
        <v>651</v>
      </c>
    </row>
    <row r="29" spans="1:20">
      <c r="N29" s="404" t="s">
        <v>650</v>
      </c>
      <c r="O29" s="404" t="s">
        <v>649</v>
      </c>
    </row>
    <row r="30" spans="1:20">
      <c r="M30" t="e">
        <f t="array" aca="1" ref="M30:N33" ca="1">SlopesTest(A5:A19,B5:B19,D5:D20,E5:E20,FALSE,TRUE)</f>
        <v>#NAME?</v>
      </c>
      <c r="N30" s="405" t="e">
        <f ca="1"/>
        <v>#NAME?</v>
      </c>
      <c r="O30" s="405" t="e">
        <f t="array" aca="1" ref="O30:O33" ca="1">SlopesTest(A5:A19,B5:B19,D5:D20,E5:E20)</f>
        <v>#NAME?</v>
      </c>
    </row>
    <row r="31" spans="1:20">
      <c r="M31" s="28" t="e">
        <f ca="1"/>
        <v>#NAME?</v>
      </c>
      <c r="N31" s="293" t="e">
        <f ca="1"/>
        <v>#NAME?</v>
      </c>
      <c r="O31" s="293" t="e">
        <f ca="1"/>
        <v>#NAME?</v>
      </c>
    </row>
    <row r="32" spans="1:20">
      <c r="M32" s="28" t="e">
        <f ca="1"/>
        <v>#NAME?</v>
      </c>
      <c r="N32" s="293" t="e">
        <f ca="1"/>
        <v>#NAME?</v>
      </c>
      <c r="O32" s="293" t="e">
        <f ca="1"/>
        <v>#NAME?</v>
      </c>
    </row>
    <row r="33" spans="13:15">
      <c r="M33" s="28" t="e">
        <f ca="1"/>
        <v>#NAME?</v>
      </c>
      <c r="N33" s="289" t="e">
        <f ca="1"/>
        <v>#NAME?</v>
      </c>
      <c r="O33" s="289" t="e">
        <f ca="1"/>
        <v>#NAME?</v>
      </c>
    </row>
  </sheetData>
  <mergeCells count="2">
    <mergeCell ref="A3:B3"/>
    <mergeCell ref="D3:E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0"/>
  <dimension ref="A1:M18"/>
  <sheetViews>
    <sheetView workbookViewId="0">
      <selection activeCell="R14" sqref="R14"/>
    </sheetView>
  </sheetViews>
  <sheetFormatPr defaultRowHeight="15"/>
  <cols>
    <col min="1" max="2" width="11.28515625" customWidth="1"/>
    <col min="3" max="3" width="6.42578125" customWidth="1"/>
    <col min="6" max="6" width="4.28515625" customWidth="1"/>
    <col min="7" max="7" width="27.28515625" customWidth="1"/>
    <col min="8" max="8" width="4.28515625" customWidth="1"/>
    <col min="11" max="11" width="4.28515625" customWidth="1"/>
  </cols>
  <sheetData>
    <row r="1" spans="1:13">
      <c r="A1" s="1" t="s">
        <v>252</v>
      </c>
    </row>
    <row r="3" spans="1:13">
      <c r="A3" s="80" t="s">
        <v>143</v>
      </c>
      <c r="B3" s="80" t="s">
        <v>144</v>
      </c>
      <c r="D3" s="1" t="s">
        <v>253</v>
      </c>
      <c r="H3" s="1"/>
    </row>
    <row r="4" spans="1:13">
      <c r="A4" s="40">
        <v>5</v>
      </c>
      <c r="B4" s="81">
        <v>80</v>
      </c>
      <c r="H4" s="1"/>
      <c r="I4" s="1"/>
      <c r="J4" s="1"/>
      <c r="K4" s="1"/>
      <c r="L4" s="1"/>
      <c r="M4" s="1"/>
    </row>
    <row r="5" spans="1:13">
      <c r="A5" s="40">
        <v>23</v>
      </c>
      <c r="B5" s="40">
        <v>78</v>
      </c>
      <c r="D5" t="s">
        <v>15</v>
      </c>
      <c r="E5" s="95">
        <f>COUNT(A4:A18)</f>
        <v>15</v>
      </c>
      <c r="H5" s="1"/>
      <c r="I5" s="1"/>
      <c r="J5" s="1"/>
      <c r="K5" s="1"/>
      <c r="L5" s="1"/>
      <c r="M5" s="1"/>
    </row>
    <row r="6" spans="1:13">
      <c r="A6" s="40">
        <v>25</v>
      </c>
      <c r="B6" s="40">
        <v>60</v>
      </c>
      <c r="D6" t="s">
        <v>26</v>
      </c>
      <c r="E6" s="20">
        <f>E5-2</f>
        <v>13</v>
      </c>
      <c r="G6" s="13" t="s">
        <v>266</v>
      </c>
      <c r="H6" s="1"/>
      <c r="I6" s="1"/>
      <c r="J6" s="1"/>
      <c r="K6" s="1"/>
      <c r="L6" s="1"/>
      <c r="M6" s="1"/>
    </row>
    <row r="7" spans="1:13">
      <c r="A7" s="40">
        <v>48</v>
      </c>
      <c r="B7" s="40">
        <v>53</v>
      </c>
      <c r="D7" t="s">
        <v>256</v>
      </c>
      <c r="E7" s="103">
        <f>AVERAGE(A4:A18)</f>
        <v>19.399999999999999</v>
      </c>
      <c r="G7" s="13" t="s">
        <v>263</v>
      </c>
      <c r="H7" s="1"/>
      <c r="I7" s="1"/>
      <c r="J7" s="1"/>
      <c r="K7" s="1"/>
      <c r="L7" s="1"/>
      <c r="M7" s="1"/>
    </row>
    <row r="8" spans="1:13" ht="18">
      <c r="A8" s="82">
        <v>17</v>
      </c>
      <c r="B8" s="40">
        <v>85</v>
      </c>
      <c r="D8" t="s">
        <v>259</v>
      </c>
      <c r="E8" s="20">
        <v>20</v>
      </c>
      <c r="H8" s="1"/>
      <c r="I8" s="1"/>
      <c r="J8" s="1"/>
      <c r="K8" s="1"/>
      <c r="L8" s="1"/>
      <c r="M8" s="1"/>
    </row>
    <row r="9" spans="1:13" ht="18">
      <c r="A9" s="82">
        <v>8</v>
      </c>
      <c r="B9" s="40">
        <v>84</v>
      </c>
      <c r="D9" s="27" t="s">
        <v>260</v>
      </c>
      <c r="E9" s="20">
        <f>FORECAST(E8,B4:B18,A4:A18)</f>
        <v>73.156413090194633</v>
      </c>
      <c r="G9" s="13" t="s">
        <v>261</v>
      </c>
      <c r="H9" s="1"/>
      <c r="I9" s="1" t="s">
        <v>254</v>
      </c>
      <c r="J9" s="1"/>
      <c r="K9" s="1"/>
      <c r="L9" s="1" t="s">
        <v>255</v>
      </c>
      <c r="M9" s="1"/>
    </row>
    <row r="10" spans="1:13" ht="18">
      <c r="A10" s="40">
        <v>4</v>
      </c>
      <c r="B10" s="40">
        <v>73</v>
      </c>
      <c r="D10" t="s">
        <v>176</v>
      </c>
      <c r="E10" s="20">
        <f>STEYX(B4:B18,A4:A18)</f>
        <v>7.9746827306891692</v>
      </c>
      <c r="G10" s="13" t="s">
        <v>262</v>
      </c>
      <c r="H10" s="1"/>
    </row>
    <row r="11" spans="1:13" ht="18">
      <c r="A11" s="40">
        <v>26</v>
      </c>
      <c r="B11" s="40">
        <v>79</v>
      </c>
      <c r="D11" t="s">
        <v>257</v>
      </c>
      <c r="E11" s="20">
        <f>DEVSQ(A4:A18)</f>
        <v>2171.6000000000004</v>
      </c>
      <c r="G11" s="13" t="s">
        <v>267</v>
      </c>
      <c r="H11" s="1"/>
      <c r="I11" s="27" t="s">
        <v>260</v>
      </c>
      <c r="J11" s="104">
        <f>E9</f>
        <v>73.156413090194633</v>
      </c>
      <c r="K11" s="1"/>
      <c r="L11" s="27" t="s">
        <v>260</v>
      </c>
      <c r="M11" s="104">
        <f>FORECAST(0,B4:B18,A4:A18)</f>
        <v>85.720421194817945</v>
      </c>
    </row>
    <row r="12" spans="1:13" ht="18">
      <c r="A12" s="40">
        <v>11</v>
      </c>
      <c r="B12" s="40">
        <v>81</v>
      </c>
      <c r="D12" t="s">
        <v>258</v>
      </c>
      <c r="E12" s="20">
        <f>E10*SQRT(1/E5+(E8-E7)^2/E11)</f>
        <v>2.0616127068929284</v>
      </c>
      <c r="G12" s="13" t="s">
        <v>268</v>
      </c>
      <c r="H12" s="1"/>
      <c r="I12" t="s">
        <v>258</v>
      </c>
      <c r="J12" s="20">
        <f>E10*SQRT(1+1/E5+(E8-E7)^2/E11)</f>
        <v>8.2368569010499648</v>
      </c>
      <c r="K12" s="1"/>
      <c r="L12" t="s">
        <v>258</v>
      </c>
      <c r="M12" s="20">
        <f>E10*SQRT(1/E5+E7^2/E11)</f>
        <v>3.9065908075799736</v>
      </c>
    </row>
    <row r="13" spans="1:13">
      <c r="A13" s="40">
        <v>19</v>
      </c>
      <c r="B13" s="40">
        <v>75</v>
      </c>
      <c r="D13" t="s">
        <v>31</v>
      </c>
      <c r="E13" s="20">
        <f>TINV(0.05,E6)</f>
        <v>2.1603686564627926</v>
      </c>
      <c r="G13" s="13" t="s">
        <v>226</v>
      </c>
      <c r="H13" s="1"/>
      <c r="I13" t="s">
        <v>31</v>
      </c>
      <c r="J13" s="20">
        <f>TINV(0.05,E6)</f>
        <v>2.1603686564627926</v>
      </c>
      <c r="K13" s="1"/>
      <c r="L13" t="s">
        <v>31</v>
      </c>
      <c r="M13" s="20">
        <f>E13</f>
        <v>2.1603686564627926</v>
      </c>
    </row>
    <row r="14" spans="1:13" ht="18">
      <c r="A14" s="40">
        <v>14</v>
      </c>
      <c r="B14" s="40">
        <v>68</v>
      </c>
      <c r="D14" t="s">
        <v>13</v>
      </c>
      <c r="E14" s="20">
        <f>E9-E13*E12</f>
        <v>68.702569616457737</v>
      </c>
      <c r="G14" s="13" t="s">
        <v>264</v>
      </c>
      <c r="H14" s="1"/>
      <c r="I14" t="s">
        <v>13</v>
      </c>
      <c r="J14" s="20">
        <f>J11-J13*J12</f>
        <v>55.36176561339704</v>
      </c>
      <c r="L14" t="s">
        <v>13</v>
      </c>
      <c r="M14" s="20">
        <f>M11-M13*M12</f>
        <v>77.280744860496497</v>
      </c>
    </row>
    <row r="15" spans="1:13" ht="18">
      <c r="A15" s="40">
        <v>35</v>
      </c>
      <c r="B15" s="40">
        <v>72</v>
      </c>
      <c r="D15" t="s">
        <v>14</v>
      </c>
      <c r="E15" s="74">
        <f>E9+E13*E12</f>
        <v>77.610256563931529</v>
      </c>
      <c r="G15" s="13" t="s">
        <v>265</v>
      </c>
      <c r="H15" s="1"/>
      <c r="I15" t="s">
        <v>14</v>
      </c>
      <c r="J15" s="74">
        <f>J11+J13*J12</f>
        <v>90.951060566992226</v>
      </c>
      <c r="L15" t="s">
        <v>14</v>
      </c>
      <c r="M15" s="74">
        <f>M11+M13*M12</f>
        <v>94.160097529139392</v>
      </c>
    </row>
    <row r="16" spans="1:13">
      <c r="A16" s="40">
        <v>29</v>
      </c>
      <c r="B16" s="40">
        <v>58</v>
      </c>
    </row>
    <row r="17" spans="1:2">
      <c r="A17" s="40">
        <v>4</v>
      </c>
      <c r="B17" s="40">
        <v>92</v>
      </c>
    </row>
    <row r="18" spans="1:2">
      <c r="A18" s="41">
        <v>23</v>
      </c>
      <c r="B18" s="41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O18"/>
  <sheetViews>
    <sheetView workbookViewId="0"/>
  </sheetViews>
  <sheetFormatPr defaultRowHeight="15"/>
  <cols>
    <col min="1" max="2" width="11.28515625" customWidth="1"/>
  </cols>
  <sheetData>
    <row r="1" spans="1:15">
      <c r="A1" s="1" t="s">
        <v>252</v>
      </c>
    </row>
    <row r="3" spans="1:15">
      <c r="A3" s="583" t="s">
        <v>143</v>
      </c>
      <c r="B3" s="583" t="s">
        <v>144</v>
      </c>
      <c r="D3" t="s">
        <v>53</v>
      </c>
      <c r="E3" s="486">
        <v>0.05</v>
      </c>
      <c r="G3" s="610" t="s">
        <v>4</v>
      </c>
      <c r="H3" s="610" t="s">
        <v>65</v>
      </c>
      <c r="I3" s="610" t="s">
        <v>13</v>
      </c>
      <c r="J3" s="610" t="s">
        <v>14</v>
      </c>
      <c r="K3" s="610" t="s">
        <v>932</v>
      </c>
      <c r="L3" s="610" t="s">
        <v>933</v>
      </c>
      <c r="M3" s="610" t="s">
        <v>13</v>
      </c>
      <c r="N3" s="610" t="s">
        <v>14</v>
      </c>
      <c r="O3" s="610" t="s">
        <v>934</v>
      </c>
    </row>
    <row r="4" spans="1:15">
      <c r="A4" s="611">
        <v>5</v>
      </c>
      <c r="B4" s="408">
        <v>80</v>
      </c>
      <c r="D4" t="s">
        <v>15</v>
      </c>
      <c r="E4" s="337">
        <f>COUNT(A4:A18)</f>
        <v>15</v>
      </c>
      <c r="G4" s="399">
        <v>0</v>
      </c>
      <c r="H4" s="399">
        <f t="array" ref="H4:H14">TREND(B4:B18,A4:A18,G4:G14)</f>
        <v>85.720421194817945</v>
      </c>
      <c r="I4" s="399">
        <f>H4-$E$8*K4</f>
        <v>77.280744860496497</v>
      </c>
      <c r="J4" s="399">
        <f>H4+$E$8*K4</f>
        <v>94.160097529139392</v>
      </c>
      <c r="K4" s="399">
        <f>$E$7*SQRT(1/$E$4+(G4-$E$5)^2/$E$6)</f>
        <v>3.9065908075799736</v>
      </c>
      <c r="L4" s="399">
        <f>H4</f>
        <v>85.720421194817945</v>
      </c>
      <c r="M4" s="399">
        <f>L4-$E$8*O4</f>
        <v>66.536029263796109</v>
      </c>
      <c r="N4" s="399">
        <f>L4+$E$8*O4</f>
        <v>104.90481312583978</v>
      </c>
      <c r="O4" s="399">
        <f>$E$7*SQRT(1+1/$E$4+(G4-$E$5)^2/$E$6)</f>
        <v>8.8801473182048287</v>
      </c>
    </row>
    <row r="5" spans="1:15">
      <c r="A5" s="611">
        <v>23</v>
      </c>
      <c r="B5" s="611">
        <v>78</v>
      </c>
      <c r="D5" t="s">
        <v>256</v>
      </c>
      <c r="E5" s="337">
        <f>AVERAGE(A4:A18)</f>
        <v>19.399999999999999</v>
      </c>
      <c r="G5" s="5">
        <f>G4+5</f>
        <v>5</v>
      </c>
      <c r="H5" s="5">
        <v>82.579419168662113</v>
      </c>
      <c r="I5" s="5">
        <f t="shared" ref="I5:I14" si="0">H5-$E$8*K5</f>
        <v>75.64188821274449</v>
      </c>
      <c r="J5" s="5">
        <f t="shared" ref="J5:J14" si="1">H5+$E$8*K5</f>
        <v>89.516950124579736</v>
      </c>
      <c r="K5" s="5">
        <f t="shared" ref="K5:K14" si="2">$E$7*SQRT(1/$E$4+(G5-$E$5)^2/$E$6)</f>
        <v>3.2112718054688685</v>
      </c>
      <c r="L5" s="5">
        <f t="shared" ref="L5:L14" si="3">H5</f>
        <v>82.579419168662113</v>
      </c>
      <c r="M5" s="5">
        <f t="shared" ref="M5:M14" si="4">L5-$E$8*O5</f>
        <v>64.006802419822819</v>
      </c>
      <c r="N5" s="5">
        <f t="shared" ref="N5:N14" si="5">L5+$E$8*O5</f>
        <v>101.15203591750141</v>
      </c>
      <c r="O5" s="5">
        <f t="shared" ref="O5:O14" si="6">$E$7*SQRT(1+1/$E$4+(G5-$E$5)^2/$E$6)</f>
        <v>8.5969663988962619</v>
      </c>
    </row>
    <row r="6" spans="1:15">
      <c r="A6" s="611">
        <v>25</v>
      </c>
      <c r="B6" s="611">
        <v>60</v>
      </c>
      <c r="D6" t="s">
        <v>935</v>
      </c>
      <c r="E6" s="337">
        <f>DEVSQ(A4:A18)</f>
        <v>2171.6000000000004</v>
      </c>
      <c r="G6" s="5">
        <f t="shared" ref="G6:G14" si="7">G5+5</f>
        <v>10</v>
      </c>
      <c r="H6" s="5">
        <v>79.438417142506282</v>
      </c>
      <c r="I6" s="5">
        <f t="shared" si="0"/>
        <v>73.793552250134994</v>
      </c>
      <c r="J6" s="5">
        <f t="shared" si="1"/>
        <v>85.08328203487757</v>
      </c>
      <c r="K6" s="5">
        <f t="shared" si="2"/>
        <v>2.6129174182769863</v>
      </c>
      <c r="L6" s="5">
        <f t="shared" si="3"/>
        <v>79.438417142506282</v>
      </c>
      <c r="M6" s="5">
        <f t="shared" si="4"/>
        <v>61.308958882864985</v>
      </c>
      <c r="N6" s="5">
        <f t="shared" si="5"/>
        <v>97.567875402147578</v>
      </c>
      <c r="O6" s="5">
        <f t="shared" si="6"/>
        <v>8.3918354422550099</v>
      </c>
    </row>
    <row r="7" spans="1:15">
      <c r="A7" s="611">
        <v>48</v>
      </c>
      <c r="B7" s="611">
        <v>53</v>
      </c>
      <c r="D7" t="s">
        <v>936</v>
      </c>
      <c r="E7" s="337">
        <f>STEYX(B4:B18,A4:A18)</f>
        <v>7.9746827306891692</v>
      </c>
      <c r="G7" s="5">
        <f t="shared" si="7"/>
        <v>15</v>
      </c>
      <c r="H7" s="5">
        <v>76.29741511635045</v>
      </c>
      <c r="I7" s="5">
        <f t="shared" si="0"/>
        <v>71.560999985205697</v>
      </c>
      <c r="J7" s="5">
        <f t="shared" si="1"/>
        <v>81.033830247495203</v>
      </c>
      <c r="K7" s="5">
        <f t="shared" si="2"/>
        <v>2.1924105948193886</v>
      </c>
      <c r="L7" s="5">
        <f t="shared" si="3"/>
        <v>76.29741511635045</v>
      </c>
      <c r="M7" s="5">
        <f t="shared" si="4"/>
        <v>58.429947880351747</v>
      </c>
      <c r="N7" s="5">
        <f t="shared" si="5"/>
        <v>94.164882352349153</v>
      </c>
      <c r="O7" s="5">
        <f t="shared" si="6"/>
        <v>8.2705639995969058</v>
      </c>
    </row>
    <row r="8" spans="1:15">
      <c r="A8" s="613">
        <v>17</v>
      </c>
      <c r="B8" s="611">
        <v>85</v>
      </c>
      <c r="D8" t="s">
        <v>31</v>
      </c>
      <c r="E8" s="375">
        <f>TINV(E3,E4-2)</f>
        <v>2.1603686564627926</v>
      </c>
      <c r="G8" s="5">
        <f t="shared" si="7"/>
        <v>20</v>
      </c>
      <c r="H8" s="5">
        <v>73.156413090194633</v>
      </c>
      <c r="I8" s="5">
        <f t="shared" si="0"/>
        <v>68.702569616457737</v>
      </c>
      <c r="J8" s="5">
        <f t="shared" si="1"/>
        <v>77.610256563931529</v>
      </c>
      <c r="K8" s="5">
        <f t="shared" si="2"/>
        <v>2.0616127068929284</v>
      </c>
      <c r="L8" s="5">
        <f t="shared" si="3"/>
        <v>73.156413090194633</v>
      </c>
      <c r="M8" s="5">
        <f t="shared" si="4"/>
        <v>55.36176561339704</v>
      </c>
      <c r="N8" s="5">
        <f t="shared" si="5"/>
        <v>90.951060566992226</v>
      </c>
      <c r="O8" s="5">
        <f t="shared" si="6"/>
        <v>8.2368569010499648</v>
      </c>
    </row>
    <row r="9" spans="1:15">
      <c r="A9" s="613">
        <v>8</v>
      </c>
      <c r="B9" s="611">
        <v>84</v>
      </c>
      <c r="G9" s="5">
        <f t="shared" si="7"/>
        <v>25</v>
      </c>
      <c r="H9" s="5">
        <v>70.015411064038801</v>
      </c>
      <c r="I9" s="5">
        <f t="shared" si="0"/>
        <v>65.108907233900567</v>
      </c>
      <c r="J9" s="5">
        <f t="shared" si="1"/>
        <v>74.921914894177036</v>
      </c>
      <c r="K9" s="5">
        <f t="shared" si="2"/>
        <v>2.2711419254580982</v>
      </c>
      <c r="L9" s="5">
        <f t="shared" si="3"/>
        <v>70.015411064038801</v>
      </c>
      <c r="M9" s="5">
        <f t="shared" si="4"/>
        <v>52.102104921115</v>
      </c>
      <c r="N9" s="5">
        <f t="shared" si="5"/>
        <v>87.928717206962602</v>
      </c>
      <c r="O9" s="5">
        <f t="shared" si="6"/>
        <v>8.2917820943827021</v>
      </c>
    </row>
    <row r="10" spans="1:15">
      <c r="A10" s="611">
        <v>4</v>
      </c>
      <c r="B10" s="611">
        <v>73</v>
      </c>
      <c r="G10" s="5">
        <f t="shared" si="7"/>
        <v>30</v>
      </c>
      <c r="H10" s="5">
        <v>66.87440903788297</v>
      </c>
      <c r="I10" s="5">
        <f t="shared" si="0"/>
        <v>60.946103821855864</v>
      </c>
      <c r="J10" s="5">
        <f t="shared" si="1"/>
        <v>72.802714253910068</v>
      </c>
      <c r="K10" s="5">
        <f t="shared" si="2"/>
        <v>2.7441173978767193</v>
      </c>
      <c r="L10" s="5">
        <f t="shared" si="3"/>
        <v>66.87440903788297</v>
      </c>
      <c r="M10" s="5">
        <f t="shared" si="4"/>
        <v>48.654706519199394</v>
      </c>
      <c r="N10" s="5">
        <f t="shared" si="5"/>
        <v>85.094111556566546</v>
      </c>
      <c r="O10" s="5">
        <f t="shared" si="6"/>
        <v>8.4336080622994185</v>
      </c>
    </row>
    <row r="11" spans="1:15">
      <c r="A11" s="611">
        <v>26</v>
      </c>
      <c r="B11" s="611">
        <v>79</v>
      </c>
      <c r="G11" s="5">
        <f t="shared" si="7"/>
        <v>35</v>
      </c>
      <c r="H11" s="5">
        <v>63.733407011727138</v>
      </c>
      <c r="I11" s="5">
        <f t="shared" si="0"/>
        <v>56.4498783074391</v>
      </c>
      <c r="J11" s="5">
        <f t="shared" si="1"/>
        <v>71.016935716015183</v>
      </c>
      <c r="K11" s="5">
        <f t="shared" si="2"/>
        <v>3.3714286135837019</v>
      </c>
      <c r="L11" s="5">
        <f t="shared" si="3"/>
        <v>63.733407011727138</v>
      </c>
      <c r="M11" s="5">
        <f t="shared" si="4"/>
        <v>45.028794010621283</v>
      </c>
      <c r="N11" s="5">
        <f t="shared" si="5"/>
        <v>82.438020012832993</v>
      </c>
      <c r="O11" s="5">
        <f t="shared" si="6"/>
        <v>8.658065346926124</v>
      </c>
    </row>
    <row r="12" spans="1:15">
      <c r="A12" s="611">
        <v>11</v>
      </c>
      <c r="B12" s="611">
        <v>81</v>
      </c>
      <c r="G12" s="5">
        <f t="shared" si="7"/>
        <v>40</v>
      </c>
      <c r="H12" s="5">
        <v>60.592404985571306</v>
      </c>
      <c r="I12" s="5">
        <f t="shared" si="0"/>
        <v>51.772612312803879</v>
      </c>
      <c r="J12" s="5">
        <f t="shared" si="1"/>
        <v>69.412197658338741</v>
      </c>
      <c r="K12" s="5">
        <f t="shared" si="2"/>
        <v>4.0825405637981351</v>
      </c>
      <c r="L12" s="5">
        <f t="shared" si="3"/>
        <v>60.592404985571306</v>
      </c>
      <c r="M12" s="5">
        <f t="shared" si="4"/>
        <v>41.237780217171576</v>
      </c>
      <c r="N12" s="5">
        <f t="shared" si="5"/>
        <v>79.947029753971037</v>
      </c>
      <c r="O12" s="5">
        <f t="shared" si="6"/>
        <v>8.9589453681897879</v>
      </c>
    </row>
    <row r="13" spans="1:15">
      <c r="A13" s="611">
        <v>19</v>
      </c>
      <c r="B13" s="611">
        <v>75</v>
      </c>
      <c r="G13" s="5">
        <f t="shared" si="7"/>
        <v>45</v>
      </c>
      <c r="H13" s="5">
        <v>57.451402959415475</v>
      </c>
      <c r="I13" s="5">
        <f t="shared" si="0"/>
        <v>46.993790423677837</v>
      </c>
      <c r="J13" s="5">
        <f t="shared" si="1"/>
        <v>67.909015495153113</v>
      </c>
      <c r="K13" s="5">
        <f t="shared" si="2"/>
        <v>4.8406611086739506</v>
      </c>
      <c r="L13" s="5">
        <f t="shared" si="3"/>
        <v>57.451402959415475</v>
      </c>
      <c r="M13" s="5">
        <f t="shared" si="4"/>
        <v>37.297633657308054</v>
      </c>
      <c r="N13" s="5">
        <f t="shared" si="5"/>
        <v>77.605172261522895</v>
      </c>
      <c r="O13" s="5">
        <f t="shared" si="6"/>
        <v>9.3288565550221954</v>
      </c>
    </row>
    <row r="14" spans="1:15">
      <c r="A14" s="611">
        <v>14</v>
      </c>
      <c r="B14" s="611">
        <v>68</v>
      </c>
      <c r="G14" s="380">
        <f t="shared" si="7"/>
        <v>50</v>
      </c>
      <c r="H14" s="380">
        <v>54.310400933259643</v>
      </c>
      <c r="I14" s="380">
        <f t="shared" si="0"/>
        <v>42.154392465952931</v>
      </c>
      <c r="J14" s="380">
        <f t="shared" si="1"/>
        <v>66.466409400566349</v>
      </c>
      <c r="K14" s="380">
        <f t="shared" si="2"/>
        <v>5.6268213440987171</v>
      </c>
      <c r="L14" s="380">
        <f t="shared" si="3"/>
        <v>54.310400933259643</v>
      </c>
      <c r="M14" s="380">
        <f t="shared" si="4"/>
        <v>33.225304324702627</v>
      </c>
      <c r="N14" s="380">
        <f t="shared" si="5"/>
        <v>75.395497541816667</v>
      </c>
      <c r="O14" s="380">
        <f t="shared" si="6"/>
        <v>9.7599530272208241</v>
      </c>
    </row>
    <row r="15" spans="1:15">
      <c r="A15" s="611">
        <v>35</v>
      </c>
      <c r="B15" s="611">
        <v>72</v>
      </c>
    </row>
    <row r="16" spans="1:15">
      <c r="A16" s="611">
        <v>29</v>
      </c>
      <c r="B16" s="611">
        <v>58</v>
      </c>
    </row>
    <row r="17" spans="1:2">
      <c r="A17" s="611">
        <v>4</v>
      </c>
      <c r="B17" s="611">
        <v>92</v>
      </c>
    </row>
    <row r="18" spans="1:2">
      <c r="A18" s="612">
        <v>23</v>
      </c>
      <c r="B18" s="612">
        <v>65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1"/>
  <dimension ref="A1:R28"/>
  <sheetViews>
    <sheetView zoomScale="93" workbookViewId="0"/>
  </sheetViews>
  <sheetFormatPr defaultRowHeight="15"/>
  <cols>
    <col min="3" max="3" width="4.5703125" customWidth="1"/>
    <col min="4" max="5" width="10.5703125" customWidth="1"/>
    <col min="7" max="7" width="17.5703125" customWidth="1"/>
    <col min="8" max="8" width="11.5703125" customWidth="1"/>
    <col min="9" max="9" width="13.7109375" customWidth="1"/>
    <col min="10" max="13" width="13.140625" customWidth="1"/>
    <col min="15" max="15" width="13.42578125" customWidth="1"/>
    <col min="18" max="18" width="20.5703125" customWidth="1"/>
  </cols>
  <sheetData>
    <row r="1" spans="1:18">
      <c r="A1" s="1" t="s">
        <v>269</v>
      </c>
    </row>
    <row r="3" spans="1:18">
      <c r="A3" s="738" t="s">
        <v>270</v>
      </c>
      <c r="B3" s="738"/>
      <c r="C3" s="5"/>
      <c r="D3" s="738" t="s">
        <v>271</v>
      </c>
      <c r="E3" s="738"/>
      <c r="G3" t="s">
        <v>206</v>
      </c>
      <c r="O3" s="1" t="s">
        <v>275</v>
      </c>
    </row>
    <row r="4" spans="1:18" ht="15.75" thickBot="1">
      <c r="A4" s="5"/>
      <c r="B4" s="5"/>
      <c r="C4" s="5"/>
      <c r="D4" s="5"/>
      <c r="E4" s="5"/>
    </row>
    <row r="5" spans="1:18">
      <c r="A5" s="309" t="s">
        <v>4</v>
      </c>
      <c r="B5" s="309" t="s">
        <v>65</v>
      </c>
      <c r="C5" s="306"/>
      <c r="D5" s="309" t="s">
        <v>4</v>
      </c>
      <c r="E5" s="309" t="s">
        <v>272</v>
      </c>
      <c r="G5" s="18" t="s">
        <v>207</v>
      </c>
      <c r="H5" s="18"/>
      <c r="O5" t="s">
        <v>276</v>
      </c>
      <c r="P5" s="108">
        <f t="array" ref="P5:Q9">LOGEST(B6:B16,A6:A16,TRUE,TRUE)</f>
        <v>1.016221135918584</v>
      </c>
      <c r="Q5" s="108">
        <v>14.051351650751313</v>
      </c>
      <c r="R5" t="s">
        <v>277</v>
      </c>
    </row>
    <row r="6" spans="1:18" ht="18">
      <c r="A6" s="306">
        <v>45</v>
      </c>
      <c r="B6" s="306">
        <v>33</v>
      </c>
      <c r="C6" s="306"/>
      <c r="D6" s="306">
        <f>A6</f>
        <v>45</v>
      </c>
      <c r="E6" s="306">
        <f>LN(B6)</f>
        <v>3.4965075614664802</v>
      </c>
      <c r="G6" s="16" t="s">
        <v>208</v>
      </c>
      <c r="H6" s="16">
        <v>0.9389424341263487</v>
      </c>
      <c r="O6" t="s">
        <v>278</v>
      </c>
      <c r="P6" s="108">
        <v>1.9655063255165986E-3</v>
      </c>
      <c r="Q6" s="108">
        <v>0.12108365936512579</v>
      </c>
      <c r="R6" t="s">
        <v>200</v>
      </c>
    </row>
    <row r="7" spans="1:18" ht="18">
      <c r="A7" s="306">
        <v>99</v>
      </c>
      <c r="B7" s="306">
        <v>72</v>
      </c>
      <c r="C7" s="306"/>
      <c r="D7" s="306">
        <f t="shared" ref="D7:D16" si="0">A7</f>
        <v>99</v>
      </c>
      <c r="E7" s="306">
        <f t="shared" ref="E7:E16" si="1">LN(B7)</f>
        <v>4.2766661190160553</v>
      </c>
      <c r="G7" s="16" t="s">
        <v>201</v>
      </c>
      <c r="H7" s="16">
        <v>0.88161289460311276</v>
      </c>
      <c r="O7" t="s">
        <v>279</v>
      </c>
      <c r="P7" s="108">
        <v>0.88161289460311276</v>
      </c>
      <c r="Q7" s="108">
        <v>0.18665819972314818</v>
      </c>
      <c r="R7" t="s">
        <v>202</v>
      </c>
    </row>
    <row r="8" spans="1:18" ht="18">
      <c r="A8" s="306">
        <v>31</v>
      </c>
      <c r="B8" s="306">
        <v>19</v>
      </c>
      <c r="C8" s="306"/>
      <c r="D8" s="306">
        <f t="shared" si="0"/>
        <v>31</v>
      </c>
      <c r="E8" s="306">
        <f t="shared" si="1"/>
        <v>2.9444389791664403</v>
      </c>
      <c r="G8" s="16" t="s">
        <v>209</v>
      </c>
      <c r="H8" s="16">
        <v>0.86845877178123643</v>
      </c>
      <c r="O8" t="s">
        <v>63</v>
      </c>
      <c r="P8" s="108">
        <v>67.021792828094917</v>
      </c>
      <c r="Q8" s="108">
        <v>9</v>
      </c>
      <c r="R8" t="s">
        <v>203</v>
      </c>
    </row>
    <row r="9" spans="1:18" ht="18">
      <c r="A9" s="306">
        <v>57</v>
      </c>
      <c r="B9" s="306">
        <v>27</v>
      </c>
      <c r="C9" s="306"/>
      <c r="D9" s="306">
        <f t="shared" si="0"/>
        <v>57</v>
      </c>
      <c r="E9" s="306">
        <f t="shared" si="1"/>
        <v>3.2958368660043291</v>
      </c>
      <c r="G9" s="16" t="s">
        <v>9</v>
      </c>
      <c r="H9" s="16">
        <v>0.18665819972314818</v>
      </c>
      <c r="O9" t="s">
        <v>204</v>
      </c>
      <c r="P9" s="108">
        <v>2.3351252862028491</v>
      </c>
      <c r="Q9" s="108">
        <v>0.31357155171498002</v>
      </c>
      <c r="R9" t="s">
        <v>205</v>
      </c>
    </row>
    <row r="10" spans="1:18" ht="15.75" thickBot="1">
      <c r="A10" s="306">
        <v>37</v>
      </c>
      <c r="B10" s="306">
        <v>23</v>
      </c>
      <c r="C10" s="306"/>
      <c r="D10" s="306">
        <f t="shared" si="0"/>
        <v>37</v>
      </c>
      <c r="E10" s="306">
        <f t="shared" si="1"/>
        <v>3.1354942159291497</v>
      </c>
      <c r="G10" s="17" t="s">
        <v>42</v>
      </c>
      <c r="H10" s="17">
        <v>11</v>
      </c>
    </row>
    <row r="11" spans="1:18">
      <c r="A11" s="306">
        <v>85</v>
      </c>
      <c r="B11" s="306">
        <v>62</v>
      </c>
      <c r="C11" s="306"/>
      <c r="D11" s="306">
        <f t="shared" si="0"/>
        <v>85</v>
      </c>
      <c r="E11" s="306">
        <f t="shared" si="1"/>
        <v>4.1271343850450917</v>
      </c>
    </row>
    <row r="12" spans="1:18" ht="15.75" thickBot="1">
      <c r="A12" s="306">
        <v>21</v>
      </c>
      <c r="B12" s="306">
        <v>24</v>
      </c>
      <c r="C12" s="306"/>
      <c r="D12" s="306">
        <f t="shared" si="0"/>
        <v>21</v>
      </c>
      <c r="E12" s="306">
        <f t="shared" si="1"/>
        <v>3.1780538303479458</v>
      </c>
      <c r="G12" t="s">
        <v>210</v>
      </c>
      <c r="O12" s="1" t="s">
        <v>281</v>
      </c>
    </row>
    <row r="13" spans="1:18">
      <c r="A13" s="306">
        <v>64</v>
      </c>
      <c r="B13" s="306">
        <v>32</v>
      </c>
      <c r="C13" s="306"/>
      <c r="D13" s="306">
        <f t="shared" si="0"/>
        <v>64</v>
      </c>
      <c r="E13" s="306">
        <f t="shared" si="1"/>
        <v>3.4657359027997265</v>
      </c>
      <c r="G13" s="15"/>
      <c r="H13" s="15" t="s">
        <v>26</v>
      </c>
      <c r="I13" s="15" t="s">
        <v>137</v>
      </c>
      <c r="J13" s="15" t="s">
        <v>156</v>
      </c>
      <c r="K13" s="15" t="s">
        <v>63</v>
      </c>
      <c r="L13" s="15" t="s">
        <v>213</v>
      </c>
    </row>
    <row r="14" spans="1:18">
      <c r="A14" s="306">
        <v>17</v>
      </c>
      <c r="B14" s="306">
        <v>18</v>
      </c>
      <c r="C14" s="306"/>
      <c r="D14" s="306">
        <f t="shared" si="0"/>
        <v>17</v>
      </c>
      <c r="E14" s="306">
        <f t="shared" si="1"/>
        <v>2.8903717578961645</v>
      </c>
      <c r="G14" s="16" t="s">
        <v>138</v>
      </c>
      <c r="H14" s="16">
        <v>1</v>
      </c>
      <c r="I14" s="16">
        <v>2.3351252862028491</v>
      </c>
      <c r="J14" s="16">
        <v>2.3351252862028491</v>
      </c>
      <c r="K14" s="16">
        <v>67.021792828094917</v>
      </c>
      <c r="L14" s="16">
        <v>1.8400738619043159E-5</v>
      </c>
      <c r="O14" s="11" t="s">
        <v>4</v>
      </c>
      <c r="P14" s="11" t="s">
        <v>65</v>
      </c>
    </row>
    <row r="15" spans="1:18">
      <c r="A15" s="306">
        <v>41</v>
      </c>
      <c r="B15" s="306">
        <v>36</v>
      </c>
      <c r="C15" s="306"/>
      <c r="D15" s="306">
        <f t="shared" si="0"/>
        <v>41</v>
      </c>
      <c r="E15" s="306">
        <f t="shared" si="1"/>
        <v>3.5835189384561099</v>
      </c>
      <c r="G15" s="16" t="s">
        <v>211</v>
      </c>
      <c r="H15" s="16">
        <v>9</v>
      </c>
      <c r="I15" s="16">
        <v>0.31357155171498002</v>
      </c>
      <c r="J15" s="16">
        <v>3.4841283523886671E-2</v>
      </c>
      <c r="K15" s="16"/>
      <c r="L15" s="16"/>
      <c r="O15" s="334">
        <v>25</v>
      </c>
      <c r="P15" s="368">
        <f t="array" ref="P15:P16">GROWTH(B6:B16,A6:A16,O15:O16)</f>
        <v>21.00988555055768</v>
      </c>
    </row>
    <row r="16" spans="1:18" ht="15.75" thickBot="1">
      <c r="A16" s="308">
        <v>103</v>
      </c>
      <c r="B16" s="308">
        <v>76</v>
      </c>
      <c r="C16" s="306"/>
      <c r="D16" s="308">
        <f t="shared" si="0"/>
        <v>103</v>
      </c>
      <c r="E16" s="308">
        <f t="shared" si="1"/>
        <v>4.3307333402863311</v>
      </c>
      <c r="G16" s="17" t="s">
        <v>1</v>
      </c>
      <c r="H16" s="17">
        <v>10</v>
      </c>
      <c r="I16" s="17">
        <v>2.6486968379178291</v>
      </c>
      <c r="J16" s="17"/>
      <c r="K16" s="17"/>
      <c r="L16" s="17"/>
      <c r="O16" s="284">
        <v>35</v>
      </c>
      <c r="P16" s="369">
        <v>24.677770454951915</v>
      </c>
    </row>
    <row r="17" spans="1:16" ht="15.75" thickBot="1"/>
    <row r="18" spans="1:16">
      <c r="G18" s="15"/>
      <c r="H18" s="15" t="s">
        <v>214</v>
      </c>
      <c r="I18" s="15" t="s">
        <v>9</v>
      </c>
      <c r="J18" s="15" t="s">
        <v>45</v>
      </c>
      <c r="K18" s="15" t="s">
        <v>56</v>
      </c>
      <c r="L18" s="15" t="s">
        <v>215</v>
      </c>
      <c r="M18" s="15" t="s">
        <v>216</v>
      </c>
      <c r="O18" s="1" t="s">
        <v>280</v>
      </c>
    </row>
    <row r="19" spans="1:16">
      <c r="A19" t="s">
        <v>57</v>
      </c>
      <c r="B19" s="303">
        <f>CORREL(E6:E16,D6:D16)</f>
        <v>0.9389424341263487</v>
      </c>
      <c r="G19" s="16" t="s">
        <v>212</v>
      </c>
      <c r="H19" s="16">
        <v>2.6427185940530018</v>
      </c>
      <c r="I19" s="16">
        <v>0.12108365936512579</v>
      </c>
      <c r="J19" s="16">
        <v>21.825559352182506</v>
      </c>
      <c r="K19" s="16">
        <v>4.1968546343393487E-9</v>
      </c>
      <c r="L19" s="16">
        <v>2.3688083267223643</v>
      </c>
      <c r="M19" s="16">
        <v>2.9166288613836393</v>
      </c>
    </row>
    <row r="20" spans="1:16" ht="15.75" thickBot="1">
      <c r="G20" s="17" t="s">
        <v>4</v>
      </c>
      <c r="H20" s="17">
        <v>1.6090978936384667E-2</v>
      </c>
      <c r="I20" s="17">
        <v>1.9655063255165986E-3</v>
      </c>
      <c r="J20" s="17">
        <v>8.1866838724904323</v>
      </c>
      <c r="K20" s="17">
        <v>1.8400738619043125E-5</v>
      </c>
      <c r="L20" s="17">
        <v>1.1644694723592112E-2</v>
      </c>
      <c r="M20" s="17">
        <v>2.0537263149177219E-2</v>
      </c>
      <c r="O20" s="11" t="s">
        <v>4</v>
      </c>
      <c r="P20" s="11" t="s">
        <v>65</v>
      </c>
    </row>
    <row r="21" spans="1:16">
      <c r="O21" s="334">
        <v>25</v>
      </c>
      <c r="P21" s="368">
        <f>Q5*P5^O21</f>
        <v>21.00988555055774</v>
      </c>
    </row>
    <row r="22" spans="1:16" ht="17.25">
      <c r="G22" t="s">
        <v>273</v>
      </c>
      <c r="H22" s="302">
        <f>EXP(H19)</f>
        <v>14.051351650751313</v>
      </c>
      <c r="J22" t="s">
        <v>4</v>
      </c>
      <c r="K22" s="302">
        <v>26</v>
      </c>
      <c r="O22" s="284">
        <v>35</v>
      </c>
      <c r="P22" s="369">
        <f>Q5*P5^O22</f>
        <v>24.677770454952011</v>
      </c>
    </row>
    <row r="23" spans="1:16" ht="17.25">
      <c r="G23" t="s">
        <v>274</v>
      </c>
      <c r="H23" s="289">
        <f>EXP(H20)</f>
        <v>1.016221135918584</v>
      </c>
      <c r="J23" t="s">
        <v>65</v>
      </c>
      <c r="K23" s="289">
        <f>H22*H23^K22</f>
        <v>21.350689759707233</v>
      </c>
    </row>
    <row r="24" spans="1:16">
      <c r="O24" s="1" t="s">
        <v>599</v>
      </c>
    </row>
    <row r="26" spans="1:16">
      <c r="O26" s="11" t="s">
        <v>4</v>
      </c>
      <c r="P26" s="11" t="s">
        <v>65</v>
      </c>
    </row>
    <row r="27" spans="1:16">
      <c r="O27" s="334">
        <v>25</v>
      </c>
      <c r="P27" s="368">
        <f t="array" ref="P27:P28">EXP(TREND(LN(B6:B16),A6:A16,O15:O16))</f>
        <v>21.00988555055768</v>
      </c>
    </row>
    <row r="28" spans="1:16">
      <c r="O28" s="284">
        <v>35</v>
      </c>
      <c r="P28" s="369">
        <v>24.677770454951908</v>
      </c>
    </row>
  </sheetData>
  <mergeCells count="2">
    <mergeCell ref="A3:B3"/>
    <mergeCell ref="D3:E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24"/>
  <dimension ref="A1:G18"/>
  <sheetViews>
    <sheetView workbookViewId="0"/>
  </sheetViews>
  <sheetFormatPr defaultRowHeight="15"/>
  <sheetData>
    <row r="1" spans="1:7">
      <c r="A1" s="1" t="s">
        <v>269</v>
      </c>
      <c r="G1" s="1"/>
    </row>
    <row r="2" spans="1:7">
      <c r="G2" s="1"/>
    </row>
    <row r="3" spans="1:7">
      <c r="A3" s="309" t="s">
        <v>4</v>
      </c>
      <c r="B3" s="309" t="s">
        <v>65</v>
      </c>
      <c r="C3" s="309" t="s">
        <v>720</v>
      </c>
      <c r="D3" s="309" t="s">
        <v>721</v>
      </c>
      <c r="E3" s="309" t="s">
        <v>722</v>
      </c>
      <c r="G3" s="1"/>
    </row>
    <row r="4" spans="1:7">
      <c r="A4" s="468">
        <v>45</v>
      </c>
      <c r="B4" s="468">
        <v>33</v>
      </c>
      <c r="C4">
        <f>$B$16*EXP($B$17*A4)</f>
        <v>28.985991054631548</v>
      </c>
      <c r="D4">
        <f>B4-C4</f>
        <v>4.0140089453684524</v>
      </c>
      <c r="E4">
        <f>D4^2</f>
        <v>16.112267813497954</v>
      </c>
      <c r="G4" s="1"/>
    </row>
    <row r="5" spans="1:7">
      <c r="A5" s="468">
        <v>99</v>
      </c>
      <c r="B5" s="468">
        <v>72</v>
      </c>
      <c r="C5">
        <f t="shared" ref="C5:C14" si="0">$B$16*EXP($B$17*A5)</f>
        <v>69.111801766231082</v>
      </c>
      <c r="D5">
        <f t="shared" ref="D5:D14" si="1">B5-C5</f>
        <v>2.888198233768918</v>
      </c>
      <c r="E5">
        <f t="shared" ref="E5:E14" si="2">D5^2</f>
        <v>8.3416890375458976</v>
      </c>
      <c r="G5" s="1"/>
    </row>
    <row r="6" spans="1:7">
      <c r="A6" s="468">
        <v>31</v>
      </c>
      <c r="B6" s="468">
        <v>19</v>
      </c>
      <c r="C6">
        <f t="shared" si="0"/>
        <v>23.13944972150129</v>
      </c>
      <c r="D6">
        <f t="shared" si="1"/>
        <v>-4.1394497215012898</v>
      </c>
      <c r="E6">
        <f t="shared" si="2"/>
        <v>17.135043996837105</v>
      </c>
      <c r="G6" s="1"/>
    </row>
    <row r="7" spans="1:7">
      <c r="A7" s="468">
        <v>57</v>
      </c>
      <c r="B7" s="468">
        <v>27</v>
      </c>
      <c r="C7">
        <f t="shared" si="0"/>
        <v>35.159835473030839</v>
      </c>
      <c r="D7">
        <f t="shared" si="1"/>
        <v>-8.1598354730308387</v>
      </c>
      <c r="E7">
        <f t="shared" si="2"/>
        <v>66.582914946932405</v>
      </c>
      <c r="G7" s="1"/>
    </row>
    <row r="8" spans="1:7">
      <c r="A8" s="468">
        <v>37</v>
      </c>
      <c r="B8" s="468">
        <v>23</v>
      </c>
      <c r="C8">
        <f t="shared" si="0"/>
        <v>25.484866736919166</v>
      </c>
      <c r="D8">
        <f t="shared" si="1"/>
        <v>-2.4848667369191659</v>
      </c>
      <c r="E8">
        <f t="shared" si="2"/>
        <v>6.1745627002473036</v>
      </c>
      <c r="G8" s="1"/>
    </row>
    <row r="9" spans="1:7">
      <c r="A9" s="468">
        <v>85</v>
      </c>
      <c r="B9" s="468">
        <v>62</v>
      </c>
      <c r="C9">
        <f t="shared" si="0"/>
        <v>55.171791749950778</v>
      </c>
      <c r="D9">
        <f t="shared" si="1"/>
        <v>6.8282082500492223</v>
      </c>
      <c r="E9">
        <f t="shared" si="2"/>
        <v>46.62442790604026</v>
      </c>
      <c r="G9" s="1"/>
    </row>
    <row r="10" spans="1:7">
      <c r="A10" s="468">
        <v>21</v>
      </c>
      <c r="B10" s="468">
        <v>24</v>
      </c>
      <c r="C10">
        <f t="shared" si="0"/>
        <v>19.700207165760073</v>
      </c>
      <c r="D10">
        <f t="shared" si="1"/>
        <v>4.299792834239927</v>
      </c>
      <c r="E10">
        <f t="shared" si="2"/>
        <v>18.488218417381024</v>
      </c>
      <c r="G10" s="1"/>
    </row>
    <row r="11" spans="1:7">
      <c r="A11" s="468">
        <v>64</v>
      </c>
      <c r="B11" s="468">
        <v>32</v>
      </c>
      <c r="C11">
        <f t="shared" si="0"/>
        <v>39.351781458825506</v>
      </c>
      <c r="D11">
        <f t="shared" si="1"/>
        <v>-7.3517814588255064</v>
      </c>
      <c r="E11">
        <f t="shared" si="2"/>
        <v>54.04869061833049</v>
      </c>
      <c r="G11" s="1"/>
    </row>
    <row r="12" spans="1:7">
      <c r="A12" s="468">
        <v>17</v>
      </c>
      <c r="B12" s="468">
        <v>18</v>
      </c>
      <c r="C12">
        <f t="shared" si="0"/>
        <v>18.472169276693794</v>
      </c>
      <c r="D12">
        <f t="shared" si="1"/>
        <v>-0.47216927669379416</v>
      </c>
      <c r="E12">
        <f t="shared" si="2"/>
        <v>0.22294382585354075</v>
      </c>
      <c r="G12" s="1"/>
    </row>
    <row r="13" spans="1:7">
      <c r="A13" s="468">
        <v>41</v>
      </c>
      <c r="B13" s="468">
        <v>36</v>
      </c>
      <c r="C13">
        <f t="shared" si="0"/>
        <v>27.179111818910052</v>
      </c>
      <c r="D13">
        <f t="shared" si="1"/>
        <v>8.8208881810899484</v>
      </c>
      <c r="E13">
        <f t="shared" si="2"/>
        <v>77.808068303292345</v>
      </c>
      <c r="G13" s="1"/>
    </row>
    <row r="14" spans="1:7">
      <c r="A14" s="469">
        <v>103</v>
      </c>
      <c r="B14" s="469">
        <v>76</v>
      </c>
      <c r="C14" s="380">
        <f t="shared" si="0"/>
        <v>73.706384561531237</v>
      </c>
      <c r="D14" s="380">
        <f t="shared" si="1"/>
        <v>2.2936154384687626</v>
      </c>
      <c r="E14" s="380">
        <f t="shared" si="2"/>
        <v>5.2606717795822542</v>
      </c>
      <c r="G14" s="1"/>
    </row>
    <row r="15" spans="1:7">
      <c r="E15">
        <f>SUM(E4:E14)</f>
        <v>316.7994993455406</v>
      </c>
      <c r="G15" s="1"/>
    </row>
    <row r="16" spans="1:7">
      <c r="A16" s="27" t="s">
        <v>21</v>
      </c>
      <c r="B16" s="462">
        <v>14.051351650751313</v>
      </c>
      <c r="G16" s="1"/>
    </row>
    <row r="17" spans="1:7">
      <c r="A17" s="27" t="s">
        <v>507</v>
      </c>
      <c r="B17" s="289">
        <v>1.6090978936384667E-2</v>
      </c>
      <c r="G17" s="1"/>
    </row>
    <row r="18" spans="1:7">
      <c r="G18" s="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25"/>
  <dimension ref="A1:G18"/>
  <sheetViews>
    <sheetView workbookViewId="0"/>
  </sheetViews>
  <sheetFormatPr defaultRowHeight="15"/>
  <sheetData>
    <row r="1" spans="1:7">
      <c r="A1" s="1" t="s">
        <v>269</v>
      </c>
      <c r="G1" s="1"/>
    </row>
    <row r="2" spans="1:7">
      <c r="G2" s="1"/>
    </row>
    <row r="3" spans="1:7">
      <c r="A3" s="309" t="s">
        <v>4</v>
      </c>
      <c r="B3" s="309" t="s">
        <v>65</v>
      </c>
      <c r="C3" s="309" t="s">
        <v>720</v>
      </c>
      <c r="D3" s="309" t="s">
        <v>721</v>
      </c>
      <c r="E3" s="309" t="s">
        <v>722</v>
      </c>
      <c r="G3" s="1"/>
    </row>
    <row r="4" spans="1:7">
      <c r="A4" s="468">
        <v>45</v>
      </c>
      <c r="B4" s="468">
        <v>33</v>
      </c>
      <c r="C4">
        <f>$B$16*EXP($B$17*A4)</f>
        <v>28.831659725051864</v>
      </c>
      <c r="D4">
        <f>B4-C4</f>
        <v>4.168340274948136</v>
      </c>
      <c r="E4">
        <f>D4^2</f>
        <v>17.375060647754701</v>
      </c>
      <c r="G4" s="1"/>
    </row>
    <row r="5" spans="1:7">
      <c r="A5" s="468">
        <v>99</v>
      </c>
      <c r="B5" s="468">
        <v>72</v>
      </c>
      <c r="C5">
        <f t="shared" ref="C5:C14" si="0">$B$16*EXP($B$17*A5)</f>
        <v>71.635682908693667</v>
      </c>
      <c r="D5">
        <f t="shared" ref="D5:D14" si="1">B5-C5</f>
        <v>0.36431709130633294</v>
      </c>
      <c r="E5">
        <f t="shared" ref="E5:E14" si="2">D5^2</f>
        <v>0.13272694301790694</v>
      </c>
      <c r="G5" s="1"/>
    </row>
    <row r="6" spans="1:7">
      <c r="A6" s="468">
        <v>31</v>
      </c>
      <c r="B6" s="468">
        <v>19</v>
      </c>
      <c r="C6">
        <f t="shared" si="0"/>
        <v>22.77167048124813</v>
      </c>
      <c r="D6">
        <f t="shared" si="1"/>
        <v>-3.7716704812481296</v>
      </c>
      <c r="E6">
        <f t="shared" si="2"/>
        <v>14.225498219118498</v>
      </c>
      <c r="G6" s="1"/>
    </row>
    <row r="7" spans="1:7">
      <c r="A7" s="468">
        <v>57</v>
      </c>
      <c r="B7" s="468">
        <v>27</v>
      </c>
      <c r="C7">
        <f t="shared" si="0"/>
        <v>35.294346604949631</v>
      </c>
      <c r="D7">
        <f t="shared" si="1"/>
        <v>-8.2943466049496308</v>
      </c>
      <c r="E7">
        <f t="shared" si="2"/>
        <v>68.796185603039461</v>
      </c>
      <c r="G7" s="1"/>
    </row>
    <row r="8" spans="1:7">
      <c r="A8" s="468">
        <v>37</v>
      </c>
      <c r="B8" s="468">
        <v>23</v>
      </c>
      <c r="C8">
        <f t="shared" si="0"/>
        <v>25.194900176602072</v>
      </c>
      <c r="D8">
        <f t="shared" si="1"/>
        <v>-2.1949001766020722</v>
      </c>
      <c r="E8">
        <f t="shared" si="2"/>
        <v>4.8175867852478076</v>
      </c>
      <c r="G8" s="1"/>
    </row>
    <row r="9" spans="1:7">
      <c r="A9" s="468">
        <v>85</v>
      </c>
      <c r="B9" s="468">
        <v>62</v>
      </c>
      <c r="C9">
        <f t="shared" si="0"/>
        <v>56.578919890572372</v>
      </c>
      <c r="D9">
        <f t="shared" si="1"/>
        <v>5.4210801094276277</v>
      </c>
      <c r="E9">
        <f t="shared" si="2"/>
        <v>29.38810955283186</v>
      </c>
      <c r="G9" s="1"/>
    </row>
    <row r="10" spans="1:7">
      <c r="A10" s="468">
        <v>21</v>
      </c>
      <c r="B10" s="468">
        <v>24</v>
      </c>
      <c r="C10">
        <f t="shared" si="0"/>
        <v>19.239715179033695</v>
      </c>
      <c r="D10">
        <f t="shared" si="1"/>
        <v>4.7602848209663051</v>
      </c>
      <c r="E10">
        <f t="shared" si="2"/>
        <v>22.660311576722208</v>
      </c>
      <c r="G10" s="1"/>
    </row>
    <row r="11" spans="1:7">
      <c r="A11" s="468">
        <v>64</v>
      </c>
      <c r="B11" s="468">
        <v>32</v>
      </c>
      <c r="C11">
        <f t="shared" si="0"/>
        <v>39.713898621389717</v>
      </c>
      <c r="D11">
        <f t="shared" si="1"/>
        <v>-7.7138986213897169</v>
      </c>
      <c r="E11">
        <f t="shared" si="2"/>
        <v>59.504231941078174</v>
      </c>
      <c r="G11" s="1"/>
    </row>
    <row r="12" spans="1:7">
      <c r="A12" s="468">
        <v>17</v>
      </c>
      <c r="B12" s="468">
        <v>18</v>
      </c>
      <c r="C12">
        <f t="shared" si="0"/>
        <v>17.985401515264826</v>
      </c>
      <c r="D12">
        <f t="shared" si="1"/>
        <v>1.4598484735174111E-2</v>
      </c>
      <c r="E12">
        <f t="shared" si="2"/>
        <v>2.1311575656311152E-4</v>
      </c>
      <c r="G12" s="1"/>
    </row>
    <row r="13" spans="1:7">
      <c r="A13" s="468">
        <v>41</v>
      </c>
      <c r="B13" s="468">
        <v>36</v>
      </c>
      <c r="C13">
        <f t="shared" si="0"/>
        <v>26.952008991881108</v>
      </c>
      <c r="D13">
        <f t="shared" si="1"/>
        <v>9.0479910081188919</v>
      </c>
      <c r="E13">
        <f t="shared" si="2"/>
        <v>81.866141283000317</v>
      </c>
      <c r="G13" s="1"/>
    </row>
    <row r="14" spans="1:7">
      <c r="A14" s="469">
        <v>103</v>
      </c>
      <c r="B14" s="469">
        <v>76</v>
      </c>
      <c r="C14" s="380">
        <f t="shared" si="0"/>
        <v>76.631602283055528</v>
      </c>
      <c r="D14" s="380">
        <f t="shared" si="1"/>
        <v>-0.63160228305552835</v>
      </c>
      <c r="E14" s="380">
        <f t="shared" si="2"/>
        <v>0.39892144396095575</v>
      </c>
      <c r="G14" s="1"/>
    </row>
    <row r="15" spans="1:7">
      <c r="E15">
        <f>SUM(E4:E14)</f>
        <v>299.16498711152843</v>
      </c>
      <c r="G15" s="1"/>
    </row>
    <row r="16" spans="1:7">
      <c r="A16" s="27" t="s">
        <v>21</v>
      </c>
      <c r="B16" s="462">
        <v>13.504748758059534</v>
      </c>
      <c r="G16" s="1"/>
    </row>
    <row r="17" spans="1:7">
      <c r="A17" s="27" t="s">
        <v>507</v>
      </c>
      <c r="B17" s="289">
        <v>1.6854059909324152E-2</v>
      </c>
      <c r="G17" s="1"/>
    </row>
    <row r="18" spans="1:7">
      <c r="G18" s="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26"/>
  <dimension ref="A1:U32"/>
  <sheetViews>
    <sheetView zoomScale="101" zoomScaleNormal="100" workbookViewId="0"/>
  </sheetViews>
  <sheetFormatPr defaultRowHeight="15"/>
  <cols>
    <col min="2" max="2" width="9.28515625" bestFit="1" customWidth="1"/>
    <col min="4" max="4" width="12.28515625" bestFit="1" customWidth="1"/>
    <col min="5" max="5" width="9.28515625" bestFit="1" customWidth="1"/>
    <col min="6" max="6" width="9.85546875" bestFit="1" customWidth="1"/>
    <col min="7" max="7" width="9.140625" customWidth="1"/>
    <col min="8" max="8" width="9.28515625" bestFit="1" customWidth="1"/>
    <col min="9" max="10" width="9.140625" customWidth="1"/>
    <col min="12" max="13" width="9.140625" customWidth="1"/>
    <col min="15" max="15" width="13.42578125" customWidth="1"/>
    <col min="16" max="17" width="13.5703125" customWidth="1"/>
    <col min="18" max="19" width="10.5703125" customWidth="1"/>
    <col min="20" max="21" width="13.7109375" customWidth="1"/>
  </cols>
  <sheetData>
    <row r="1" spans="1:13">
      <c r="A1" s="1" t="s">
        <v>269</v>
      </c>
      <c r="M1" s="1"/>
    </row>
    <row r="2" spans="1:13">
      <c r="M2" s="1"/>
    </row>
    <row r="3" spans="1:13">
      <c r="A3" s="309" t="s">
        <v>4</v>
      </c>
      <c r="B3" s="309" t="s">
        <v>65</v>
      </c>
      <c r="C3" s="471"/>
      <c r="D3" s="471" t="s">
        <v>723</v>
      </c>
      <c r="E3" s="471" t="s">
        <v>724</v>
      </c>
      <c r="F3" s="471" t="s">
        <v>728</v>
      </c>
      <c r="G3" s="471" t="s">
        <v>726</v>
      </c>
      <c r="H3" s="471" t="s">
        <v>725</v>
      </c>
      <c r="I3" s="471" t="s">
        <v>727</v>
      </c>
      <c r="K3" s="471" t="s">
        <v>730</v>
      </c>
      <c r="L3" s="471" t="s">
        <v>722</v>
      </c>
      <c r="M3" s="1"/>
    </row>
    <row r="4" spans="1:13">
      <c r="A4" s="472">
        <v>45</v>
      </c>
      <c r="B4" s="472">
        <v>33</v>
      </c>
      <c r="C4" s="472"/>
      <c r="D4">
        <f>EXP($B$20*A4)</f>
        <v>2.0628614082889096</v>
      </c>
      <c r="E4">
        <f>(B4-$B$19*D4)*D4</f>
        <v>8.2803441459270459</v>
      </c>
      <c r="F4">
        <f>E4*A4*$B$19</f>
        <v>5235.7512322647435</v>
      </c>
      <c r="G4">
        <f>-(D4^2)</f>
        <v>-4.2553971898077032</v>
      </c>
      <c r="H4">
        <f t="shared" ref="H4:H14" si="0">(B4-2*$B$19*D4)*D4*A4</f>
        <v>-2318.1182181755967</v>
      </c>
      <c r="I4">
        <f>H4*$B$19*A4</f>
        <v>-1465771.2413219262</v>
      </c>
      <c r="K4">
        <f>$B$31*EXP($B$32*A4)</f>
        <v>28.831680595438126</v>
      </c>
      <c r="L4">
        <f>(B4-K4)^2</f>
        <v>17.374886658447057</v>
      </c>
      <c r="M4" s="1"/>
    </row>
    <row r="5" spans="1:13">
      <c r="A5" s="472">
        <v>99</v>
      </c>
      <c r="B5" s="472">
        <v>72</v>
      </c>
      <c r="C5" s="472"/>
      <c r="D5">
        <f t="shared" ref="D5:D14" si="1">EXP($B$20*A5)</f>
        <v>4.9185162740223456</v>
      </c>
      <c r="E5">
        <f t="shared" ref="E5:E14" si="2">(B5-$B$19*D5)*D5</f>
        <v>14.205650015395019</v>
      </c>
      <c r="F5">
        <f t="shared" ref="F5:F14" si="3">E5*A5*$B$19</f>
        <v>19761.249795587806</v>
      </c>
      <c r="G5">
        <f t="shared" ref="G5:G14" si="4">-(D5^2)</f>
        <v>-24.191802337822658</v>
      </c>
      <c r="H5">
        <f t="shared" si="0"/>
        <v>-32246.465298183066</v>
      </c>
      <c r="I5">
        <f t="shared" ref="I5:I14" si="5">H5*$B$19*A5</f>
        <v>-44857535.916453429</v>
      </c>
      <c r="K5">
        <f t="shared" ref="K5:K14" si="6">$B$31*EXP($B$32*A5)</f>
        <v>71.635797078864869</v>
      </c>
      <c r="L5">
        <f t="shared" ref="L5:L14" si="7">(B5-K5)^2</f>
        <v>0.13264376776336276</v>
      </c>
      <c r="M5" s="1"/>
    </row>
    <row r="6" spans="1:13">
      <c r="A6" s="472">
        <v>31</v>
      </c>
      <c r="B6" s="472">
        <v>19</v>
      </c>
      <c r="C6" s="472"/>
      <c r="D6">
        <f t="shared" si="1"/>
        <v>1.6467774984667787</v>
      </c>
      <c r="E6">
        <f t="shared" si="2"/>
        <v>-6.8167526574028976</v>
      </c>
      <c r="F6">
        <f t="shared" si="3"/>
        <v>-2969.3222498662099</v>
      </c>
      <c r="G6">
        <f t="shared" si="4"/>
        <v>-2.7118761294565012</v>
      </c>
      <c r="H6">
        <f t="shared" si="0"/>
        <v>-1392.5906113559122</v>
      </c>
      <c r="I6">
        <f t="shared" si="5"/>
        <v>-606601.19195659691</v>
      </c>
      <c r="K6">
        <f t="shared" si="6"/>
        <v>22.771681829358332</v>
      </c>
      <c r="L6">
        <f t="shared" si="7"/>
        <v>14.225583821911815</v>
      </c>
      <c r="M6" s="1"/>
    </row>
    <row r="7" spans="1:13">
      <c r="A7" s="472">
        <v>57</v>
      </c>
      <c r="B7" s="472">
        <v>27</v>
      </c>
      <c r="C7" s="472"/>
      <c r="D7">
        <f t="shared" si="1"/>
        <v>2.5022386704805637</v>
      </c>
      <c r="E7">
        <f t="shared" si="2"/>
        <v>-20.417855865376826</v>
      </c>
      <c r="F7">
        <f t="shared" si="3"/>
        <v>-16353.212944969608</v>
      </c>
      <c r="G7">
        <f t="shared" si="4"/>
        <v>-6.2611983640483393</v>
      </c>
      <c r="H7">
        <f t="shared" si="0"/>
        <v>-6178.5808825225458</v>
      </c>
      <c r="I7">
        <f t="shared" si="5"/>
        <v>-4948592.522927219</v>
      </c>
      <c r="K7">
        <f t="shared" si="6"/>
        <v>35.294378976198381</v>
      </c>
      <c r="L7">
        <f t="shared" si="7"/>
        <v>68.796722600801701</v>
      </c>
      <c r="M7" s="1"/>
    </row>
    <row r="8" spans="1:13">
      <c r="A8" s="472">
        <v>37</v>
      </c>
      <c r="B8" s="472">
        <v>23</v>
      </c>
      <c r="C8" s="472"/>
      <c r="D8">
        <f t="shared" si="1"/>
        <v>1.8136950359189477</v>
      </c>
      <c r="E8">
        <f t="shared" si="2"/>
        <v>-4.506790465670405</v>
      </c>
      <c r="F8">
        <f t="shared" si="3"/>
        <v>-2343.0804130273605</v>
      </c>
      <c r="G8">
        <f t="shared" si="4"/>
        <v>-3.2894896833170328</v>
      </c>
      <c r="H8">
        <f t="shared" si="0"/>
        <v>-1876.9569700266345</v>
      </c>
      <c r="I8">
        <f t="shared" si="5"/>
        <v>-975829.94950939855</v>
      </c>
      <c r="K8">
        <f t="shared" si="6"/>
        <v>25.194915167512317</v>
      </c>
      <c r="L8">
        <f t="shared" si="7"/>
        <v>4.8176525925756222</v>
      </c>
      <c r="M8" s="1"/>
    </row>
    <row r="9" spans="1:13">
      <c r="A9" s="472">
        <v>85</v>
      </c>
      <c r="B9" s="472">
        <v>62</v>
      </c>
      <c r="C9" s="472"/>
      <c r="D9">
        <f t="shared" si="1"/>
        <v>3.9264401832118971</v>
      </c>
      <c r="E9">
        <f t="shared" si="2"/>
        <v>26.810551252332257</v>
      </c>
      <c r="F9">
        <f t="shared" si="3"/>
        <v>32021.581105745983</v>
      </c>
      <c r="G9">
        <f t="shared" si="4"/>
        <v>-15.416932512341077</v>
      </c>
      <c r="H9">
        <f t="shared" si="0"/>
        <v>-16134.546052630214</v>
      </c>
      <c r="I9">
        <f t="shared" si="5"/>
        <v>-19270535.326413635</v>
      </c>
      <c r="K9">
        <f t="shared" si="6"/>
        <v>56.578997303767778</v>
      </c>
      <c r="L9">
        <f t="shared" si="7"/>
        <v>29.387270232557018</v>
      </c>
      <c r="M9" s="1"/>
    </row>
    <row r="10" spans="1:13">
      <c r="A10" s="472">
        <v>21</v>
      </c>
      <c r="B10" s="472">
        <v>24</v>
      </c>
      <c r="C10" s="472"/>
      <c r="D10">
        <f t="shared" si="1"/>
        <v>1.4020150982917519</v>
      </c>
      <c r="E10">
        <f t="shared" si="2"/>
        <v>6.0283744731310618</v>
      </c>
      <c r="F10">
        <f t="shared" si="3"/>
        <v>1778.8430016919215</v>
      </c>
      <c r="G10">
        <f t="shared" si="4"/>
        <v>-1.9656463358380307</v>
      </c>
      <c r="H10">
        <f t="shared" si="0"/>
        <v>-453.42388166753835</v>
      </c>
      <c r="I10">
        <f t="shared" si="5"/>
        <v>-133795.58657134388</v>
      </c>
      <c r="K10">
        <f t="shared" si="6"/>
        <v>19.239721667677177</v>
      </c>
      <c r="L10">
        <f t="shared" si="7"/>
        <v>22.660249801182157</v>
      </c>
      <c r="M10" s="1"/>
    </row>
    <row r="11" spans="1:13">
      <c r="A11" s="472">
        <v>64</v>
      </c>
      <c r="B11" s="472">
        <v>32</v>
      </c>
      <c r="C11" s="472"/>
      <c r="D11">
        <f t="shared" si="1"/>
        <v>2.8005691151229146</v>
      </c>
      <c r="E11">
        <f t="shared" si="2"/>
        <v>-20.589172094719999</v>
      </c>
      <c r="F11">
        <f t="shared" si="3"/>
        <v>-18515.56462724779</v>
      </c>
      <c r="G11">
        <f t="shared" si="4"/>
        <v>-7.8431873685803453</v>
      </c>
      <c r="H11">
        <f t="shared" si="0"/>
        <v>-8370.9795758958899</v>
      </c>
      <c r="I11">
        <f t="shared" si="5"/>
        <v>-7527908.9716588948</v>
      </c>
      <c r="K11">
        <f t="shared" si="6"/>
        <v>39.71393952444263</v>
      </c>
      <c r="L11">
        <f t="shared" si="7"/>
        <v>59.504862986758184</v>
      </c>
      <c r="M11" s="1"/>
    </row>
    <row r="12" spans="1:13">
      <c r="A12" s="472">
        <v>17</v>
      </c>
      <c r="B12" s="472">
        <v>18</v>
      </c>
      <c r="C12" s="472"/>
      <c r="D12">
        <f t="shared" si="1"/>
        <v>1.3146186741192336</v>
      </c>
      <c r="E12">
        <f t="shared" si="2"/>
        <v>-0.62072254848703323</v>
      </c>
      <c r="F12">
        <f t="shared" si="3"/>
        <v>-148.27384370781121</v>
      </c>
      <c r="G12">
        <f t="shared" si="4"/>
        <v>-1.7282222583430118</v>
      </c>
      <c r="H12">
        <f t="shared" si="0"/>
        <v>-423.37788092904464</v>
      </c>
      <c r="I12">
        <f t="shared" si="5"/>
        <v>-101133.53526342672</v>
      </c>
      <c r="K12">
        <f t="shared" si="6"/>
        <v>17.985406421975124</v>
      </c>
      <c r="L12">
        <f t="shared" si="7"/>
        <v>2.1297251956813195E-4</v>
      </c>
      <c r="M12" s="1"/>
    </row>
    <row r="13" spans="1:13">
      <c r="A13" s="472">
        <v>41</v>
      </c>
      <c r="B13" s="472">
        <v>36</v>
      </c>
      <c r="C13" s="472"/>
      <c r="D13">
        <f t="shared" si="1"/>
        <v>1.9342702748071079</v>
      </c>
      <c r="E13">
        <f t="shared" si="2"/>
        <v>17.061981806079626</v>
      </c>
      <c r="F13">
        <f t="shared" si="3"/>
        <v>9829.5001548537784</v>
      </c>
      <c r="G13">
        <f t="shared" si="4"/>
        <v>-3.7414014960023647</v>
      </c>
      <c r="H13">
        <f t="shared" si="0"/>
        <v>-1455.900417516762</v>
      </c>
      <c r="I13">
        <f t="shared" si="5"/>
        <v>-838752.11813515075</v>
      </c>
      <c r="K13">
        <f t="shared" si="6"/>
        <v>26.952026764955445</v>
      </c>
      <c r="L13">
        <f t="shared" si="7"/>
        <v>81.865819662082629</v>
      </c>
      <c r="M13" s="1"/>
    </row>
    <row r="14" spans="1:13">
      <c r="A14" s="474">
        <v>103</v>
      </c>
      <c r="B14" s="474">
        <v>76</v>
      </c>
      <c r="C14" s="406"/>
      <c r="D14" s="415">
        <f t="shared" si="1"/>
        <v>5.2455013861666631</v>
      </c>
      <c r="E14" s="415">
        <f t="shared" si="2"/>
        <v>12.031162961821153</v>
      </c>
      <c r="F14" s="415">
        <f t="shared" si="3"/>
        <v>17412.572459036503</v>
      </c>
      <c r="G14" s="415">
        <f t="shared" si="4"/>
        <v>-27.515284792276383</v>
      </c>
      <c r="H14" s="415">
        <f t="shared" si="0"/>
        <v>-38583.365280777478</v>
      </c>
      <c r="I14" s="415">
        <f t="shared" si="5"/>
        <v>-55841288.643248126</v>
      </c>
      <c r="K14" s="415">
        <f t="shared" si="6"/>
        <v>76.631729353392316</v>
      </c>
      <c r="L14" s="415">
        <f t="shared" si="7"/>
        <v>0.39908197593747402</v>
      </c>
      <c r="M14" s="1"/>
    </row>
    <row r="15" spans="1:13">
      <c r="E15">
        <f>SUM(E4:E14)</f>
        <v>31.466771023029001</v>
      </c>
      <c r="F15">
        <f>SUM(F4:F14)</f>
        <v>45710.043670361963</v>
      </c>
      <c r="G15">
        <f>SUM(G4:G14)</f>
        <v>-98.920438467833435</v>
      </c>
      <c r="H15">
        <f>SUM(H4:H14)</f>
        <v>-109434.30506968067</v>
      </c>
      <c r="I15">
        <f>SUM(I4:I14)</f>
        <v>-136567745.00345916</v>
      </c>
      <c r="L15">
        <f>SUM(L4:L14)</f>
        <v>299.16498707253658</v>
      </c>
      <c r="M15" s="1"/>
    </row>
    <row r="18" spans="1:21" ht="15" customHeight="1" thickBot="1">
      <c r="B18" s="470" t="s">
        <v>60</v>
      </c>
      <c r="D18" s="470" t="s">
        <v>63</v>
      </c>
      <c r="F18" s="739" t="s">
        <v>513</v>
      </c>
      <c r="G18" s="739"/>
      <c r="I18" s="739" t="s">
        <v>514</v>
      </c>
      <c r="J18" s="739"/>
      <c r="L18" s="739" t="s">
        <v>729</v>
      </c>
      <c r="M18" s="739"/>
      <c r="O18" t="s">
        <v>210</v>
      </c>
    </row>
    <row r="19" spans="1:21">
      <c r="A19" t="s">
        <v>18</v>
      </c>
      <c r="B19" s="462">
        <f>EXP('Exp Reg'!H19)</f>
        <v>14.051351650751313</v>
      </c>
      <c r="D19" s="462">
        <f>SUMPRODUCT(SUMPRODUCT($B$4:$B$14-B19*EXP(B20*$A$4:$A$14),EXP(B20*$A$4:$A$14)))</f>
        <v>31.466771023029001</v>
      </c>
      <c r="F19" s="411">
        <f>-SUMPRODUCT(EXP(2*B20*$A$4:$A$14))</f>
        <v>-98.920438467833435</v>
      </c>
      <c r="G19" s="412">
        <f>SUMPRODUCT(SUMPRODUCT($B$4:$B$14-2*B19*EXP(B20*$A$4:$A$14),EXP(B20*$A$4:$A$14),$A$4:$A$14))</f>
        <v>-109434.30506968067</v>
      </c>
      <c r="I19" s="411">
        <f t="array" ref="I19:J20">MINVERSE(F19:G20)</f>
        <v>-8.9057745334146413E-2</v>
      </c>
      <c r="J19" s="412">
        <v>7.1363647920437233E-5</v>
      </c>
      <c r="L19" s="411">
        <f t="array" ref="L19:M20">MINVERSE(MMULT(TRANSPOSE(F19:G20),F19:G20))</f>
        <v>7.9312870135182113E-3</v>
      </c>
      <c r="M19" s="412">
        <v>-6.3554901193851508E-6</v>
      </c>
      <c r="O19" s="473"/>
      <c r="P19" s="473" t="s">
        <v>26</v>
      </c>
      <c r="Q19" s="473" t="s">
        <v>137</v>
      </c>
      <c r="R19" s="473" t="s">
        <v>156</v>
      </c>
      <c r="S19" s="473" t="s">
        <v>63</v>
      </c>
      <c r="T19" s="473" t="s">
        <v>213</v>
      </c>
    </row>
    <row r="20" spans="1:21">
      <c r="A20" t="s">
        <v>19</v>
      </c>
      <c r="B20" s="289">
        <f>'Exp Reg'!H20</f>
        <v>1.6090978936384667E-2</v>
      </c>
      <c r="D20" s="289">
        <f>B19*SUMPRODUCT(SUMPRODUCT($B$4:$B$14-B19*EXP(B20*$A$4:$A$14),EXP(B20*$A$4:$A$14),$A$4:$A$14))</f>
        <v>45710.043670361949</v>
      </c>
      <c r="F20" s="284">
        <f>G19</f>
        <v>-109434.30506968067</v>
      </c>
      <c r="G20" s="288">
        <f>B19*SUMPRODUCT(SUMPRODUCT($B$4:$B$14-2*B19*EXP(B20*$A$4:$A$14),EXP(B20*$A$4:$A$14),$A$4:$A$14^2))</f>
        <v>-136567745.00345916</v>
      </c>
      <c r="I20" s="284">
        <v>7.136364792043722E-5</v>
      </c>
      <c r="J20" s="288">
        <v>-6.4507407786423284E-8</v>
      </c>
      <c r="L20" s="284">
        <v>-6.3554901193851508E-6</v>
      </c>
      <c r="M20" s="288">
        <v>5.0927743522595784E-9</v>
      </c>
      <c r="O20" s="16" t="s">
        <v>138</v>
      </c>
      <c r="P20" s="16">
        <v>1</v>
      </c>
      <c r="Q20" s="16">
        <f>DEVSQ(K4:K14)</f>
        <v>4333.0059138129564</v>
      </c>
      <c r="R20" s="16">
        <f>Q20/P20</f>
        <v>4333.0059138129564</v>
      </c>
      <c r="S20" s="16">
        <f>R20/R21</f>
        <v>130.35299887837891</v>
      </c>
      <c r="T20" s="16">
        <f>FDIST(S20,P20,P21)</f>
        <v>1.1753122335270968E-6</v>
      </c>
    </row>
    <row r="21" spans="1:21">
      <c r="O21" s="16" t="s">
        <v>211</v>
      </c>
      <c r="P21" s="16">
        <v>9</v>
      </c>
      <c r="Q21" s="16">
        <f>SUMPRODUCT((B4:B14-B31*EXP(B32*A4:A14))^2)</f>
        <v>299.16498707253658</v>
      </c>
      <c r="R21" s="16">
        <f>Q21/P21</f>
        <v>33.240554119170731</v>
      </c>
      <c r="S21" s="16"/>
      <c r="T21" s="16"/>
    </row>
    <row r="22" spans="1:21" ht="15.75" thickBot="1">
      <c r="A22" t="s">
        <v>18</v>
      </c>
      <c r="B22" s="462">
        <f t="array" ref="B22:B23">B19:B20-MMULT(I19:J20,D19:D20)</f>
        <v>13.591675868088608</v>
      </c>
      <c r="D22" s="462">
        <f>SUMPRODUCT(SUMPRODUCT($B$4:$B$14-B22*EXP(B23*$A$4:$A$14),EXP(B23*$A$4:$A$14)))</f>
        <v>-2.2474664483722337</v>
      </c>
      <c r="F22" s="411">
        <f>-SUMPRODUCT(EXP(2*B23*$A$4:$A$14))</f>
        <v>-110.93721400042701</v>
      </c>
      <c r="G22" s="412">
        <f>SUMPRODUCT(SUMPRODUCT($B$4:$B$14-2*B22*EXP(B23*$A$4:$A$14),EXP(B23*$A$4:$A$14),$A$4:$A$14))</f>
        <v>-123761.05340297079</v>
      </c>
      <c r="I22" s="411">
        <f t="array" ref="I22:J23">MINVERSE(F22:G23)</f>
        <v>-0.1065929301789774</v>
      </c>
      <c r="J22" s="412">
        <v>8.7467926367358631E-5</v>
      </c>
      <c r="L22" s="411">
        <f t="array" ref="L22:M23">MINVERSE(MMULT(TRANSPOSE(F22:G23),F22:G23))</f>
        <v>1.1362059961978449E-2</v>
      </c>
      <c r="M22" s="412">
        <v>-9.3234690545139224E-6</v>
      </c>
      <c r="O22" s="17" t="s">
        <v>1</v>
      </c>
      <c r="P22" s="17">
        <f>COUNT(A4:A14)-1</f>
        <v>10</v>
      </c>
      <c r="Q22" s="17">
        <f>DEVSQ(B4:B14)</f>
        <v>4542.545454545454</v>
      </c>
      <c r="R22" s="17"/>
      <c r="S22" s="17"/>
      <c r="T22" s="17"/>
    </row>
    <row r="23" spans="1:21" ht="15.75" thickBot="1">
      <c r="A23" t="s">
        <v>19</v>
      </c>
      <c r="B23" s="289">
        <v>1.6794031794883462E-2</v>
      </c>
      <c r="D23" s="289">
        <f>B22*SUMPRODUCT(SUMPRODUCT($B$4:$B$14-B22*EXP(B23*$A$4:$A$14),EXP(B23*$A$4:$A$14),$A$4:$A$14))</f>
        <v>-1730.7024143965166</v>
      </c>
      <c r="F23" s="284">
        <f>G22</f>
        <v>-123761.05340297079</v>
      </c>
      <c r="G23" s="288">
        <f>B22*SUMPRODUCT(SUMPRODUCT($B$4:$B$14-2*B22*EXP(B23*$A$4:$A$14),EXP(B23*$A$4:$A$14),$A$4:$A$14^2))</f>
        <v>-150821608.2413334</v>
      </c>
      <c r="I23" s="284">
        <v>8.7467926367358631E-5</v>
      </c>
      <c r="J23" s="288">
        <v>-7.8404698398893328E-8</v>
      </c>
      <c r="L23" s="284">
        <v>-9.3234690545139224E-6</v>
      </c>
      <c r="M23" s="288">
        <v>7.6506439854094563E-9</v>
      </c>
    </row>
    <row r="24" spans="1:21">
      <c r="O24" s="473"/>
      <c r="P24" s="473" t="s">
        <v>214</v>
      </c>
      <c r="Q24" s="473" t="s">
        <v>9</v>
      </c>
      <c r="R24" s="473" t="s">
        <v>45</v>
      </c>
      <c r="S24" s="473" t="s">
        <v>56</v>
      </c>
      <c r="T24" s="473" t="s">
        <v>215</v>
      </c>
      <c r="U24" s="473" t="s">
        <v>216</v>
      </c>
    </row>
    <row r="25" spans="1:21">
      <c r="A25" t="s">
        <v>18</v>
      </c>
      <c r="B25" s="462">
        <f t="array" ref="B25:B26">B22:B23-MMULT(I22:J23,D22:D23)</f>
        <v>13.503492785223916</v>
      </c>
      <c r="D25" s="462">
        <f>SUMPRODUCT(SUMPRODUCT($B$4:$B$14-B25*EXP(B26*$A$4:$A$14),EXP(B26*$A$4:$A$14)))</f>
        <v>3.6187446445770988E-2</v>
      </c>
      <c r="F25" s="411">
        <f>-SUMPRODUCT(EXP(2*B26*$A$4:$A$14))</f>
        <v>-112.05097021702277</v>
      </c>
      <c r="G25" s="412">
        <f>SUMPRODUCT(SUMPRODUCT($B$4:$B$14-2*B25*EXP(B26*$A$4:$A$14),EXP(B26*$A$4:$A$14),$A$4:$A$14))</f>
        <v>-124181.14752074688</v>
      </c>
      <c r="I25" s="411">
        <f t="array" ref="I25:J26">MINVERSE(F25:G26)</f>
        <v>-0.10456456285232282</v>
      </c>
      <c r="J25" s="412">
        <v>8.6297807129952803E-5</v>
      </c>
      <c r="L25" s="411">
        <f t="array" ref="L25:M26">MINVERSE(MMULT(TRANSPOSE(F25:G26),F25:G26))</f>
        <v>1.0933755634159197E-2</v>
      </c>
      <c r="M25" s="412">
        <v>-9.0236995130621391E-6</v>
      </c>
      <c r="O25" s="16" t="s">
        <v>212</v>
      </c>
      <c r="P25" s="16">
        <f>B31</f>
        <v>13.504748744042464</v>
      </c>
      <c r="Q25" s="16">
        <f>SQRT(L31*R21)</f>
        <v>0.6030423848812223</v>
      </c>
      <c r="R25" s="16">
        <f>P25/Q25</f>
        <v>22.394360798872231</v>
      </c>
      <c r="S25" s="16">
        <f>TDIST(ABS(R25),P21,2)</f>
        <v>3.3420875597703758E-9</v>
      </c>
      <c r="T25" s="16">
        <f>P25-Q25*TINV(0.05,P21)</f>
        <v>12.140572093612494</v>
      </c>
      <c r="U25" s="16">
        <f>P25+Q25*TINV(0.05,P21)</f>
        <v>14.868925394472434</v>
      </c>
    </row>
    <row r="26" spans="1:21" ht="15.75" thickBot="1">
      <c r="A26" t="s">
        <v>19</v>
      </c>
      <c r="B26" s="289">
        <v>1.6854917823883798E-2</v>
      </c>
      <c r="D26" s="289">
        <f>B25*SUMPRODUCT(SUMPRODUCT($B$4:$B$14-B25*EXP(B26*$A$4:$A$14),EXP(B26*$A$4:$A$14),$A$4:$A$14))</f>
        <v>29.296880182897066</v>
      </c>
      <c r="F26" s="284">
        <f>G25</f>
        <v>-124181.14752074688</v>
      </c>
      <c r="G26" s="288">
        <f>B25*SUMPRODUCT(SUMPRODUCT($B$4:$B$14-2*B25*EXP(B26*$A$4:$A$14),EXP(B26*$A$4:$A$14),$A$4:$A$14^2))</f>
        <v>-150466713.31350449</v>
      </c>
      <c r="I26" s="284">
        <v>8.6297807129952789E-5</v>
      </c>
      <c r="J26" s="288">
        <v>-7.7868124184447518E-8</v>
      </c>
      <c r="L26" s="284">
        <v>-9.0236995130621391E-6</v>
      </c>
      <c r="M26" s="288">
        <v>7.4473178393138721E-9</v>
      </c>
      <c r="O26" s="17" t="s">
        <v>4</v>
      </c>
      <c r="P26" s="17">
        <f>B32</f>
        <v>1.68540760183934E-2</v>
      </c>
      <c r="Q26" s="17">
        <f>SQRT(M32*R21)</f>
        <v>4.9765375578626194E-4</v>
      </c>
      <c r="R26" s="17">
        <f>P26/Q26</f>
        <v>33.867072884369193</v>
      </c>
      <c r="S26" s="17">
        <f>TDIST(ABS(R26),P21,2)</f>
        <v>8.4136531463416513E-11</v>
      </c>
      <c r="T26" s="17">
        <f>P26-Q26*TINV(0.05,P21)</f>
        <v>1.5728305010148078E-2</v>
      </c>
      <c r="U26" s="17">
        <f>P26+Q26*TINV(0.05,P21)</f>
        <v>1.7979847026638723E-2</v>
      </c>
    </row>
    <row r="28" spans="1:21">
      <c r="A28" t="s">
        <v>18</v>
      </c>
      <c r="B28" s="462">
        <f t="array" ref="B28:B29">B25:B26-MMULT(I25:J26,D25:D26)</f>
        <v>13.504748453226727</v>
      </c>
      <c r="D28" s="462">
        <f>SUMPRODUCT(SUMPRODUCT($B$4:$B$14-B28*EXP(B29*$A$4:$A$14),EXP(B29*$A$4:$A$14)))</f>
        <v>7.5824589811368526E-6</v>
      </c>
      <c r="F28" s="411">
        <f>-SUMPRODUCT(EXP(2*B29*$A$4:$A$14))</f>
        <v>-112.03549195640883</v>
      </c>
      <c r="G28" s="412">
        <f>SUMPRODUCT(SUMPRODUCT($B$4:$B$14-2*B28*EXP(B29*$A$4:$A$14),EXP(B29*$A$4:$A$14),$A$4:$A$14))</f>
        <v>-124176.07223745601</v>
      </c>
      <c r="I28" s="411">
        <f t="array" ref="I28:J29">MINVERSE(F28:G29)</f>
        <v>-0.10459562941701191</v>
      </c>
      <c r="J28" s="412">
        <v>8.6316329749332255E-5</v>
      </c>
      <c r="L28" s="411">
        <f t="array" ref="L28:M29">MINVERSE(MMULT(TRANSPOSE(F28:G29),F28:G29))</f>
        <v>1.0940253019564031E-2</v>
      </c>
      <c r="M28" s="412">
        <v>-9.0283174587769148E-6</v>
      </c>
    </row>
    <row r="29" spans="1:21">
      <c r="A29" t="s">
        <v>19</v>
      </c>
      <c r="B29" s="289">
        <v>1.6854076219714194E-2</v>
      </c>
      <c r="D29" s="289">
        <f>B28*SUMPRODUCT(SUMPRODUCT($B$4:$B$14-B28*EXP(B29*$A$4:$A$14),EXP(B29*$A$4:$A$14),$A$4:$A$14))</f>
        <v>5.8190186505626728E-3</v>
      </c>
      <c r="F29" s="284">
        <f>G28</f>
        <v>-124176.07223745601</v>
      </c>
      <c r="G29" s="288">
        <f>B28*SUMPRODUCT(SUMPRODUCT($B$4:$B$14-2*B28*EXP(B29*$A$4:$A$14),EXP(B29*$A$4:$A$14),$A$4:$A$14^2))</f>
        <v>-150472969.27392265</v>
      </c>
      <c r="I29" s="284">
        <v>8.6316329749332269E-5</v>
      </c>
      <c r="J29" s="288">
        <v>-7.7877261642207712E-8</v>
      </c>
      <c r="L29" s="284">
        <v>-9.0283174587769148E-6</v>
      </c>
      <c r="M29" s="288">
        <v>7.4505147617587273E-9</v>
      </c>
    </row>
    <row r="31" spans="1:21">
      <c r="A31" t="s">
        <v>18</v>
      </c>
      <c r="B31" s="462">
        <f t="array" ref="B31:B32">B28:B29-MMULT(I28:J29,D28:D29)</f>
        <v>13.504748744042464</v>
      </c>
      <c r="D31" s="462">
        <f>SUMPRODUCT(SUMPRODUCT($B$4:$B$14-B31*EXP(B32*$A$4:$A$14),EXP(B32*$A$4:$A$14)))</f>
        <v>2.8288482667448989E-13</v>
      </c>
      <c r="F31" s="411">
        <f>-SUMPRODUCT(EXP(2*B32*$A$4:$A$14))</f>
        <v>-112.0354882541222</v>
      </c>
      <c r="G31" s="412">
        <f>SUMPRODUCT(SUMPRODUCT($B$4:$B$14-2*B31*EXP(B32*$A$4:$A$14),EXP(B32*$A$4:$A$14),$A$4:$A$14))</f>
        <v>-124176.07084748978</v>
      </c>
      <c r="I31" s="411">
        <f t="array" ref="I31:J32">MINVERSE(F31:G32)</f>
        <v>-0.10459563605867796</v>
      </c>
      <c r="J31" s="412">
        <v>8.6316333589332012E-5</v>
      </c>
      <c r="L31" s="411">
        <f t="array" ref="L31:M32">MINVERSE(MMULT(TRANSPOSE(F31:G32),F31:G32))</f>
        <v>1.094025438503444E-2</v>
      </c>
      <c r="M31" s="412">
        <v>-9.0283184139783749E-6</v>
      </c>
    </row>
    <row r="32" spans="1:21">
      <c r="A32" t="s">
        <v>19</v>
      </c>
      <c r="B32" s="289">
        <v>1.68540760183934E-2</v>
      </c>
      <c r="D32" s="289">
        <f>B31*SUMPRODUCT(SUMPRODUCT($B$4:$B$14-B31*EXP(B32*$A$4:$A$14),EXP(B32*$A$4:$A$14),$A$4:$A$14))</f>
        <v>1.4969293744617746E-10</v>
      </c>
      <c r="F32" s="284">
        <f>G31</f>
        <v>-124176.07084748978</v>
      </c>
      <c r="G32" s="288">
        <f>B31*SUMPRODUCT(SUMPRODUCT($B$4:$B$14-2*B31*EXP(B32*$A$4:$A$14),EXP(B32*$A$4:$A$14),$A$4:$A$14^2))</f>
        <v>-150472970.45024043</v>
      </c>
      <c r="I32" s="284">
        <v>8.6316333589331998E-5</v>
      </c>
      <c r="J32" s="288">
        <v>-7.7877263404988691E-8</v>
      </c>
      <c r="L32" s="284">
        <v>-9.0283184139783766E-6</v>
      </c>
      <c r="M32" s="288">
        <v>7.4505154083860673E-9</v>
      </c>
    </row>
  </sheetData>
  <mergeCells count="3">
    <mergeCell ref="F18:G18"/>
    <mergeCell ref="I18:J18"/>
    <mergeCell ref="L18:M18"/>
  </mergeCells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27"/>
  <dimension ref="A1:Q18"/>
  <sheetViews>
    <sheetView workbookViewId="0"/>
  </sheetViews>
  <sheetFormatPr defaultRowHeight="15"/>
  <cols>
    <col min="8" max="8" width="12.85546875" customWidth="1"/>
    <col min="9" max="10" width="9.85546875" customWidth="1"/>
    <col min="12" max="12" width="9.28515625" customWidth="1"/>
    <col min="13" max="14" width="10.7109375" customWidth="1"/>
  </cols>
  <sheetData>
    <row r="1" spans="1:17">
      <c r="A1" s="1" t="s">
        <v>269</v>
      </c>
      <c r="G1" s="1"/>
    </row>
    <row r="2" spans="1:17">
      <c r="G2" s="1"/>
    </row>
    <row r="3" spans="1:17" ht="15.75" thickBot="1">
      <c r="A3" s="309" t="s">
        <v>4</v>
      </c>
      <c r="B3" s="309" t="s">
        <v>65</v>
      </c>
      <c r="C3" s="309" t="s">
        <v>720</v>
      </c>
      <c r="D3" s="309" t="s">
        <v>721</v>
      </c>
      <c r="E3" s="309" t="s">
        <v>722</v>
      </c>
      <c r="G3" s="1"/>
      <c r="H3" t="s">
        <v>210</v>
      </c>
    </row>
    <row r="4" spans="1:17">
      <c r="A4" s="476">
        <v>45</v>
      </c>
      <c r="B4" s="476">
        <v>33</v>
      </c>
      <c r="C4" t="e">
        <f t="array" aca="1" ref="C4:C14" ca="1">ExpPred(A4:A14,A4:A14,B4:B14)</f>
        <v>#NAME?</v>
      </c>
      <c r="D4" t="e">
        <f ca="1">B4-C4</f>
        <v>#NAME?</v>
      </c>
      <c r="E4" t="e">
        <f ca="1">D4^2</f>
        <v>#NAME?</v>
      </c>
      <c r="G4" s="1"/>
      <c r="H4" s="477"/>
      <c r="I4" s="477" t="s">
        <v>26</v>
      </c>
      <c r="J4" s="477" t="s">
        <v>137</v>
      </c>
      <c r="K4" s="477" t="s">
        <v>156</v>
      </c>
      <c r="L4" s="477" t="s">
        <v>63</v>
      </c>
      <c r="M4" s="477" t="s">
        <v>286</v>
      </c>
    </row>
    <row r="5" spans="1:17">
      <c r="A5" s="476">
        <v>99</v>
      </c>
      <c r="B5" s="476">
        <v>72</v>
      </c>
      <c r="C5" t="e">
        <f ca="1"/>
        <v>#NAME?</v>
      </c>
      <c r="D5" t="e">
        <f t="shared" ref="D5:D14" ca="1" si="0">B5-C5</f>
        <v>#NAME?</v>
      </c>
      <c r="E5" t="e">
        <f t="shared" ref="E5:E14" ca="1" si="1">D5^2</f>
        <v>#NAME?</v>
      </c>
      <c r="G5" s="1"/>
      <c r="H5" s="16" t="s">
        <v>138</v>
      </c>
      <c r="I5" s="16">
        <v>1</v>
      </c>
      <c r="J5" s="16" t="e">
        <f ca="1">DEVSQ(C4:C14)</f>
        <v>#NAME?</v>
      </c>
      <c r="K5" s="16" t="e">
        <f ca="1">J5/I5</f>
        <v>#NAME?</v>
      </c>
      <c r="L5" s="16" t="e">
        <f ca="1">K5/K6</f>
        <v>#NAME?</v>
      </c>
      <c r="M5" s="16" t="e">
        <f ca="1">FDIST(L5,I5,I6)</f>
        <v>#NAME?</v>
      </c>
    </row>
    <row r="6" spans="1:17">
      <c r="A6" s="476">
        <v>31</v>
      </c>
      <c r="B6" s="476">
        <v>19</v>
      </c>
      <c r="C6" t="e">
        <f ca="1"/>
        <v>#NAME?</v>
      </c>
      <c r="D6" t="e">
        <f t="shared" ca="1" si="0"/>
        <v>#NAME?</v>
      </c>
      <c r="E6" t="e">
        <f t="shared" ca="1" si="1"/>
        <v>#NAME?</v>
      </c>
      <c r="G6" s="1"/>
      <c r="H6" s="16" t="s">
        <v>211</v>
      </c>
      <c r="I6" s="16">
        <v>9</v>
      </c>
      <c r="J6" s="16" t="e">
        <f ca="1">E15</f>
        <v>#NAME?</v>
      </c>
      <c r="K6" s="16" t="e">
        <f ca="1">J6/I6</f>
        <v>#NAME?</v>
      </c>
      <c r="L6" s="16"/>
      <c r="M6" s="16"/>
    </row>
    <row r="7" spans="1:17" ht="15.75" thickBot="1">
      <c r="A7" s="476">
        <v>57</v>
      </c>
      <c r="B7" s="476">
        <v>27</v>
      </c>
      <c r="C7" t="e">
        <f ca="1"/>
        <v>#NAME?</v>
      </c>
      <c r="D7" t="e">
        <f t="shared" ca="1" si="0"/>
        <v>#NAME?</v>
      </c>
      <c r="E7" t="e">
        <f t="shared" ca="1" si="1"/>
        <v>#NAME?</v>
      </c>
      <c r="G7" s="1"/>
      <c r="H7" s="17" t="s">
        <v>1</v>
      </c>
      <c r="I7" s="17">
        <f>COUNT(A4:A14)-1</f>
        <v>10</v>
      </c>
      <c r="J7" s="17">
        <f>DEVSQ(B4:B14)</f>
        <v>4542.545454545454</v>
      </c>
      <c r="K7" s="17"/>
      <c r="L7" s="17"/>
      <c r="M7" s="17"/>
    </row>
    <row r="8" spans="1:17" ht="15.75" thickBot="1">
      <c r="A8" s="476">
        <v>37</v>
      </c>
      <c r="B8" s="476">
        <v>23</v>
      </c>
      <c r="C8" t="e">
        <f ca="1"/>
        <v>#NAME?</v>
      </c>
      <c r="D8" t="e">
        <f t="shared" ca="1" si="0"/>
        <v>#NAME?</v>
      </c>
      <c r="E8" t="e">
        <f t="shared" ca="1" si="1"/>
        <v>#NAME?</v>
      </c>
      <c r="G8" s="1"/>
    </row>
    <row r="9" spans="1:17">
      <c r="A9" s="476">
        <v>85</v>
      </c>
      <c r="B9" s="476">
        <v>62</v>
      </c>
      <c r="C9" t="e">
        <f ca="1"/>
        <v>#NAME?</v>
      </c>
      <c r="D9" t="e">
        <f t="shared" ca="1" si="0"/>
        <v>#NAME?</v>
      </c>
      <c r="E9" t="e">
        <f t="shared" ca="1" si="1"/>
        <v>#NAME?</v>
      </c>
      <c r="G9" s="1"/>
      <c r="H9" s="477"/>
      <c r="I9" s="477" t="s">
        <v>532</v>
      </c>
      <c r="J9" s="477" t="s">
        <v>735</v>
      </c>
      <c r="K9" s="477" t="s">
        <v>45</v>
      </c>
      <c r="L9" s="477" t="s">
        <v>56</v>
      </c>
      <c r="M9" s="477" t="s">
        <v>215</v>
      </c>
      <c r="N9" s="477" t="s">
        <v>216</v>
      </c>
    </row>
    <row r="10" spans="1:17">
      <c r="A10" s="476">
        <v>21</v>
      </c>
      <c r="B10" s="476">
        <v>24</v>
      </c>
      <c r="C10" t="e">
        <f ca="1"/>
        <v>#NAME?</v>
      </c>
      <c r="D10" t="e">
        <f t="shared" ca="1" si="0"/>
        <v>#NAME?</v>
      </c>
      <c r="E10" t="e">
        <f t="shared" ca="1" si="1"/>
        <v>#NAME?</v>
      </c>
      <c r="G10" s="1"/>
      <c r="H10" s="16" t="s">
        <v>212</v>
      </c>
      <c r="I10" s="16" t="e">
        <f t="array" aca="1" ref="I10:J11" ca="1">ExpCoeff(A4:A14,B4:B14)</f>
        <v>#NAME?</v>
      </c>
      <c r="J10" s="16" t="e">
        <f ca="1"/>
        <v>#NAME?</v>
      </c>
      <c r="K10" s="16" t="e">
        <f ca="1">I10/J10</f>
        <v>#NAME?</v>
      </c>
      <c r="L10" s="16" t="e">
        <f ca="1">TDIST(ABS(K10),I6,2)</f>
        <v>#NAME?</v>
      </c>
      <c r="M10" s="16" t="e">
        <f ca="1">I10-J10*TINV(0.05,I6)</f>
        <v>#NAME?</v>
      </c>
      <c r="N10" s="16" t="e">
        <f ca="1">I10+J10*TINV(0.05,I6)</f>
        <v>#NAME?</v>
      </c>
    </row>
    <row r="11" spans="1:17" ht="15.75" thickBot="1">
      <c r="A11" s="476">
        <v>64</v>
      </c>
      <c r="B11" s="476">
        <v>32</v>
      </c>
      <c r="C11" t="e">
        <f ca="1"/>
        <v>#NAME?</v>
      </c>
      <c r="D11" t="e">
        <f t="shared" ca="1" si="0"/>
        <v>#NAME?</v>
      </c>
      <c r="E11" t="e">
        <f t="shared" ca="1" si="1"/>
        <v>#NAME?</v>
      </c>
      <c r="G11" s="1"/>
      <c r="H11" s="17" t="s">
        <v>4</v>
      </c>
      <c r="I11" s="17" t="e">
        <f ca="1"/>
        <v>#NAME?</v>
      </c>
      <c r="J11" s="17" t="e">
        <f ca="1"/>
        <v>#NAME?</v>
      </c>
      <c r="K11" s="17" t="e">
        <f ca="1">I11/J11</f>
        <v>#NAME?</v>
      </c>
      <c r="L11" s="17" t="e">
        <f ca="1">TDIST(ABS(K11),I6,2)</f>
        <v>#NAME?</v>
      </c>
      <c r="M11" s="17" t="e">
        <f ca="1">I11-J11*TINV(0.05,I6)</f>
        <v>#NAME?</v>
      </c>
      <c r="N11" s="17" t="e">
        <f ca="1">I11+J11*TINV(0.05,I6)</f>
        <v>#NAME?</v>
      </c>
    </row>
    <row r="12" spans="1:17">
      <c r="A12" s="476">
        <v>17</v>
      </c>
      <c r="B12" s="476">
        <v>18</v>
      </c>
      <c r="C12" t="e">
        <f ca="1"/>
        <v>#NAME?</v>
      </c>
      <c r="D12" t="e">
        <f t="shared" ca="1" si="0"/>
        <v>#NAME?</v>
      </c>
      <c r="E12" t="e">
        <f t="shared" ca="1" si="1"/>
        <v>#NAME?</v>
      </c>
      <c r="G12" s="1"/>
    </row>
    <row r="13" spans="1:17">
      <c r="A13" s="476">
        <v>41</v>
      </c>
      <c r="B13" s="476">
        <v>36</v>
      </c>
      <c r="C13" t="e">
        <f ca="1"/>
        <v>#NAME?</v>
      </c>
      <c r="D13" t="e">
        <f t="shared" ca="1" si="0"/>
        <v>#NAME?</v>
      </c>
      <c r="E13" t="e">
        <f t="shared" ca="1" si="1"/>
        <v>#NAME?</v>
      </c>
      <c r="G13" s="1"/>
    </row>
    <row r="14" spans="1:17">
      <c r="A14" s="478">
        <v>103</v>
      </c>
      <c r="B14" s="478">
        <v>76</v>
      </c>
      <c r="C14" s="380" t="e">
        <f ca="1"/>
        <v>#NAME?</v>
      </c>
      <c r="D14" s="380" t="e">
        <f t="shared" ca="1" si="0"/>
        <v>#NAME?</v>
      </c>
      <c r="E14" s="380" t="e">
        <f t="shared" ca="1" si="1"/>
        <v>#NAME?</v>
      </c>
      <c r="G14" s="1"/>
      <c r="I14" s="475" t="e">
        <f t="array" aca="1" ref="I14:L16" ca="1">ExpCoeff(A4:A14,B4:B14,,TRUE)</f>
        <v>#NAME?</v>
      </c>
      <c r="J14" s="475" t="e">
        <f ca="1"/>
        <v>#NAME?</v>
      </c>
      <c r="K14" s="475" t="e">
        <f ca="1"/>
        <v>#NAME?</v>
      </c>
      <c r="L14" s="475" t="e">
        <f ca="1"/>
        <v>#NAME?</v>
      </c>
      <c r="N14" s="11" t="s">
        <v>4</v>
      </c>
      <c r="O14" s="475" t="s">
        <v>720</v>
      </c>
      <c r="P14" s="11" t="s">
        <v>4</v>
      </c>
      <c r="Q14" s="475" t="s">
        <v>720</v>
      </c>
    </row>
    <row r="15" spans="1:17">
      <c r="E15" t="e">
        <f ca="1">SUM(E4:E14)</f>
        <v>#NAME?</v>
      </c>
      <c r="G15" s="1"/>
      <c r="H15" t="s">
        <v>53</v>
      </c>
      <c r="I15" s="411" t="e">
        <f ca="1"/>
        <v>#NAME?</v>
      </c>
      <c r="J15" s="409" t="e">
        <f ca="1"/>
        <v>#NAME?</v>
      </c>
      <c r="K15" s="409" t="e">
        <f ca="1"/>
        <v>#NAME?</v>
      </c>
      <c r="L15" s="412" t="e">
        <f ca="1"/>
        <v>#NAME?</v>
      </c>
      <c r="N15">
        <v>45</v>
      </c>
      <c r="O15" s="462" t="e">
        <f t="array" aca="1" ref="O15:O16" ca="1">ExpPred(N15:N16,A4:A14,B4:B14)</f>
        <v>#NAME?</v>
      </c>
      <c r="P15">
        <v>45</v>
      </c>
      <c r="Q15" s="462" t="e">
        <f t="array" aca="1" ref="Q15:Q16" ca="1">ExpPredC(P15:P16,B16,B17)</f>
        <v>#NAME?</v>
      </c>
    </row>
    <row r="16" spans="1:17">
      <c r="A16" s="27" t="s">
        <v>21</v>
      </c>
      <c r="B16" s="462" t="e">
        <f t="array" aca="1" ref="B16:B17" ca="1">ExpCoeff(A4:A14,B4:B14)</f>
        <v>#NAME?</v>
      </c>
      <c r="G16" s="1"/>
      <c r="H16" t="s">
        <v>469</v>
      </c>
      <c r="I16" s="284" t="e">
        <f ca="1"/>
        <v>#NAME?</v>
      </c>
      <c r="J16" s="380" t="e">
        <f ca="1"/>
        <v>#NAME?</v>
      </c>
      <c r="K16" s="380" t="e">
        <f ca="1"/>
        <v>#NAME?</v>
      </c>
      <c r="L16" s="288" t="e">
        <f ca="1"/>
        <v>#NAME?</v>
      </c>
      <c r="N16">
        <v>50</v>
      </c>
      <c r="O16" s="289" t="e">
        <f ca="1"/>
        <v>#NAME?</v>
      </c>
      <c r="P16">
        <v>50</v>
      </c>
      <c r="Q16" s="289" t="e">
        <f ca="1"/>
        <v>#NAME?</v>
      </c>
    </row>
    <row r="17" spans="1:7">
      <c r="A17" s="27" t="s">
        <v>507</v>
      </c>
      <c r="B17" s="289" t="e">
        <f ca="1"/>
        <v>#NAME?</v>
      </c>
      <c r="G17" s="1"/>
    </row>
    <row r="18" spans="1:7">
      <c r="G18" s="1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35"/>
  <dimension ref="A1:J14"/>
  <sheetViews>
    <sheetView workbookViewId="0"/>
  </sheetViews>
  <sheetFormatPr defaultRowHeight="15"/>
  <sheetData>
    <row r="1" spans="1:10">
      <c r="A1" s="1" t="s">
        <v>269</v>
      </c>
    </row>
    <row r="3" spans="1:10">
      <c r="A3" s="309" t="s">
        <v>4</v>
      </c>
      <c r="B3" s="309" t="s">
        <v>65</v>
      </c>
      <c r="D3" t="s">
        <v>736</v>
      </c>
    </row>
    <row r="4" spans="1:10">
      <c r="A4" s="480">
        <v>45</v>
      </c>
      <c r="B4" s="480">
        <v>33</v>
      </c>
    </row>
    <row r="5" spans="1:10" ht="15.75" thickBot="1">
      <c r="A5" s="480">
        <v>99</v>
      </c>
      <c r="B5" s="480">
        <v>72</v>
      </c>
      <c r="D5" t="s">
        <v>210</v>
      </c>
      <c r="H5" s="479" t="s">
        <v>16</v>
      </c>
      <c r="I5" s="479">
        <v>0.05</v>
      </c>
    </row>
    <row r="6" spans="1:10" ht="15.75" thickTop="1">
      <c r="A6" s="480">
        <v>31</v>
      </c>
      <c r="B6" s="480">
        <v>19</v>
      </c>
      <c r="D6" s="398"/>
      <c r="E6" s="398" t="s">
        <v>26</v>
      </c>
      <c r="F6" s="398" t="s">
        <v>137</v>
      </c>
      <c r="G6" s="398" t="s">
        <v>156</v>
      </c>
      <c r="H6" s="398" t="s">
        <v>63</v>
      </c>
      <c r="I6" s="398" t="s">
        <v>30</v>
      </c>
      <c r="J6" s="398" t="s">
        <v>374</v>
      </c>
    </row>
    <row r="7" spans="1:10">
      <c r="A7" s="480">
        <v>57</v>
      </c>
      <c r="B7" s="480">
        <v>27</v>
      </c>
      <c r="D7" t="s">
        <v>138</v>
      </c>
      <c r="E7">
        <v>1</v>
      </c>
      <c r="F7" t="e">
        <f ca="1">DEVSQ(ExpPredC(A4:A14,E12,E13))</f>
        <v>#NAME?</v>
      </c>
      <c r="G7" t="e">
        <f ca="1">F7/E7</f>
        <v>#NAME?</v>
      </c>
      <c r="H7" t="e">
        <f ca="1">G7/G8</f>
        <v>#NAME?</v>
      </c>
      <c r="I7" t="e">
        <f ca="1">FDIST(H7,E7,E8)</f>
        <v>#NAME?</v>
      </c>
      <c r="J7" s="479" t="e">
        <f ca="1">IF(I7&lt;I5,"yes","no")</f>
        <v>#NAME?</v>
      </c>
    </row>
    <row r="8" spans="1:10">
      <c r="A8" s="480">
        <v>37</v>
      </c>
      <c r="B8" s="480">
        <v>23</v>
      </c>
      <c r="D8" t="s">
        <v>211</v>
      </c>
      <c r="E8">
        <f>E9-E7</f>
        <v>9</v>
      </c>
      <c r="F8" t="e">
        <f t="array" aca="1" ref="F8" ca="1">SUMSQ(ExpPredC(A4:A14,E12,E13)-B4:B14)</f>
        <v>#NAME?</v>
      </c>
      <c r="G8" t="e">
        <f ca="1">F8/E8</f>
        <v>#NAME?</v>
      </c>
    </row>
    <row r="9" spans="1:10">
      <c r="A9" s="480">
        <v>85</v>
      </c>
      <c r="B9" s="480">
        <v>62</v>
      </c>
      <c r="D9" s="380" t="s">
        <v>1</v>
      </c>
      <c r="E9" s="380">
        <f>COUNT(B4:B14)-1</f>
        <v>10</v>
      </c>
      <c r="F9" s="380">
        <f>DEVSQ(B4:B14)</f>
        <v>4542.545454545454</v>
      </c>
      <c r="G9" s="380"/>
      <c r="H9" s="380"/>
      <c r="I9" s="380"/>
      <c r="J9" s="380"/>
    </row>
    <row r="10" spans="1:10" ht="15.75" thickBot="1">
      <c r="A10" s="480">
        <v>21</v>
      </c>
      <c r="B10" s="480">
        <v>24</v>
      </c>
    </row>
    <row r="11" spans="1:10" ht="15.75" thickTop="1">
      <c r="A11" s="480">
        <v>64</v>
      </c>
      <c r="B11" s="480">
        <v>32</v>
      </c>
      <c r="D11" s="398"/>
      <c r="E11" s="398" t="s">
        <v>600</v>
      </c>
      <c r="F11" s="398" t="s">
        <v>503</v>
      </c>
      <c r="G11" s="398" t="s">
        <v>27</v>
      </c>
      <c r="H11" s="398" t="s">
        <v>30</v>
      </c>
      <c r="I11" s="398" t="s">
        <v>13</v>
      </c>
      <c r="J11" s="398" t="s">
        <v>14</v>
      </c>
    </row>
    <row r="12" spans="1:10">
      <c r="A12" s="480">
        <v>17</v>
      </c>
      <c r="B12" s="480">
        <v>18</v>
      </c>
      <c r="D12" t="s">
        <v>212</v>
      </c>
      <c r="E12" t="e">
        <f t="array" aca="1" ref="E12:F13" ca="1">ExpCoeff(A4:A14,B4:B14)</f>
        <v>#NAME?</v>
      </c>
      <c r="F12" t="e">
        <f ca="1"/>
        <v>#NAME?</v>
      </c>
      <c r="G12" t="e">
        <f ca="1">E12/F12</f>
        <v>#NAME?</v>
      </c>
      <c r="H12" t="e">
        <f ca="1">TDIST(ABS(G12),$E$8,2)</f>
        <v>#NAME?</v>
      </c>
      <c r="I12" t="e">
        <f ca="1">E12-TINV(I$5,$E$8)*F12</f>
        <v>#NAME?</v>
      </c>
      <c r="J12" t="e">
        <f ca="1">E12+TINV(I$5,$E$8)*F12</f>
        <v>#NAME?</v>
      </c>
    </row>
    <row r="13" spans="1:10">
      <c r="A13" s="480">
        <v>41</v>
      </c>
      <c r="B13" s="480">
        <v>36</v>
      </c>
      <c r="D13" s="380" t="str">
        <f>A3</f>
        <v>x</v>
      </c>
      <c r="E13" s="380" t="e">
        <f ca="1"/>
        <v>#NAME?</v>
      </c>
      <c r="F13" s="380" t="e">
        <f ca="1"/>
        <v>#NAME?</v>
      </c>
      <c r="G13" s="380" t="e">
        <f ca="1">E13/F13</f>
        <v>#NAME?</v>
      </c>
      <c r="H13" s="380" t="e">
        <f ca="1">TDIST(ABS(G13),$E$8,2)</f>
        <v>#NAME?</v>
      </c>
      <c r="I13" s="380" t="e">
        <f ca="1">E13-TINV(I$5,$E$8)*F13</f>
        <v>#NAME?</v>
      </c>
      <c r="J13" s="380" t="e">
        <f ca="1">E13+TINV(I$5,$E$8)*F13</f>
        <v>#NAME?</v>
      </c>
    </row>
    <row r="14" spans="1:10">
      <c r="A14" s="481">
        <v>103</v>
      </c>
      <c r="B14" s="481">
        <v>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52"/>
  <dimension ref="A1:P23"/>
  <sheetViews>
    <sheetView workbookViewId="0"/>
  </sheetViews>
  <sheetFormatPr defaultRowHeight="15"/>
  <cols>
    <col min="3" max="3" width="4.5703125" customWidth="1"/>
    <col min="4" max="5" width="10.5703125" customWidth="1"/>
    <col min="7" max="7" width="17.5703125" customWidth="1"/>
    <col min="8" max="8" width="11.5703125" customWidth="1"/>
    <col min="9" max="9" width="13.7109375" customWidth="1"/>
    <col min="10" max="13" width="13.140625" customWidth="1"/>
  </cols>
  <sheetData>
    <row r="1" spans="1:16">
      <c r="A1" s="1" t="s">
        <v>597</v>
      </c>
    </row>
    <row r="3" spans="1:16">
      <c r="A3" s="738" t="s">
        <v>270</v>
      </c>
      <c r="B3" s="738"/>
      <c r="C3" s="5"/>
      <c r="D3" s="738" t="s">
        <v>271</v>
      </c>
      <c r="E3" s="738"/>
      <c r="G3" t="s">
        <v>206</v>
      </c>
      <c r="O3" s="1" t="s">
        <v>280</v>
      </c>
    </row>
    <row r="4" spans="1:16" ht="15.75" thickBot="1">
      <c r="A4" s="5"/>
      <c r="B4" s="5"/>
      <c r="C4" s="5"/>
      <c r="D4" s="5"/>
      <c r="E4" s="5"/>
    </row>
    <row r="5" spans="1:16">
      <c r="A5" s="309" t="s">
        <v>4</v>
      </c>
      <c r="B5" s="309" t="s">
        <v>65</v>
      </c>
      <c r="C5" s="358"/>
      <c r="D5" s="309" t="s">
        <v>598</v>
      </c>
      <c r="E5" s="309" t="s">
        <v>272</v>
      </c>
      <c r="G5" s="18" t="s">
        <v>207</v>
      </c>
      <c r="H5" s="18"/>
      <c r="O5" s="11" t="s">
        <v>4</v>
      </c>
      <c r="P5" s="11" t="s">
        <v>65</v>
      </c>
    </row>
    <row r="6" spans="1:16">
      <c r="A6" s="358">
        <v>8.1</v>
      </c>
      <c r="B6" s="358">
        <v>33</v>
      </c>
      <c r="C6" s="358"/>
      <c r="D6" s="358">
        <f>LN(A6)</f>
        <v>2.0918640616783932</v>
      </c>
      <c r="E6" s="358">
        <f>LN(B6)</f>
        <v>3.4965075614664802</v>
      </c>
      <c r="G6" s="16" t="s">
        <v>208</v>
      </c>
      <c r="H6" s="16">
        <v>0.75380689403878198</v>
      </c>
      <c r="O6" s="334">
        <v>25</v>
      </c>
      <c r="P6" s="368">
        <f>$H$22*$H$23^LN(O6)</f>
        <v>35.421097964993102</v>
      </c>
    </row>
    <row r="7" spans="1:16">
      <c r="A7" s="358">
        <v>69.900000000000006</v>
      </c>
      <c r="B7" s="358">
        <v>49</v>
      </c>
      <c r="C7" s="358"/>
      <c r="D7" s="358">
        <f t="shared" ref="D7:D16" si="0">LN(A7)</f>
        <v>4.2470656492397643</v>
      </c>
      <c r="E7" s="358">
        <f t="shared" ref="E7:E16" si="1">LN(B7)</f>
        <v>3.8918202981106265</v>
      </c>
      <c r="G7" s="16" t="s">
        <v>201</v>
      </c>
      <c r="H7" s="16">
        <v>0.56822483350039543</v>
      </c>
      <c r="O7" s="284">
        <v>35</v>
      </c>
      <c r="P7" s="369">
        <f>$H$22*$H$23^LN(O7)</f>
        <v>38.327608122671805</v>
      </c>
    </row>
    <row r="8" spans="1:16">
      <c r="A8" s="358">
        <v>4.2</v>
      </c>
      <c r="B8" s="358">
        <v>18.999999999999996</v>
      </c>
      <c r="C8" s="358"/>
      <c r="D8" s="358">
        <f t="shared" si="0"/>
        <v>1.4350845252893227</v>
      </c>
      <c r="E8" s="358">
        <f t="shared" si="1"/>
        <v>2.9444389791664403</v>
      </c>
      <c r="G8" s="16" t="s">
        <v>209</v>
      </c>
      <c r="H8" s="16">
        <v>0.52024981500043943</v>
      </c>
    </row>
    <row r="9" spans="1:16">
      <c r="A9" s="358">
        <v>14.1</v>
      </c>
      <c r="B9" s="358">
        <v>27</v>
      </c>
      <c r="C9" s="358"/>
      <c r="D9" s="358">
        <f t="shared" si="0"/>
        <v>2.6461747973841225</v>
      </c>
      <c r="E9" s="358">
        <f t="shared" si="1"/>
        <v>3.2958368660043291</v>
      </c>
      <c r="G9" s="16" t="s">
        <v>9</v>
      </c>
      <c r="H9" s="16">
        <v>0.21085977430719358</v>
      </c>
      <c r="O9" s="1" t="s">
        <v>599</v>
      </c>
    </row>
    <row r="10" spans="1:16" ht="15.75" thickBot="1">
      <c r="A10" s="358">
        <v>5.6</v>
      </c>
      <c r="B10" s="358">
        <v>23</v>
      </c>
      <c r="C10" s="358"/>
      <c r="D10" s="358">
        <f t="shared" si="0"/>
        <v>1.7227665977411035</v>
      </c>
      <c r="E10" s="358">
        <f t="shared" si="1"/>
        <v>3.1354942159291497</v>
      </c>
      <c r="G10" s="17" t="s">
        <v>42</v>
      </c>
      <c r="H10" s="17">
        <v>11</v>
      </c>
    </row>
    <row r="11" spans="1:16">
      <c r="A11" s="358">
        <v>52.1</v>
      </c>
      <c r="B11" s="358">
        <v>51</v>
      </c>
      <c r="C11" s="358"/>
      <c r="D11" s="358">
        <f t="shared" si="0"/>
        <v>3.9531649487593215</v>
      </c>
      <c r="E11" s="358">
        <f t="shared" si="1"/>
        <v>3.9318256327243257</v>
      </c>
      <c r="O11" s="11" t="s">
        <v>4</v>
      </c>
      <c r="P11" s="11" t="s">
        <v>65</v>
      </c>
    </row>
    <row r="12" spans="1:16" ht="15.75" thickBot="1">
      <c r="A12" s="358">
        <v>44.6</v>
      </c>
      <c r="B12" s="358">
        <v>34</v>
      </c>
      <c r="C12" s="358"/>
      <c r="D12" s="358">
        <f t="shared" si="0"/>
        <v>3.7977338590260183</v>
      </c>
      <c r="E12" s="358">
        <f t="shared" si="1"/>
        <v>3.5263605246161616</v>
      </c>
      <c r="G12" t="s">
        <v>210</v>
      </c>
      <c r="O12" s="334">
        <v>25</v>
      </c>
      <c r="P12" s="368">
        <f t="array" ref="P12:P13">EXP(TREND(LN(B6:B16),LN(A6:A16),LN(O12:O13)))</f>
        <v>35.421097964993095</v>
      </c>
    </row>
    <row r="13" spans="1:16">
      <c r="A13" s="358">
        <v>19.600000000000001</v>
      </c>
      <c r="B13" s="358">
        <v>32</v>
      </c>
      <c r="C13" s="358"/>
      <c r="D13" s="358">
        <f t="shared" si="0"/>
        <v>2.9755295662364718</v>
      </c>
      <c r="E13" s="358">
        <f t="shared" si="1"/>
        <v>3.4657359027997265</v>
      </c>
      <c r="G13" s="360"/>
      <c r="H13" s="360" t="s">
        <v>26</v>
      </c>
      <c r="I13" s="360" t="s">
        <v>137</v>
      </c>
      <c r="J13" s="360" t="s">
        <v>156</v>
      </c>
      <c r="K13" s="360" t="s">
        <v>63</v>
      </c>
      <c r="L13" s="360" t="s">
        <v>213</v>
      </c>
      <c r="O13" s="284">
        <v>35</v>
      </c>
      <c r="P13" s="369">
        <v>38.327608122671791</v>
      </c>
    </row>
    <row r="14" spans="1:16">
      <c r="A14" s="358">
        <v>33</v>
      </c>
      <c r="B14" s="358">
        <v>28</v>
      </c>
      <c r="C14" s="358"/>
      <c r="D14" s="358">
        <f t="shared" si="0"/>
        <v>3.4965075614664802</v>
      </c>
      <c r="E14" s="358">
        <f t="shared" si="1"/>
        <v>3.3322045101752038</v>
      </c>
      <c r="G14" s="16" t="s">
        <v>138</v>
      </c>
      <c r="H14" s="16">
        <v>1</v>
      </c>
      <c r="I14" s="16">
        <v>0.5266141615599067</v>
      </c>
      <c r="J14" s="16">
        <v>0.5266141615599067</v>
      </c>
      <c r="K14" s="16">
        <v>11.844181644263793</v>
      </c>
      <c r="L14" s="16">
        <v>7.3725828158648114E-3</v>
      </c>
    </row>
    <row r="15" spans="1:16">
      <c r="A15" s="358">
        <v>6.7</v>
      </c>
      <c r="B15" s="358">
        <v>36</v>
      </c>
      <c r="C15" s="358"/>
      <c r="D15" s="358">
        <f t="shared" si="0"/>
        <v>1.9021075263969205</v>
      </c>
      <c r="E15" s="358">
        <f t="shared" si="1"/>
        <v>3.5835189384561099</v>
      </c>
      <c r="G15" s="16" t="s">
        <v>211</v>
      </c>
      <c r="H15" s="16">
        <v>9</v>
      </c>
      <c r="I15" s="16">
        <v>0.40015659978792556</v>
      </c>
      <c r="J15" s="16">
        <v>4.4461844420880615E-2</v>
      </c>
      <c r="K15" s="16"/>
      <c r="L15" s="16"/>
      <c r="O15" s="313">
        <v>26</v>
      </c>
      <c r="P15" s="370">
        <f>EXP(TREND(LN(B6:B16),LN(A6:A16),LN(O15)))</f>
        <v>35.748211405153825</v>
      </c>
    </row>
    <row r="16" spans="1:16" ht="15.75" thickBot="1">
      <c r="A16" s="361">
        <v>30.1</v>
      </c>
      <c r="B16" s="361">
        <v>43</v>
      </c>
      <c r="C16" s="358"/>
      <c r="D16" s="361">
        <f t="shared" si="0"/>
        <v>3.4045251717548299</v>
      </c>
      <c r="E16" s="361">
        <f t="shared" si="1"/>
        <v>3.7612001156935624</v>
      </c>
      <c r="G16" s="17" t="s">
        <v>1</v>
      </c>
      <c r="H16" s="17">
        <v>10</v>
      </c>
      <c r="I16" s="17">
        <v>0.92677076134783221</v>
      </c>
      <c r="J16" s="17"/>
      <c r="K16" s="17"/>
      <c r="L16" s="17"/>
    </row>
    <row r="17" spans="1:13" ht="15.75" thickBot="1"/>
    <row r="18" spans="1:13">
      <c r="G18" s="360"/>
      <c r="H18" s="360" t="s">
        <v>214</v>
      </c>
      <c r="I18" s="360" t="s">
        <v>9</v>
      </c>
      <c r="J18" s="360" t="s">
        <v>45</v>
      </c>
      <c r="K18" s="360" t="s">
        <v>56</v>
      </c>
      <c r="L18" s="360" t="s">
        <v>215</v>
      </c>
      <c r="M18" s="360" t="s">
        <v>216</v>
      </c>
    </row>
    <row r="19" spans="1:13">
      <c r="A19" t="s">
        <v>57</v>
      </c>
      <c r="B19" s="303">
        <f>CORREL(E6:E16,D6:D16)</f>
        <v>0.75380689403878209</v>
      </c>
      <c r="G19" s="16" t="s">
        <v>212</v>
      </c>
      <c r="H19" s="16">
        <v>2.8128629026626322</v>
      </c>
      <c r="I19" s="16">
        <v>0.20614121003010771</v>
      </c>
      <c r="J19" s="16">
        <v>13.645320614212959</v>
      </c>
      <c r="K19" s="16">
        <v>2.5593093700100384E-7</v>
      </c>
      <c r="L19" s="16">
        <v>2.3465390878451347</v>
      </c>
      <c r="M19" s="16">
        <v>3.2791867174801297</v>
      </c>
    </row>
    <row r="20" spans="1:13" ht="15.75" thickBot="1">
      <c r="G20" s="17" t="s">
        <v>598</v>
      </c>
      <c r="H20" s="17">
        <v>0.23438143274430748</v>
      </c>
      <c r="I20" s="17">
        <v>6.8103694954936761E-2</v>
      </c>
      <c r="J20" s="17">
        <v>3.4415376860153377</v>
      </c>
      <c r="K20" s="17">
        <v>7.3725828158647906E-3</v>
      </c>
      <c r="L20" s="17">
        <v>8.0320171388973294E-2</v>
      </c>
      <c r="M20" s="17">
        <v>0.38844269409964166</v>
      </c>
    </row>
    <row r="22" spans="1:13" ht="17.25">
      <c r="G22" t="s">
        <v>273</v>
      </c>
      <c r="H22" s="302">
        <f>EXP(H19)</f>
        <v>16.657538932089039</v>
      </c>
      <c r="J22" t="s">
        <v>4</v>
      </c>
      <c r="K22" s="302">
        <v>26</v>
      </c>
    </row>
    <row r="23" spans="1:13" ht="17.25">
      <c r="G23" t="s">
        <v>274</v>
      </c>
      <c r="H23" s="289">
        <f>EXP(H20)</f>
        <v>1.26412657953037</v>
      </c>
      <c r="J23" t="s">
        <v>65</v>
      </c>
      <c r="K23" s="289">
        <f>H22*H23^LN(K22)</f>
        <v>35.748211405153825</v>
      </c>
    </row>
  </sheetData>
  <mergeCells count="2">
    <mergeCell ref="A3:B3"/>
    <mergeCell ref="D3:E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83"/>
  <dimension ref="A1:T23"/>
  <sheetViews>
    <sheetView workbookViewId="0"/>
  </sheetViews>
  <sheetFormatPr defaultRowHeight="15"/>
  <cols>
    <col min="3" max="3" width="5.5703125" customWidth="1"/>
    <col min="4" max="5" width="7.140625" customWidth="1"/>
    <col min="6" max="6" width="5.7109375" customWidth="1"/>
    <col min="7" max="7" width="17.28515625" customWidth="1"/>
    <col min="8" max="8" width="11.5703125" customWidth="1"/>
    <col min="9" max="9" width="14.140625" customWidth="1"/>
    <col min="10" max="10" width="11.85546875" customWidth="1"/>
    <col min="11" max="11" width="11.42578125" customWidth="1"/>
    <col min="12" max="13" width="12.42578125" customWidth="1"/>
    <col min="15" max="15" width="29.42578125" customWidth="1"/>
    <col min="16" max="16" width="9.140625" customWidth="1"/>
    <col min="19" max="19" width="14" customWidth="1"/>
  </cols>
  <sheetData>
    <row r="1" spans="1:20">
      <c r="A1" s="1" t="s">
        <v>282</v>
      </c>
    </row>
    <row r="3" spans="1:20">
      <c r="A3" s="112" t="s">
        <v>36</v>
      </c>
      <c r="B3" s="112" t="s">
        <v>37</v>
      </c>
      <c r="D3" s="112" t="s">
        <v>4</v>
      </c>
      <c r="E3" s="112" t="s">
        <v>65</v>
      </c>
      <c r="G3" t="s">
        <v>206</v>
      </c>
      <c r="O3" t="s">
        <v>39</v>
      </c>
      <c r="S3" t="s">
        <v>284</v>
      </c>
    </row>
    <row r="4" spans="1:20" ht="15.75" thickBot="1">
      <c r="A4" s="110">
        <v>13</v>
      </c>
      <c r="B4" s="110">
        <v>12</v>
      </c>
      <c r="D4" s="40">
        <v>0</v>
      </c>
      <c r="E4" s="40">
        <v>13</v>
      </c>
    </row>
    <row r="5" spans="1:20">
      <c r="A5" s="40">
        <v>17</v>
      </c>
      <c r="B5" s="40">
        <v>8</v>
      </c>
      <c r="D5" s="40">
        <v>0</v>
      </c>
      <c r="E5" s="40">
        <v>17</v>
      </c>
      <c r="G5" s="18" t="s">
        <v>207</v>
      </c>
      <c r="H5" s="18"/>
      <c r="O5" s="15"/>
      <c r="P5" s="15" t="s">
        <v>36</v>
      </c>
      <c r="Q5" s="15" t="s">
        <v>37</v>
      </c>
      <c r="S5" t="s">
        <v>63</v>
      </c>
      <c r="T5" s="315">
        <f>K14</f>
        <v>4.7383177570093391</v>
      </c>
    </row>
    <row r="6" spans="1:20" ht="17.25">
      <c r="A6" s="40">
        <v>19</v>
      </c>
      <c r="B6" s="40">
        <v>6</v>
      </c>
      <c r="D6" s="40">
        <v>0</v>
      </c>
      <c r="E6" s="40">
        <v>19</v>
      </c>
      <c r="G6" s="16" t="s">
        <v>208</v>
      </c>
      <c r="H6" s="16">
        <v>0.45649174169340506</v>
      </c>
      <c r="O6" s="16" t="s">
        <v>8</v>
      </c>
      <c r="P6" s="16">
        <v>15</v>
      </c>
      <c r="Q6" s="16">
        <v>11.1</v>
      </c>
      <c r="S6" t="s">
        <v>285</v>
      </c>
      <c r="T6" s="289">
        <f>P12^2</f>
        <v>4.7383177570093453</v>
      </c>
    </row>
    <row r="7" spans="1:20">
      <c r="A7" s="40">
        <v>11</v>
      </c>
      <c r="B7" s="40">
        <v>16</v>
      </c>
      <c r="D7" s="40">
        <v>0</v>
      </c>
      <c r="E7" s="40">
        <v>11</v>
      </c>
      <c r="G7" s="16" t="s">
        <v>201</v>
      </c>
      <c r="H7" s="16">
        <v>0.20838471023427843</v>
      </c>
      <c r="O7" s="16" t="s">
        <v>41</v>
      </c>
      <c r="P7" s="16">
        <v>13.333333333333334</v>
      </c>
      <c r="Q7" s="16">
        <v>18.766666666666676</v>
      </c>
    </row>
    <row r="8" spans="1:20">
      <c r="A8" s="40">
        <v>20</v>
      </c>
      <c r="B8" s="40">
        <v>12</v>
      </c>
      <c r="D8" s="40">
        <v>0</v>
      </c>
      <c r="E8" s="40">
        <v>20</v>
      </c>
      <c r="G8" s="16" t="s">
        <v>209</v>
      </c>
      <c r="H8" s="16">
        <v>0.16440608302507168</v>
      </c>
      <c r="O8" s="16" t="s">
        <v>42</v>
      </c>
      <c r="P8" s="16">
        <v>10</v>
      </c>
      <c r="Q8" s="16">
        <v>10</v>
      </c>
      <c r="S8" t="s">
        <v>286</v>
      </c>
      <c r="T8" s="315">
        <f>L14</f>
        <v>4.3052716529839559E-2</v>
      </c>
    </row>
    <row r="9" spans="1:20">
      <c r="A9" s="40">
        <v>15</v>
      </c>
      <c r="B9" s="40">
        <v>14</v>
      </c>
      <c r="D9" s="40">
        <v>0</v>
      </c>
      <c r="E9" s="40">
        <v>15</v>
      </c>
      <c r="G9" s="16" t="s">
        <v>9</v>
      </c>
      <c r="H9" s="16">
        <v>4.0062451248020263</v>
      </c>
      <c r="O9" s="16" t="s">
        <v>43</v>
      </c>
      <c r="P9" s="16">
        <v>16.050000000000004</v>
      </c>
      <c r="Q9" s="16"/>
      <c r="S9" t="s">
        <v>287</v>
      </c>
      <c r="T9" s="289">
        <f>P15</f>
        <v>4.3052715280251515E-2</v>
      </c>
    </row>
    <row r="10" spans="1:20" ht="15.75" thickBot="1">
      <c r="A10" s="40">
        <v>18</v>
      </c>
      <c r="B10" s="40">
        <v>10</v>
      </c>
      <c r="D10" s="40">
        <v>0</v>
      </c>
      <c r="E10" s="40">
        <v>18</v>
      </c>
      <c r="G10" s="17" t="s">
        <v>42</v>
      </c>
      <c r="H10" s="17">
        <v>20</v>
      </c>
      <c r="O10" s="16" t="s">
        <v>44</v>
      </c>
      <c r="P10" s="16">
        <v>0</v>
      </c>
      <c r="Q10" s="16"/>
    </row>
    <row r="11" spans="1:20">
      <c r="A11" s="40">
        <v>9</v>
      </c>
      <c r="B11" s="40">
        <v>18</v>
      </c>
      <c r="D11" s="40">
        <v>0</v>
      </c>
      <c r="E11" s="40">
        <v>9</v>
      </c>
      <c r="O11" s="16" t="s">
        <v>26</v>
      </c>
      <c r="P11" s="16">
        <v>18</v>
      </c>
      <c r="Q11" s="16"/>
      <c r="S11" t="s">
        <v>208</v>
      </c>
      <c r="T11" s="315">
        <f>H6</f>
        <v>0.45649174169340506</v>
      </c>
    </row>
    <row r="12" spans="1:20" ht="15.75" thickBot="1">
      <c r="A12" s="40">
        <v>12</v>
      </c>
      <c r="B12" s="40">
        <v>4</v>
      </c>
      <c r="D12" s="40">
        <v>0</v>
      </c>
      <c r="E12" s="40">
        <v>12</v>
      </c>
      <c r="G12" t="s">
        <v>210</v>
      </c>
      <c r="O12" s="16" t="s">
        <v>45</v>
      </c>
      <c r="P12" s="16">
        <v>2.1767677315251954</v>
      </c>
      <c r="Q12" s="16"/>
      <c r="S12" t="s">
        <v>26</v>
      </c>
      <c r="T12" s="293">
        <f>18</f>
        <v>18</v>
      </c>
    </row>
    <row r="13" spans="1:20">
      <c r="A13" s="111">
        <v>16</v>
      </c>
      <c r="B13" s="111">
        <v>11</v>
      </c>
      <c r="D13" s="40">
        <v>0</v>
      </c>
      <c r="E13" s="40">
        <v>16</v>
      </c>
      <c r="G13" s="15"/>
      <c r="H13" s="15" t="s">
        <v>26</v>
      </c>
      <c r="I13" s="15" t="s">
        <v>137</v>
      </c>
      <c r="J13" s="15" t="s">
        <v>156</v>
      </c>
      <c r="K13" s="15" t="s">
        <v>63</v>
      </c>
      <c r="L13" s="15" t="s">
        <v>213</v>
      </c>
      <c r="O13" s="16" t="s">
        <v>46</v>
      </c>
      <c r="P13" s="16">
        <v>2.1526357640125757E-2</v>
      </c>
      <c r="Q13" s="16"/>
      <c r="S13" s="27" t="s">
        <v>288</v>
      </c>
      <c r="T13" s="289">
        <f>SQRT(T5/(T5+T12))</f>
        <v>0.45649174169340506</v>
      </c>
    </row>
    <row r="14" spans="1:20">
      <c r="A14" s="75"/>
      <c r="B14" s="75"/>
      <c r="D14" s="40">
        <v>1</v>
      </c>
      <c r="E14" s="40">
        <v>12</v>
      </c>
      <c r="G14" s="16" t="s">
        <v>138</v>
      </c>
      <c r="H14" s="16">
        <v>1</v>
      </c>
      <c r="I14" s="16">
        <v>76.049999999999898</v>
      </c>
      <c r="J14" s="16">
        <v>76.049999999999898</v>
      </c>
      <c r="K14" s="16">
        <v>4.7383177570093391</v>
      </c>
      <c r="L14" s="16">
        <v>4.3052716529839559E-2</v>
      </c>
      <c r="O14" s="16" t="s">
        <v>47</v>
      </c>
      <c r="P14" s="16">
        <v>1.7340635923093939</v>
      </c>
      <c r="Q14" s="16"/>
    </row>
    <row r="15" spans="1:20">
      <c r="A15" s="75"/>
      <c r="B15" s="75"/>
      <c r="D15" s="40">
        <v>1</v>
      </c>
      <c r="E15" s="40">
        <v>8</v>
      </c>
      <c r="G15" s="16" t="s">
        <v>211</v>
      </c>
      <c r="H15" s="16">
        <v>18</v>
      </c>
      <c r="I15" s="16">
        <v>288.90000000000003</v>
      </c>
      <c r="J15" s="16">
        <v>16.05</v>
      </c>
      <c r="K15" s="16"/>
      <c r="L15" s="16"/>
      <c r="O15" s="16" t="s">
        <v>48</v>
      </c>
      <c r="P15" s="16">
        <v>4.3052715280251515E-2</v>
      </c>
      <c r="Q15" s="16"/>
    </row>
    <row r="16" spans="1:20" ht="15.75" thickBot="1">
      <c r="A16" s="75"/>
      <c r="B16" s="75"/>
      <c r="D16" s="40">
        <v>1</v>
      </c>
      <c r="E16" s="40">
        <v>6</v>
      </c>
      <c r="G16" s="17" t="s">
        <v>1</v>
      </c>
      <c r="H16" s="17">
        <v>19</v>
      </c>
      <c r="I16" s="17">
        <v>364.94999999999993</v>
      </c>
      <c r="J16" s="17"/>
      <c r="K16" s="17"/>
      <c r="L16" s="17"/>
      <c r="O16" s="17" t="s">
        <v>49</v>
      </c>
      <c r="P16" s="17">
        <v>2.1009220368611805</v>
      </c>
      <c r="Q16" s="17"/>
    </row>
    <row r="17" spans="1:13" ht="15.75" thickBot="1">
      <c r="A17" s="75"/>
      <c r="B17" s="75"/>
      <c r="D17" s="40">
        <v>1</v>
      </c>
      <c r="E17" s="40">
        <v>16</v>
      </c>
    </row>
    <row r="18" spans="1:13">
      <c r="D18" s="40">
        <v>1</v>
      </c>
      <c r="E18" s="40">
        <v>12</v>
      </c>
      <c r="G18" s="15"/>
      <c r="H18" s="15" t="s">
        <v>214</v>
      </c>
      <c r="I18" s="15" t="s">
        <v>9</v>
      </c>
      <c r="J18" s="15" t="s">
        <v>45</v>
      </c>
      <c r="K18" s="15" t="s">
        <v>56</v>
      </c>
      <c r="L18" s="15" t="s">
        <v>215</v>
      </c>
      <c r="M18" s="15" t="s">
        <v>216</v>
      </c>
    </row>
    <row r="19" spans="1:13">
      <c r="D19" s="40">
        <v>1</v>
      </c>
      <c r="E19" s="40">
        <v>14</v>
      </c>
      <c r="G19" s="16" t="s">
        <v>212</v>
      </c>
      <c r="H19" s="16">
        <v>15</v>
      </c>
      <c r="I19" s="16">
        <v>1.2668859459319928</v>
      </c>
      <c r="J19" s="16">
        <v>11.840055569457876</v>
      </c>
      <c r="K19" s="16">
        <v>6.2614481541286654E-10</v>
      </c>
      <c r="L19" s="16">
        <v>12.338371393719861</v>
      </c>
      <c r="M19" s="16">
        <v>17.661628606280139</v>
      </c>
    </row>
    <row r="20" spans="1:13" ht="15.75" thickBot="1">
      <c r="D20" s="40">
        <v>1</v>
      </c>
      <c r="E20" s="40">
        <v>10</v>
      </c>
      <c r="G20" s="17" t="s">
        <v>4</v>
      </c>
      <c r="H20" s="17">
        <v>-3.8999999999999995</v>
      </c>
      <c r="I20" s="17">
        <v>1.7916472867168918</v>
      </c>
      <c r="J20" s="17">
        <v>-2.176767731525195</v>
      </c>
      <c r="K20" s="17">
        <v>4.3052716529839503E-2</v>
      </c>
      <c r="L20" s="17">
        <v>-7.6641112730015717</v>
      </c>
      <c r="M20" s="17">
        <v>-0.13588872699842769</v>
      </c>
    </row>
    <row r="21" spans="1:13">
      <c r="D21" s="40">
        <v>1</v>
      </c>
      <c r="E21" s="40">
        <v>18</v>
      </c>
    </row>
    <row r="22" spans="1:13">
      <c r="D22" s="40">
        <v>1</v>
      </c>
      <c r="E22" s="40">
        <v>4</v>
      </c>
    </row>
    <row r="23" spans="1:13">
      <c r="D23" s="111">
        <v>1</v>
      </c>
      <c r="E23" s="111">
        <v>11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4"/>
  <dimension ref="A1:G44"/>
  <sheetViews>
    <sheetView workbookViewId="0"/>
  </sheetViews>
  <sheetFormatPr defaultRowHeight="15"/>
  <cols>
    <col min="1" max="1" width="17.140625" customWidth="1"/>
    <col min="2" max="2" width="12.28515625" customWidth="1"/>
    <col min="3" max="3" width="11.85546875" customWidth="1"/>
    <col min="4" max="4" width="17.28515625" customWidth="1"/>
    <col min="5" max="5" width="11.28515625" customWidth="1"/>
    <col min="6" max="6" width="12.85546875" customWidth="1"/>
    <col min="7" max="7" width="12.28515625" customWidth="1"/>
  </cols>
  <sheetData>
    <row r="1" spans="1:7">
      <c r="A1" t="s">
        <v>206</v>
      </c>
    </row>
    <row r="2" spans="1:7" ht="15.75" thickBot="1"/>
    <row r="3" spans="1:7">
      <c r="A3" s="18" t="s">
        <v>207</v>
      </c>
      <c r="B3" s="18"/>
    </row>
    <row r="4" spans="1:7">
      <c r="A4" s="16" t="s">
        <v>208</v>
      </c>
      <c r="B4" s="16">
        <v>0.45649174169340506</v>
      </c>
    </row>
    <row r="5" spans="1:7">
      <c r="A5" s="16" t="s">
        <v>201</v>
      </c>
      <c r="B5" s="16">
        <v>0.20838471023427843</v>
      </c>
    </row>
    <row r="6" spans="1:7">
      <c r="A6" s="16" t="s">
        <v>209</v>
      </c>
      <c r="B6" s="16">
        <v>0.16440608302507168</v>
      </c>
    </row>
    <row r="7" spans="1:7">
      <c r="A7" s="16" t="s">
        <v>9</v>
      </c>
      <c r="B7" s="16">
        <v>4.0062451248020263</v>
      </c>
    </row>
    <row r="8" spans="1:7" ht="15.75" thickBot="1">
      <c r="A8" s="17" t="s">
        <v>42</v>
      </c>
      <c r="B8" s="17">
        <v>20</v>
      </c>
    </row>
    <row r="10" spans="1:7" ht="15.75" thickBot="1">
      <c r="A10" t="s">
        <v>210</v>
      </c>
    </row>
    <row r="11" spans="1:7">
      <c r="A11" s="15"/>
      <c r="B11" s="15" t="s">
        <v>26</v>
      </c>
      <c r="C11" s="15" t="s">
        <v>137</v>
      </c>
      <c r="D11" s="15" t="s">
        <v>156</v>
      </c>
      <c r="E11" s="15" t="s">
        <v>63</v>
      </c>
      <c r="F11" s="15" t="s">
        <v>213</v>
      </c>
    </row>
    <row r="12" spans="1:7">
      <c r="A12" s="16" t="s">
        <v>138</v>
      </c>
      <c r="B12" s="16">
        <v>1</v>
      </c>
      <c r="C12" s="16">
        <v>76.049999999999898</v>
      </c>
      <c r="D12" s="16">
        <v>76.049999999999898</v>
      </c>
      <c r="E12" s="16">
        <v>4.7383177570093391</v>
      </c>
      <c r="F12" s="16">
        <v>4.3052716529839559E-2</v>
      </c>
    </row>
    <row r="13" spans="1:7">
      <c r="A13" s="16" t="s">
        <v>211</v>
      </c>
      <c r="B13" s="16">
        <v>18</v>
      </c>
      <c r="C13" s="16">
        <v>288.90000000000003</v>
      </c>
      <c r="D13" s="16">
        <v>16.05</v>
      </c>
      <c r="E13" s="16"/>
      <c r="F13" s="16"/>
    </row>
    <row r="14" spans="1:7" ht="15.75" thickBot="1">
      <c r="A14" s="17" t="s">
        <v>1</v>
      </c>
      <c r="B14" s="17">
        <v>19</v>
      </c>
      <c r="C14" s="17">
        <v>364.94999999999993</v>
      </c>
      <c r="D14" s="17"/>
      <c r="E14" s="17"/>
      <c r="F14" s="17"/>
    </row>
    <row r="15" spans="1:7" ht="15.75" thickBot="1"/>
    <row r="16" spans="1:7">
      <c r="A16" s="15"/>
      <c r="B16" s="15" t="s">
        <v>214</v>
      </c>
      <c r="C16" s="15" t="s">
        <v>9</v>
      </c>
      <c r="D16" s="15" t="s">
        <v>45</v>
      </c>
      <c r="E16" s="15" t="s">
        <v>56</v>
      </c>
      <c r="F16" s="15" t="s">
        <v>215</v>
      </c>
      <c r="G16" s="15" t="s">
        <v>216</v>
      </c>
    </row>
    <row r="17" spans="1:7">
      <c r="A17" s="16" t="s">
        <v>212</v>
      </c>
      <c r="B17" s="16">
        <v>15</v>
      </c>
      <c r="C17" s="16">
        <v>1.2668859459319928</v>
      </c>
      <c r="D17" s="16">
        <v>11.840055569457876</v>
      </c>
      <c r="E17" s="16">
        <v>6.2614481541286654E-10</v>
      </c>
      <c r="F17" s="16">
        <v>12.338371393719861</v>
      </c>
      <c r="G17" s="16">
        <v>17.661628606280139</v>
      </c>
    </row>
    <row r="18" spans="1:7" ht="15.75" thickBot="1">
      <c r="A18" s="17" t="s">
        <v>4</v>
      </c>
      <c r="B18" s="17">
        <v>-3.8999999999999995</v>
      </c>
      <c r="C18" s="17">
        <v>1.7916472867168918</v>
      </c>
      <c r="D18" s="17">
        <v>-2.176767731525195</v>
      </c>
      <c r="E18" s="17">
        <v>4.3052716529839503E-2</v>
      </c>
      <c r="F18" s="17">
        <v>-7.6641112730015717</v>
      </c>
      <c r="G18" s="17">
        <v>-0.13588872699842769</v>
      </c>
    </row>
    <row r="22" spans="1:7">
      <c r="A22" t="s">
        <v>217</v>
      </c>
      <c r="F22" t="s">
        <v>221</v>
      </c>
    </row>
    <row r="23" spans="1:7" ht="15.75" thickBot="1"/>
    <row r="24" spans="1:7">
      <c r="A24" s="15" t="s">
        <v>218</v>
      </c>
      <c r="B24" s="15" t="s">
        <v>283</v>
      </c>
      <c r="C24" s="15" t="s">
        <v>219</v>
      </c>
      <c r="D24" s="15" t="s">
        <v>220</v>
      </c>
      <c r="F24" s="15" t="s">
        <v>222</v>
      </c>
      <c r="G24" s="15" t="s">
        <v>65</v>
      </c>
    </row>
    <row r="25" spans="1:7">
      <c r="A25" s="16">
        <v>1</v>
      </c>
      <c r="B25" s="16">
        <v>15</v>
      </c>
      <c r="C25" s="16">
        <v>-2</v>
      </c>
      <c r="D25" s="16">
        <v>-0.51290038518495951</v>
      </c>
      <c r="F25" s="16">
        <v>2.5</v>
      </c>
      <c r="G25" s="16">
        <v>4</v>
      </c>
    </row>
    <row r="26" spans="1:7">
      <c r="A26" s="16">
        <v>2</v>
      </c>
      <c r="B26" s="16">
        <v>15</v>
      </c>
      <c r="C26" s="16">
        <v>2</v>
      </c>
      <c r="D26" s="16">
        <v>0.51290038518495951</v>
      </c>
      <c r="F26" s="16">
        <v>7.5</v>
      </c>
      <c r="G26" s="16">
        <v>6</v>
      </c>
    </row>
    <row r="27" spans="1:7">
      <c r="A27" s="16">
        <v>3</v>
      </c>
      <c r="B27" s="16">
        <v>15</v>
      </c>
      <c r="C27" s="16">
        <v>4</v>
      </c>
      <c r="D27" s="16">
        <v>1.025800770369919</v>
      </c>
      <c r="F27" s="16">
        <v>12.5</v>
      </c>
      <c r="G27" s="16">
        <v>8</v>
      </c>
    </row>
    <row r="28" spans="1:7">
      <c r="A28" s="16">
        <v>4</v>
      </c>
      <c r="B28" s="16">
        <v>15</v>
      </c>
      <c r="C28" s="16">
        <v>-4</v>
      </c>
      <c r="D28" s="16">
        <v>-1.025800770369919</v>
      </c>
      <c r="F28" s="16">
        <v>17.5</v>
      </c>
      <c r="G28" s="16">
        <v>9</v>
      </c>
    </row>
    <row r="29" spans="1:7">
      <c r="A29" s="16">
        <v>5</v>
      </c>
      <c r="B29" s="16">
        <v>15</v>
      </c>
      <c r="C29" s="16">
        <v>5</v>
      </c>
      <c r="D29" s="16">
        <v>1.2822509629623988</v>
      </c>
      <c r="F29" s="16">
        <v>22.5</v>
      </c>
      <c r="G29" s="16">
        <v>10</v>
      </c>
    </row>
    <row r="30" spans="1:7">
      <c r="A30" s="16">
        <v>6</v>
      </c>
      <c r="B30" s="16">
        <v>15</v>
      </c>
      <c r="C30" s="16">
        <v>0</v>
      </c>
      <c r="D30" s="16">
        <v>0</v>
      </c>
      <c r="F30" s="16">
        <v>27.5</v>
      </c>
      <c r="G30" s="16">
        <v>11</v>
      </c>
    </row>
    <row r="31" spans="1:7">
      <c r="A31" s="16">
        <v>7</v>
      </c>
      <c r="B31" s="16">
        <v>15</v>
      </c>
      <c r="C31" s="16">
        <v>3</v>
      </c>
      <c r="D31" s="16">
        <v>0.76935057777743932</v>
      </c>
      <c r="F31" s="16">
        <v>32.5</v>
      </c>
      <c r="G31" s="16">
        <v>11</v>
      </c>
    </row>
    <row r="32" spans="1:7">
      <c r="A32" s="16">
        <v>8</v>
      </c>
      <c r="B32" s="16">
        <v>15</v>
      </c>
      <c r="C32" s="16">
        <v>-6</v>
      </c>
      <c r="D32" s="16">
        <v>-1.5387011555548786</v>
      </c>
      <c r="F32" s="16">
        <v>37.5</v>
      </c>
      <c r="G32" s="16">
        <v>12</v>
      </c>
    </row>
    <row r="33" spans="1:7">
      <c r="A33" s="16">
        <v>9</v>
      </c>
      <c r="B33" s="16">
        <v>15</v>
      </c>
      <c r="C33" s="16">
        <v>-3</v>
      </c>
      <c r="D33" s="16">
        <v>-0.76935057777743932</v>
      </c>
      <c r="F33" s="16">
        <v>42.5</v>
      </c>
      <c r="G33" s="16">
        <v>12</v>
      </c>
    </row>
    <row r="34" spans="1:7">
      <c r="A34" s="16">
        <v>10</v>
      </c>
      <c r="B34" s="16">
        <v>15</v>
      </c>
      <c r="C34" s="16">
        <v>1</v>
      </c>
      <c r="D34" s="16">
        <v>0.25645019259247975</v>
      </c>
      <c r="F34" s="16">
        <v>47.5</v>
      </c>
      <c r="G34" s="16">
        <v>12</v>
      </c>
    </row>
    <row r="35" spans="1:7">
      <c r="A35" s="16">
        <v>11</v>
      </c>
      <c r="B35" s="16">
        <v>11.100000000000001</v>
      </c>
      <c r="C35" s="16">
        <v>0.89999999999999858</v>
      </c>
      <c r="D35" s="16">
        <v>0.23080517333323142</v>
      </c>
      <c r="F35" s="16">
        <v>52.5</v>
      </c>
      <c r="G35" s="16">
        <v>13</v>
      </c>
    </row>
    <row r="36" spans="1:7">
      <c r="A36" s="16">
        <v>12</v>
      </c>
      <c r="B36" s="16">
        <v>11.100000000000001</v>
      </c>
      <c r="C36" s="16">
        <v>-3.1000000000000014</v>
      </c>
      <c r="D36" s="16">
        <v>-0.79499559703668765</v>
      </c>
      <c r="F36" s="16">
        <v>57.5</v>
      </c>
      <c r="G36" s="16">
        <v>14</v>
      </c>
    </row>
    <row r="37" spans="1:7">
      <c r="A37" s="16">
        <v>13</v>
      </c>
      <c r="B37" s="16">
        <v>11.100000000000001</v>
      </c>
      <c r="C37" s="16">
        <v>-5.1000000000000014</v>
      </c>
      <c r="D37" s="16">
        <v>-1.3078959822216472</v>
      </c>
      <c r="F37" s="16">
        <v>62.5</v>
      </c>
      <c r="G37" s="16">
        <v>15</v>
      </c>
    </row>
    <row r="38" spans="1:7">
      <c r="A38" s="16">
        <v>14</v>
      </c>
      <c r="B38" s="16">
        <v>11.100000000000001</v>
      </c>
      <c r="C38" s="16">
        <v>4.8999999999999986</v>
      </c>
      <c r="D38" s="16">
        <v>1.2566059437031505</v>
      </c>
      <c r="F38" s="16">
        <v>67.5</v>
      </c>
      <c r="G38" s="16">
        <v>16</v>
      </c>
    </row>
    <row r="39" spans="1:7">
      <c r="A39" s="16">
        <v>15</v>
      </c>
      <c r="B39" s="16">
        <v>11.100000000000001</v>
      </c>
      <c r="C39" s="16">
        <v>0.89999999999999858</v>
      </c>
      <c r="D39" s="16">
        <v>0.23080517333323142</v>
      </c>
      <c r="F39" s="16">
        <v>72.5</v>
      </c>
      <c r="G39" s="16">
        <v>16</v>
      </c>
    </row>
    <row r="40" spans="1:7">
      <c r="A40" s="16">
        <v>16</v>
      </c>
      <c r="B40" s="16">
        <v>11.100000000000001</v>
      </c>
      <c r="C40" s="16">
        <v>2.8999999999999986</v>
      </c>
      <c r="D40" s="16">
        <v>0.74370555851819098</v>
      </c>
      <c r="F40" s="16">
        <v>77.5</v>
      </c>
      <c r="G40" s="16">
        <v>17</v>
      </c>
    </row>
    <row r="41" spans="1:7">
      <c r="A41" s="16">
        <v>17</v>
      </c>
      <c r="B41" s="16">
        <v>11.100000000000001</v>
      </c>
      <c r="C41" s="16">
        <v>-1.1000000000000014</v>
      </c>
      <c r="D41" s="16">
        <v>-0.28209521185172809</v>
      </c>
      <c r="F41" s="16">
        <v>82.5</v>
      </c>
      <c r="G41" s="16">
        <v>18</v>
      </c>
    </row>
    <row r="42" spans="1:7">
      <c r="A42" s="16">
        <v>18</v>
      </c>
      <c r="B42" s="16">
        <v>11.100000000000001</v>
      </c>
      <c r="C42" s="16">
        <v>6.8999999999999986</v>
      </c>
      <c r="D42" s="16">
        <v>1.7695063288881099</v>
      </c>
      <c r="F42" s="16">
        <v>87.5</v>
      </c>
      <c r="G42" s="16">
        <v>18</v>
      </c>
    </row>
    <row r="43" spans="1:7">
      <c r="A43" s="16">
        <v>19</v>
      </c>
      <c r="B43" s="16">
        <v>11.100000000000001</v>
      </c>
      <c r="C43" s="16">
        <v>-7.1000000000000014</v>
      </c>
      <c r="D43" s="16">
        <v>-1.8207963674066066</v>
      </c>
      <c r="F43" s="16">
        <v>92.5</v>
      </c>
      <c r="G43" s="16">
        <v>19</v>
      </c>
    </row>
    <row r="44" spans="1:7" ht="15.75" thickBot="1">
      <c r="A44" s="17">
        <v>20</v>
      </c>
      <c r="B44" s="17">
        <v>11.100000000000001</v>
      </c>
      <c r="C44" s="17">
        <v>-0.10000000000000142</v>
      </c>
      <c r="D44" s="17">
        <v>-2.564501925924834E-2</v>
      </c>
      <c r="F44" s="17">
        <v>97.5</v>
      </c>
      <c r="G44" s="17">
        <v>20</v>
      </c>
    </row>
  </sheetData>
  <sortState ref="G25:G44">
    <sortCondition ref="G25"/>
  </sortState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86"/>
  <dimension ref="A1:U23"/>
  <sheetViews>
    <sheetView workbookViewId="0"/>
  </sheetViews>
  <sheetFormatPr defaultRowHeight="15"/>
  <cols>
    <col min="3" max="3" width="5.5703125" customWidth="1"/>
    <col min="4" max="5" width="7.140625" customWidth="1"/>
    <col min="6" max="6" width="5.7109375" customWidth="1"/>
    <col min="7" max="7" width="17.28515625" customWidth="1"/>
    <col min="8" max="8" width="11.5703125" customWidth="1"/>
    <col min="9" max="9" width="14.140625" customWidth="1"/>
    <col min="10" max="10" width="11.85546875" customWidth="1"/>
    <col min="11" max="11" width="11.42578125" customWidth="1"/>
    <col min="12" max="13" width="12.42578125" customWidth="1"/>
    <col min="15" max="15" width="28.5703125" customWidth="1"/>
    <col min="16" max="16" width="9.140625" customWidth="1"/>
    <col min="19" max="19" width="28.5703125" customWidth="1"/>
  </cols>
  <sheetData>
    <row r="1" spans="1:21">
      <c r="A1" s="1" t="s">
        <v>282</v>
      </c>
    </row>
    <row r="3" spans="1:21">
      <c r="A3" s="112" t="s">
        <v>36</v>
      </c>
      <c r="B3" s="112" t="s">
        <v>37</v>
      </c>
      <c r="D3" s="112" t="s">
        <v>4</v>
      </c>
      <c r="E3" s="112" t="s">
        <v>65</v>
      </c>
      <c r="G3" t="s">
        <v>206</v>
      </c>
      <c r="O3" t="s">
        <v>39</v>
      </c>
      <c r="S3" t="s">
        <v>50</v>
      </c>
    </row>
    <row r="4" spans="1:21" ht="15.75" thickBot="1">
      <c r="A4" s="110">
        <v>34</v>
      </c>
      <c r="B4" s="110">
        <v>12</v>
      </c>
      <c r="D4" s="40">
        <v>0</v>
      </c>
      <c r="E4" s="110">
        <v>34</v>
      </c>
    </row>
    <row r="5" spans="1:21">
      <c r="A5" s="40">
        <v>52</v>
      </c>
      <c r="B5" s="40">
        <v>8</v>
      </c>
      <c r="D5" s="40">
        <v>0</v>
      </c>
      <c r="E5" s="40">
        <v>52</v>
      </c>
      <c r="G5" s="18" t="s">
        <v>207</v>
      </c>
      <c r="H5" s="18"/>
      <c r="O5" s="15"/>
      <c r="P5" s="15" t="s">
        <v>36</v>
      </c>
      <c r="Q5" s="15" t="s">
        <v>37</v>
      </c>
      <c r="S5" s="15"/>
      <c r="T5" s="15" t="s">
        <v>36</v>
      </c>
      <c r="U5" s="15" t="s">
        <v>37</v>
      </c>
    </row>
    <row r="6" spans="1:21">
      <c r="A6" s="40">
        <v>17</v>
      </c>
      <c r="B6" s="40">
        <v>6</v>
      </c>
      <c r="D6" s="40">
        <v>0</v>
      </c>
      <c r="E6" s="40">
        <v>17</v>
      </c>
      <c r="G6" s="16" t="s">
        <v>208</v>
      </c>
      <c r="H6" s="16">
        <v>0.63143952239527301</v>
      </c>
      <c r="O6" s="16" t="s">
        <v>8</v>
      </c>
      <c r="P6" s="16">
        <v>33.5</v>
      </c>
      <c r="Q6" s="16">
        <v>11.1</v>
      </c>
      <c r="S6" s="16" t="s">
        <v>8</v>
      </c>
      <c r="T6" s="16">
        <v>33.5</v>
      </c>
      <c r="U6" s="16">
        <v>11.1</v>
      </c>
    </row>
    <row r="7" spans="1:21">
      <c r="A7" s="40">
        <v>45</v>
      </c>
      <c r="B7" s="40">
        <v>16</v>
      </c>
      <c r="D7" s="40">
        <v>0</v>
      </c>
      <c r="E7" s="40">
        <v>45</v>
      </c>
      <c r="G7" s="16" t="s">
        <v>201</v>
      </c>
      <c r="H7" s="16">
        <v>0.39871587044277046</v>
      </c>
      <c r="O7" s="16" t="s">
        <v>41</v>
      </c>
      <c r="P7" s="16">
        <v>401.61111111111109</v>
      </c>
      <c r="Q7" s="16">
        <v>18.766666666666676</v>
      </c>
      <c r="S7" s="16" t="s">
        <v>41</v>
      </c>
      <c r="T7" s="16">
        <v>401.61111111111109</v>
      </c>
      <c r="U7" s="16">
        <v>18.766666666666676</v>
      </c>
    </row>
    <row r="8" spans="1:21">
      <c r="A8" s="40">
        <v>5</v>
      </c>
      <c r="B8" s="40">
        <v>12</v>
      </c>
      <c r="D8" s="40">
        <v>0</v>
      </c>
      <c r="E8" s="40">
        <v>5</v>
      </c>
      <c r="G8" s="16" t="s">
        <v>209</v>
      </c>
      <c r="H8" s="16">
        <v>0.36531119657847994</v>
      </c>
      <c r="O8" s="16" t="s">
        <v>42</v>
      </c>
      <c r="P8" s="16">
        <v>10</v>
      </c>
      <c r="Q8" s="16">
        <v>10</v>
      </c>
      <c r="S8" s="16" t="s">
        <v>42</v>
      </c>
      <c r="T8" s="16">
        <v>10</v>
      </c>
      <c r="U8" s="16">
        <v>10</v>
      </c>
    </row>
    <row r="9" spans="1:21">
      <c r="A9" s="40">
        <v>29</v>
      </c>
      <c r="B9" s="40">
        <v>14</v>
      </c>
      <c r="D9" s="40">
        <v>0</v>
      </c>
      <c r="E9" s="40">
        <v>29</v>
      </c>
      <c r="G9" s="16" t="s">
        <v>9</v>
      </c>
      <c r="H9" s="16">
        <v>14.497892567159163</v>
      </c>
      <c r="O9" s="16" t="s">
        <v>43</v>
      </c>
      <c r="P9" s="16">
        <v>210.1888888888889</v>
      </c>
      <c r="Q9" s="16"/>
      <c r="S9" s="16" t="s">
        <v>44</v>
      </c>
      <c r="T9" s="16">
        <v>0</v>
      </c>
      <c r="U9" s="16"/>
    </row>
    <row r="10" spans="1:21" ht="15.75" thickBot="1">
      <c r="A10" s="40">
        <v>31</v>
      </c>
      <c r="B10" s="40">
        <v>10</v>
      </c>
      <c r="D10" s="40">
        <v>0</v>
      </c>
      <c r="E10" s="40">
        <v>31</v>
      </c>
      <c r="G10" s="17" t="s">
        <v>42</v>
      </c>
      <c r="H10" s="17">
        <v>20</v>
      </c>
      <c r="O10" s="16" t="s">
        <v>44</v>
      </c>
      <c r="P10" s="16">
        <v>0</v>
      </c>
      <c r="Q10" s="16"/>
      <c r="S10" s="16" t="s">
        <v>26</v>
      </c>
      <c r="T10" s="16">
        <v>10</v>
      </c>
      <c r="U10" s="16"/>
    </row>
    <row r="11" spans="1:21">
      <c r="A11" s="40">
        <v>6</v>
      </c>
      <c r="B11" s="40">
        <v>18</v>
      </c>
      <c r="D11" s="40">
        <v>0</v>
      </c>
      <c r="E11" s="40">
        <v>6</v>
      </c>
      <c r="O11" s="16" t="s">
        <v>26</v>
      </c>
      <c r="P11" s="16">
        <v>18</v>
      </c>
      <c r="Q11" s="16"/>
      <c r="S11" s="16" t="s">
        <v>45</v>
      </c>
      <c r="T11" s="16">
        <v>3.4548416236339881</v>
      </c>
      <c r="U11" s="16"/>
    </row>
    <row r="12" spans="1:21" ht="15.75" thickBot="1">
      <c r="A12" s="40">
        <v>52</v>
      </c>
      <c r="B12" s="40">
        <v>4</v>
      </c>
      <c r="D12" s="40">
        <v>0</v>
      </c>
      <c r="E12" s="40">
        <v>52</v>
      </c>
      <c r="G12" t="s">
        <v>210</v>
      </c>
      <c r="O12" s="16" t="s">
        <v>45</v>
      </c>
      <c r="P12" s="16">
        <v>3.4548416236339876</v>
      </c>
      <c r="Q12" s="16"/>
      <c r="S12" s="16" t="s">
        <v>46</v>
      </c>
      <c r="T12" s="16">
        <v>3.0879404292687403E-3</v>
      </c>
      <c r="U12" s="16"/>
    </row>
    <row r="13" spans="1:21">
      <c r="A13" s="111">
        <v>64</v>
      </c>
      <c r="B13" s="111">
        <v>11</v>
      </c>
      <c r="D13" s="40">
        <v>0</v>
      </c>
      <c r="E13" s="40">
        <v>64</v>
      </c>
      <c r="G13" s="15"/>
      <c r="H13" s="15" t="s">
        <v>26</v>
      </c>
      <c r="I13" s="15" t="s">
        <v>137</v>
      </c>
      <c r="J13" s="15" t="s">
        <v>156</v>
      </c>
      <c r="K13" s="15" t="s">
        <v>63</v>
      </c>
      <c r="L13" s="15" t="s">
        <v>213</v>
      </c>
      <c r="O13" s="16" t="s">
        <v>46</v>
      </c>
      <c r="P13" s="16">
        <v>1.4131153759735829E-3</v>
      </c>
      <c r="Q13" s="16"/>
      <c r="S13" s="16" t="s">
        <v>47</v>
      </c>
      <c r="T13" s="16">
        <v>1.8124611021972235</v>
      </c>
      <c r="U13" s="16"/>
    </row>
    <row r="14" spans="1:21">
      <c r="A14" s="75"/>
      <c r="B14" s="75"/>
      <c r="D14" s="40">
        <v>1</v>
      </c>
      <c r="E14" s="40">
        <v>12</v>
      </c>
      <c r="G14" s="16" t="s">
        <v>138</v>
      </c>
      <c r="H14" s="16">
        <v>1</v>
      </c>
      <c r="I14" s="16">
        <v>2508.8000000000002</v>
      </c>
      <c r="J14" s="16">
        <v>2508.8000000000002</v>
      </c>
      <c r="K14" s="16">
        <v>11.935930644393933</v>
      </c>
      <c r="L14" s="16">
        <v>2.8262307651200484E-3</v>
      </c>
      <c r="O14" s="16" t="s">
        <v>47</v>
      </c>
      <c r="P14" s="16">
        <v>1.7340635923093939</v>
      </c>
      <c r="Q14" s="16"/>
      <c r="S14" s="16" t="s">
        <v>48</v>
      </c>
      <c r="T14" s="16">
        <v>6.1758808585374806E-3</v>
      </c>
      <c r="U14" s="16"/>
    </row>
    <row r="15" spans="1:21" ht="15.75" thickBot="1">
      <c r="A15" s="75"/>
      <c r="B15" s="75"/>
      <c r="D15" s="40">
        <v>1</v>
      </c>
      <c r="E15" s="40">
        <v>8</v>
      </c>
      <c r="G15" s="16" t="s">
        <v>211</v>
      </c>
      <c r="H15" s="16">
        <v>18</v>
      </c>
      <c r="I15" s="16">
        <v>3783.3999999999996</v>
      </c>
      <c r="J15" s="16">
        <v>210.18888888888887</v>
      </c>
      <c r="K15" s="16"/>
      <c r="L15" s="16"/>
      <c r="O15" s="16" t="s">
        <v>48</v>
      </c>
      <c r="P15" s="16">
        <v>2.8262307519471659E-3</v>
      </c>
      <c r="Q15" s="16"/>
      <c r="S15" s="17" t="s">
        <v>49</v>
      </c>
      <c r="T15" s="17">
        <v>2.2281388424258681</v>
      </c>
      <c r="U15" s="17"/>
    </row>
    <row r="16" spans="1:21" ht="15.75" thickBot="1">
      <c r="A16" s="75"/>
      <c r="B16" s="75"/>
      <c r="D16" s="40">
        <v>1</v>
      </c>
      <c r="E16" s="40">
        <v>6</v>
      </c>
      <c r="G16" s="17" t="s">
        <v>1</v>
      </c>
      <c r="H16" s="17">
        <v>19</v>
      </c>
      <c r="I16" s="17">
        <v>6292.2</v>
      </c>
      <c r="J16" s="17"/>
      <c r="K16" s="17"/>
      <c r="L16" s="17"/>
      <c r="O16" s="17" t="s">
        <v>49</v>
      </c>
      <c r="P16" s="17">
        <v>2.1009220368611805</v>
      </c>
      <c r="Q16" s="17"/>
    </row>
    <row r="17" spans="1:13" ht="15.75" thickBot="1">
      <c r="A17" s="75"/>
      <c r="B17" s="75"/>
      <c r="D17" s="40">
        <v>1</v>
      </c>
      <c r="E17" s="40">
        <v>16</v>
      </c>
    </row>
    <row r="18" spans="1:13">
      <c r="D18" s="40">
        <v>1</v>
      </c>
      <c r="E18" s="40">
        <v>12</v>
      </c>
      <c r="G18" s="15"/>
      <c r="H18" s="15" t="s">
        <v>214</v>
      </c>
      <c r="I18" s="15" t="s">
        <v>9</v>
      </c>
      <c r="J18" s="15" t="s">
        <v>45</v>
      </c>
      <c r="K18" s="15" t="s">
        <v>56</v>
      </c>
      <c r="L18" s="15" t="s">
        <v>215</v>
      </c>
      <c r="M18" s="15" t="s">
        <v>216</v>
      </c>
    </row>
    <row r="19" spans="1:13">
      <c r="D19" s="40">
        <v>1</v>
      </c>
      <c r="E19" s="40">
        <v>14</v>
      </c>
      <c r="G19" s="16" t="s">
        <v>212</v>
      </c>
      <c r="H19" s="16">
        <v>33.5</v>
      </c>
      <c r="I19" s="16">
        <v>4.5846361784648613</v>
      </c>
      <c r="J19" s="16">
        <v>7.3070138383842878</v>
      </c>
      <c r="K19" s="16">
        <v>8.6872089940159996E-7</v>
      </c>
      <c r="L19" s="16">
        <v>23.868036806176729</v>
      </c>
      <c r="M19" s="16">
        <v>43.131963193823267</v>
      </c>
    </row>
    <row r="20" spans="1:13" ht="15.75" thickBot="1">
      <c r="D20" s="40">
        <v>1</v>
      </c>
      <c r="E20" s="40">
        <v>10</v>
      </c>
      <c r="G20" s="17" t="s">
        <v>4</v>
      </c>
      <c r="H20" s="17">
        <v>-22.399999999999995</v>
      </c>
      <c r="I20" s="17">
        <v>6.4836546621313635</v>
      </c>
      <c r="J20" s="17">
        <v>-3.4548416236339881</v>
      </c>
      <c r="K20" s="17">
        <v>2.8262307651200484E-3</v>
      </c>
      <c r="L20" s="17">
        <v>-36.021652980983333</v>
      </c>
      <c r="M20" s="17">
        <v>-8.778347019016655</v>
      </c>
    </row>
    <row r="21" spans="1:13">
      <c r="D21" s="40">
        <v>1</v>
      </c>
      <c r="E21" s="40">
        <v>18</v>
      </c>
    </row>
    <row r="22" spans="1:13">
      <c r="D22" s="40">
        <v>1</v>
      </c>
      <c r="E22" s="40">
        <v>4</v>
      </c>
    </row>
    <row r="23" spans="1:13">
      <c r="D23" s="111">
        <v>1</v>
      </c>
      <c r="E23" s="111">
        <v>11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87"/>
  <dimension ref="A1:G44"/>
  <sheetViews>
    <sheetView workbookViewId="0"/>
  </sheetViews>
  <sheetFormatPr defaultRowHeight="15"/>
  <cols>
    <col min="1" max="1" width="19.85546875" customWidth="1"/>
    <col min="2" max="2" width="14.7109375" customWidth="1"/>
    <col min="3" max="3" width="14.28515625" customWidth="1"/>
    <col min="4" max="4" width="17.140625" customWidth="1"/>
    <col min="6" max="6" width="12" customWidth="1"/>
    <col min="7" max="7" width="11.7109375" customWidth="1"/>
  </cols>
  <sheetData>
    <row r="1" spans="1:7">
      <c r="A1" t="s">
        <v>206</v>
      </c>
    </row>
    <row r="2" spans="1:7" ht="15.75" thickBot="1"/>
    <row r="3" spans="1:7">
      <c r="A3" s="18" t="s">
        <v>207</v>
      </c>
      <c r="B3" s="18"/>
    </row>
    <row r="4" spans="1:7">
      <c r="A4" s="16" t="s">
        <v>208</v>
      </c>
      <c r="B4" s="16">
        <v>0.63143952239527301</v>
      </c>
    </row>
    <row r="5" spans="1:7">
      <c r="A5" s="16" t="s">
        <v>201</v>
      </c>
      <c r="B5" s="16">
        <v>0.39871587044277046</v>
      </c>
    </row>
    <row r="6" spans="1:7">
      <c r="A6" s="16" t="s">
        <v>209</v>
      </c>
      <c r="B6" s="16">
        <v>0.36531119657847994</v>
      </c>
    </row>
    <row r="7" spans="1:7">
      <c r="A7" s="16" t="s">
        <v>9</v>
      </c>
      <c r="B7" s="16">
        <v>14.497892567159163</v>
      </c>
    </row>
    <row r="8" spans="1:7" ht="15.75" thickBot="1">
      <c r="A8" s="17" t="s">
        <v>42</v>
      </c>
      <c r="B8" s="17">
        <v>20</v>
      </c>
    </row>
    <row r="10" spans="1:7" ht="15.75" thickBot="1">
      <c r="A10" t="s">
        <v>210</v>
      </c>
    </row>
    <row r="11" spans="1:7">
      <c r="A11" s="15"/>
      <c r="B11" s="15" t="s">
        <v>26</v>
      </c>
      <c r="C11" s="15" t="s">
        <v>137</v>
      </c>
      <c r="D11" s="15" t="s">
        <v>156</v>
      </c>
      <c r="E11" s="15" t="s">
        <v>63</v>
      </c>
      <c r="F11" s="15" t="s">
        <v>213</v>
      </c>
    </row>
    <row r="12" spans="1:7">
      <c r="A12" s="16" t="s">
        <v>138</v>
      </c>
      <c r="B12" s="16">
        <v>1</v>
      </c>
      <c r="C12" s="16">
        <v>2508.8000000000002</v>
      </c>
      <c r="D12" s="16">
        <v>2508.8000000000002</v>
      </c>
      <c r="E12" s="16">
        <v>11.935930644393933</v>
      </c>
      <c r="F12" s="16">
        <v>2.8262307651200484E-3</v>
      </c>
    </row>
    <row r="13" spans="1:7">
      <c r="A13" s="16" t="s">
        <v>211</v>
      </c>
      <c r="B13" s="16">
        <v>18</v>
      </c>
      <c r="C13" s="16">
        <v>3783.3999999999996</v>
      </c>
      <c r="D13" s="16">
        <v>210.18888888888887</v>
      </c>
      <c r="E13" s="16"/>
      <c r="F13" s="16"/>
    </row>
    <row r="14" spans="1:7" ht="15.75" thickBot="1">
      <c r="A14" s="17" t="s">
        <v>1</v>
      </c>
      <c r="B14" s="17">
        <v>19</v>
      </c>
      <c r="C14" s="17">
        <v>6292.2</v>
      </c>
      <c r="D14" s="17"/>
      <c r="E14" s="17"/>
      <c r="F14" s="17"/>
    </row>
    <row r="15" spans="1:7" ht="15.75" thickBot="1"/>
    <row r="16" spans="1:7">
      <c r="A16" s="15"/>
      <c r="B16" s="15" t="s">
        <v>214</v>
      </c>
      <c r="C16" s="15" t="s">
        <v>9</v>
      </c>
      <c r="D16" s="15" t="s">
        <v>45</v>
      </c>
      <c r="E16" s="15" t="s">
        <v>56</v>
      </c>
      <c r="F16" s="15" t="s">
        <v>215</v>
      </c>
      <c r="G16" s="15" t="s">
        <v>216</v>
      </c>
    </row>
    <row r="17" spans="1:7">
      <c r="A17" s="16" t="s">
        <v>212</v>
      </c>
      <c r="B17" s="16">
        <v>33.5</v>
      </c>
      <c r="C17" s="16">
        <v>4.5846361784648613</v>
      </c>
      <c r="D17" s="16">
        <v>7.3070138383842878</v>
      </c>
      <c r="E17" s="16">
        <v>8.6872089940159996E-7</v>
      </c>
      <c r="F17" s="16">
        <v>23.868036806176729</v>
      </c>
      <c r="G17" s="16">
        <v>43.131963193823267</v>
      </c>
    </row>
    <row r="18" spans="1:7" ht="15.75" thickBot="1">
      <c r="A18" s="17" t="s">
        <v>4</v>
      </c>
      <c r="B18" s="17">
        <v>-22.399999999999995</v>
      </c>
      <c r="C18" s="17">
        <v>6.4836546621313635</v>
      </c>
      <c r="D18" s="17">
        <v>-3.4548416236339881</v>
      </c>
      <c r="E18" s="17">
        <v>2.8262307651200484E-3</v>
      </c>
      <c r="F18" s="17">
        <v>-36.021652980983333</v>
      </c>
      <c r="G18" s="17">
        <v>-8.778347019016655</v>
      </c>
    </row>
    <row r="22" spans="1:7">
      <c r="A22" t="s">
        <v>217</v>
      </c>
      <c r="F22" t="s">
        <v>221</v>
      </c>
    </row>
    <row r="23" spans="1:7" ht="15.75" thickBot="1"/>
    <row r="24" spans="1:7">
      <c r="A24" s="15" t="s">
        <v>218</v>
      </c>
      <c r="B24" s="15" t="s">
        <v>283</v>
      </c>
      <c r="C24" s="15" t="s">
        <v>219</v>
      </c>
      <c r="D24" s="15" t="s">
        <v>220</v>
      </c>
      <c r="F24" s="15" t="s">
        <v>222</v>
      </c>
      <c r="G24" s="15" t="s">
        <v>65</v>
      </c>
    </row>
    <row r="25" spans="1:7">
      <c r="A25" s="16">
        <v>1</v>
      </c>
      <c r="B25" s="16">
        <v>33.5</v>
      </c>
      <c r="C25" s="16">
        <v>0.5</v>
      </c>
      <c r="D25" s="16">
        <v>3.5432816496221299E-2</v>
      </c>
      <c r="F25" s="16">
        <v>2.5</v>
      </c>
      <c r="G25" s="16">
        <v>4</v>
      </c>
    </row>
    <row r="26" spans="1:7">
      <c r="A26" s="16">
        <v>2</v>
      </c>
      <c r="B26" s="16">
        <v>33.5</v>
      </c>
      <c r="C26" s="16">
        <v>18.5</v>
      </c>
      <c r="D26" s="16">
        <v>1.3110142103601881</v>
      </c>
      <c r="F26" s="16">
        <v>7.5</v>
      </c>
      <c r="G26" s="16">
        <v>5</v>
      </c>
    </row>
    <row r="27" spans="1:7">
      <c r="A27" s="16">
        <v>3</v>
      </c>
      <c r="B27" s="16">
        <v>33.5</v>
      </c>
      <c r="C27" s="16">
        <v>-16.5</v>
      </c>
      <c r="D27" s="16">
        <v>-1.169282944375303</v>
      </c>
      <c r="F27" s="16">
        <v>12.5</v>
      </c>
      <c r="G27" s="16">
        <v>6</v>
      </c>
    </row>
    <row r="28" spans="1:7">
      <c r="A28" s="16">
        <v>4</v>
      </c>
      <c r="B28" s="16">
        <v>33.5</v>
      </c>
      <c r="C28" s="16">
        <v>11.5</v>
      </c>
      <c r="D28" s="16">
        <v>0.81495477941308991</v>
      </c>
      <c r="F28" s="16">
        <v>17.5</v>
      </c>
      <c r="G28" s="16">
        <v>6</v>
      </c>
    </row>
    <row r="29" spans="1:7">
      <c r="A29" s="16">
        <v>5</v>
      </c>
      <c r="B29" s="16">
        <v>33.5</v>
      </c>
      <c r="C29" s="16">
        <v>-28.5</v>
      </c>
      <c r="D29" s="16">
        <v>-2.019670540284614</v>
      </c>
      <c r="F29" s="16">
        <v>22.5</v>
      </c>
      <c r="G29" s="16">
        <v>8</v>
      </c>
    </row>
    <row r="30" spans="1:7">
      <c r="A30" s="16">
        <v>6</v>
      </c>
      <c r="B30" s="16">
        <v>33.5</v>
      </c>
      <c r="C30" s="16">
        <v>-4.5</v>
      </c>
      <c r="D30" s="16">
        <v>-0.31889534846599171</v>
      </c>
      <c r="F30" s="16">
        <v>27.5</v>
      </c>
      <c r="G30" s="16">
        <v>10</v>
      </c>
    </row>
    <row r="31" spans="1:7">
      <c r="A31" s="16">
        <v>7</v>
      </c>
      <c r="B31" s="16">
        <v>33.5</v>
      </c>
      <c r="C31" s="16">
        <v>-2.5</v>
      </c>
      <c r="D31" s="16">
        <v>-0.17716408248110652</v>
      </c>
      <c r="F31" s="16">
        <v>32.5</v>
      </c>
      <c r="G31" s="16">
        <v>11</v>
      </c>
    </row>
    <row r="32" spans="1:7">
      <c r="A32" s="16">
        <v>8</v>
      </c>
      <c r="B32" s="16">
        <v>33.5</v>
      </c>
      <c r="C32" s="16">
        <v>-27.5</v>
      </c>
      <c r="D32" s="16">
        <v>-1.9488049072921716</v>
      </c>
      <c r="F32" s="16">
        <v>37.5</v>
      </c>
      <c r="G32" s="16">
        <v>12</v>
      </c>
    </row>
    <row r="33" spans="1:7">
      <c r="A33" s="16">
        <v>9</v>
      </c>
      <c r="B33" s="16">
        <v>33.5</v>
      </c>
      <c r="C33" s="16">
        <v>18.5</v>
      </c>
      <c r="D33" s="16">
        <v>1.3110142103601881</v>
      </c>
      <c r="F33" s="16">
        <v>42.5</v>
      </c>
      <c r="G33" s="16">
        <v>12</v>
      </c>
    </row>
    <row r="34" spans="1:7">
      <c r="A34" s="16">
        <v>10</v>
      </c>
      <c r="B34" s="16">
        <v>33.5</v>
      </c>
      <c r="C34" s="16">
        <v>30.5</v>
      </c>
      <c r="D34" s="16">
        <v>2.1614018062694993</v>
      </c>
      <c r="F34" s="16">
        <v>47.5</v>
      </c>
      <c r="G34" s="16">
        <v>14</v>
      </c>
    </row>
    <row r="35" spans="1:7">
      <c r="A35" s="16">
        <v>11</v>
      </c>
      <c r="B35" s="16">
        <v>11.100000000000005</v>
      </c>
      <c r="C35" s="16">
        <v>0.89999999999999503</v>
      </c>
      <c r="D35" s="16">
        <v>6.3779069693197993E-2</v>
      </c>
      <c r="F35" s="16">
        <v>52.5</v>
      </c>
      <c r="G35" s="16">
        <v>16</v>
      </c>
    </row>
    <row r="36" spans="1:7">
      <c r="A36" s="16">
        <v>12</v>
      </c>
      <c r="B36" s="16">
        <v>11.100000000000005</v>
      </c>
      <c r="C36" s="16">
        <v>-3.100000000000005</v>
      </c>
      <c r="D36" s="16">
        <v>-0.21968346227657243</v>
      </c>
      <c r="F36" s="16">
        <v>57.5</v>
      </c>
      <c r="G36" s="16">
        <v>17</v>
      </c>
    </row>
    <row r="37" spans="1:7">
      <c r="A37" s="16">
        <v>13</v>
      </c>
      <c r="B37" s="16">
        <v>11.100000000000005</v>
      </c>
      <c r="C37" s="16">
        <v>-5.100000000000005</v>
      </c>
      <c r="D37" s="16">
        <v>-0.36141472826145765</v>
      </c>
      <c r="F37" s="16">
        <v>62.5</v>
      </c>
      <c r="G37" s="16">
        <v>18</v>
      </c>
    </row>
    <row r="38" spans="1:7">
      <c r="A38" s="16">
        <v>14</v>
      </c>
      <c r="B38" s="16">
        <v>11.100000000000005</v>
      </c>
      <c r="C38" s="16">
        <v>4.899999999999995</v>
      </c>
      <c r="D38" s="16">
        <v>0.34724160166296841</v>
      </c>
      <c r="F38" s="16">
        <v>67.5</v>
      </c>
      <c r="G38" s="16">
        <v>29</v>
      </c>
    </row>
    <row r="39" spans="1:7">
      <c r="A39" s="16">
        <v>15</v>
      </c>
      <c r="B39" s="16">
        <v>11.100000000000005</v>
      </c>
      <c r="C39" s="16">
        <v>0.89999999999999503</v>
      </c>
      <c r="D39" s="16">
        <v>6.3779069693197993E-2</v>
      </c>
      <c r="F39" s="16">
        <v>72.5</v>
      </c>
      <c r="G39" s="16">
        <v>31</v>
      </c>
    </row>
    <row r="40" spans="1:7">
      <c r="A40" s="16">
        <v>16</v>
      </c>
      <c r="B40" s="16">
        <v>11.100000000000005</v>
      </c>
      <c r="C40" s="16">
        <v>2.899999999999995</v>
      </c>
      <c r="D40" s="16">
        <v>0.20551033567808319</v>
      </c>
      <c r="F40" s="16">
        <v>77.5</v>
      </c>
      <c r="G40" s="16">
        <v>34</v>
      </c>
    </row>
    <row r="41" spans="1:7">
      <c r="A41" s="16">
        <v>17</v>
      </c>
      <c r="B41" s="16">
        <v>11.100000000000005</v>
      </c>
      <c r="C41" s="16">
        <v>-1.100000000000005</v>
      </c>
      <c r="D41" s="16">
        <v>-7.7952196291687217E-2</v>
      </c>
      <c r="F41" s="16">
        <v>82.5</v>
      </c>
      <c r="G41" s="16">
        <v>45</v>
      </c>
    </row>
    <row r="42" spans="1:7">
      <c r="A42" s="16">
        <v>18</v>
      </c>
      <c r="B42" s="16">
        <v>11.100000000000005</v>
      </c>
      <c r="C42" s="16">
        <v>6.899999999999995</v>
      </c>
      <c r="D42" s="16">
        <v>0.48897286764785364</v>
      </c>
      <c r="F42" s="16">
        <v>87.5</v>
      </c>
      <c r="G42" s="16">
        <v>52</v>
      </c>
    </row>
    <row r="43" spans="1:7">
      <c r="A43" s="16">
        <v>19</v>
      </c>
      <c r="B43" s="16">
        <v>11.100000000000005</v>
      </c>
      <c r="C43" s="16">
        <v>-7.100000000000005</v>
      </c>
      <c r="D43" s="16">
        <v>-0.50314599424634288</v>
      </c>
      <c r="F43" s="16">
        <v>92.5</v>
      </c>
      <c r="G43" s="16">
        <v>52</v>
      </c>
    </row>
    <row r="44" spans="1:7" ht="15.75" thickBot="1">
      <c r="A44" s="17">
        <v>20</v>
      </c>
      <c r="B44" s="17">
        <v>11.100000000000005</v>
      </c>
      <c r="C44" s="17">
        <v>-0.10000000000000497</v>
      </c>
      <c r="D44" s="17">
        <v>-7.0865632992446132E-3</v>
      </c>
      <c r="F44" s="17">
        <v>97.5</v>
      </c>
      <c r="G44" s="17">
        <v>64</v>
      </c>
    </row>
  </sheetData>
  <sortState ref="G25:G44">
    <sortCondition ref="G25"/>
  </sortState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70"/>
  <dimension ref="A1:R20"/>
  <sheetViews>
    <sheetView workbookViewId="0"/>
  </sheetViews>
  <sheetFormatPr defaultRowHeight="15"/>
  <cols>
    <col min="1" max="2" width="10" customWidth="1"/>
    <col min="3" max="3" width="6.28515625" customWidth="1"/>
    <col min="4" max="4" width="4.5703125" customWidth="1"/>
    <col min="6" max="6" width="3.28515625" customWidth="1"/>
    <col min="7" max="7" width="30.42578125" customWidth="1"/>
    <col min="9" max="9" width="16.7109375" customWidth="1"/>
  </cols>
  <sheetData>
    <row r="1" spans="1:18">
      <c r="A1" s="1" t="s">
        <v>861</v>
      </c>
      <c r="B1" s="1"/>
    </row>
    <row r="2" spans="1:18">
      <c r="A2" s="1"/>
      <c r="B2" s="1"/>
    </row>
    <row r="3" spans="1:18">
      <c r="A3" s="583" t="s">
        <v>446</v>
      </c>
      <c r="B3" s="583" t="s">
        <v>134</v>
      </c>
      <c r="I3" t="s">
        <v>601</v>
      </c>
      <c r="Q3" t="s">
        <v>858</v>
      </c>
    </row>
    <row r="4" spans="1:18">
      <c r="A4" s="578">
        <v>5</v>
      </c>
      <c r="B4" s="408">
        <v>80</v>
      </c>
      <c r="D4" t="s">
        <v>859</v>
      </c>
      <c r="E4" s="492">
        <f>AVERAGE(A4:A18)</f>
        <v>19.399999999999999</v>
      </c>
      <c r="G4" t="e">
        <f ca="1">FTEXT(E4)</f>
        <v>#NAME?</v>
      </c>
    </row>
    <row r="5" spans="1:18" ht="15.75" thickBot="1">
      <c r="A5" s="578">
        <v>23</v>
      </c>
      <c r="B5" s="578">
        <v>78</v>
      </c>
      <c r="D5" t="s">
        <v>860</v>
      </c>
      <c r="E5" s="293">
        <f>AVERAGE(B4:B18)</f>
        <v>73.533333333333331</v>
      </c>
      <c r="G5" t="e">
        <f ca="1">FTEXT(E5)</f>
        <v>#NAME?</v>
      </c>
      <c r="I5" s="364" t="s">
        <v>606</v>
      </c>
      <c r="J5" s="364"/>
      <c r="L5" s="364"/>
      <c r="M5" s="364"/>
      <c r="Q5" s="583" t="s">
        <v>446</v>
      </c>
      <c r="R5" s="583" t="s">
        <v>134</v>
      </c>
    </row>
    <row r="6" spans="1:18" ht="15.75" thickTop="1">
      <c r="A6" s="578">
        <v>25</v>
      </c>
      <c r="B6" s="578">
        <v>60</v>
      </c>
      <c r="D6" t="s">
        <v>15</v>
      </c>
      <c r="E6" s="293">
        <f>COUNT(A4:A18)</f>
        <v>15</v>
      </c>
      <c r="G6" t="e">
        <f ca="1">FTEXT(E6)</f>
        <v>#NAME?</v>
      </c>
      <c r="I6" t="s">
        <v>208</v>
      </c>
      <c r="J6" t="e">
        <f ca="1">SQRT(J7)</f>
        <v>#NAME?</v>
      </c>
      <c r="L6" t="s">
        <v>498</v>
      </c>
      <c r="M6" t="e">
        <f ca="1">J10*LN(K15/J10)+2*(J14+1)</f>
        <v>#NAME?</v>
      </c>
      <c r="Q6" s="578">
        <v>5</v>
      </c>
      <c r="R6" s="5">
        <f>Q6*$E$11+$E$10</f>
        <v>85.586857437276166</v>
      </c>
    </row>
    <row r="7" spans="1:18">
      <c r="A7" s="578">
        <v>48</v>
      </c>
      <c r="B7" s="578">
        <v>53</v>
      </c>
      <c r="D7" t="s">
        <v>646</v>
      </c>
      <c r="E7" s="293">
        <f>DEVSQ(B4:B18)-DEVSQ(A4:A18)</f>
        <v>-487.86666666666702</v>
      </c>
      <c r="G7" t="e">
        <f ca="1">FTEXT(E7)</f>
        <v>#NAME?</v>
      </c>
      <c r="I7" t="s">
        <v>201</v>
      </c>
      <c r="J7" t="e">
        <f ca="1">K14/K16</f>
        <v>#NAME?</v>
      </c>
      <c r="L7" t="s">
        <v>499</v>
      </c>
      <c r="M7" t="e">
        <f ca="1">M6+2*(J14+2)*(J14+3)/(J10-J14-3)</f>
        <v>#NAME?</v>
      </c>
      <c r="Q7" s="578">
        <v>23</v>
      </c>
      <c r="R7" s="5">
        <f t="shared" ref="R7:R20" si="0">Q7*$E$11+$E$10</f>
        <v>70.519952307347609</v>
      </c>
    </row>
    <row r="8" spans="1:18">
      <c r="A8" s="82">
        <v>17</v>
      </c>
      <c r="B8" s="578">
        <v>85</v>
      </c>
      <c r="D8" t="s">
        <v>57</v>
      </c>
      <c r="E8" s="289">
        <f>2*COVAR(A4:A18,B4:B18)*E6</f>
        <v>-2728.4</v>
      </c>
      <c r="G8" t="e">
        <f ca="1">FTEXT(E8)</f>
        <v>#NAME?</v>
      </c>
      <c r="I8" t="s">
        <v>209</v>
      </c>
      <c r="J8" t="e">
        <f ca="1">1-(1-J7)*(J10-1)/(J10-J14-1)</f>
        <v>#NAME?</v>
      </c>
      <c r="L8" s="572" t="s">
        <v>762</v>
      </c>
      <c r="M8" s="572" t="e">
        <f ca="1">J10*LN(K15/J10)+(J14+1)*LN(J10)</f>
        <v>#NAME?</v>
      </c>
      <c r="Q8" s="578">
        <v>25</v>
      </c>
      <c r="R8" s="5">
        <f t="shared" si="0"/>
        <v>68.845851737355559</v>
      </c>
    </row>
    <row r="9" spans="1:18">
      <c r="A9" s="82">
        <v>8</v>
      </c>
      <c r="B9" s="578">
        <v>84</v>
      </c>
      <c r="I9" t="s">
        <v>9</v>
      </c>
      <c r="J9" t="e">
        <f ca="1">SQRT(L15)</f>
        <v>#NAME?</v>
      </c>
      <c r="Q9" s="578">
        <v>48</v>
      </c>
      <c r="R9" s="5">
        <f t="shared" si="0"/>
        <v>49.593695182446851</v>
      </c>
    </row>
    <row r="10" spans="1:18">
      <c r="A10" s="578">
        <v>4</v>
      </c>
      <c r="B10" s="578">
        <v>73</v>
      </c>
      <c r="D10" t="s">
        <v>18</v>
      </c>
      <c r="E10" s="492">
        <f>E5-E4*E11</f>
        <v>89.772108862256317</v>
      </c>
      <c r="G10" t="e">
        <f ca="1">FTEXT(E10)</f>
        <v>#NAME?</v>
      </c>
      <c r="I10" s="572" t="s">
        <v>42</v>
      </c>
      <c r="J10" s="572">
        <f>COUNT(B4:B18)</f>
        <v>15</v>
      </c>
      <c r="Q10" s="82">
        <v>17</v>
      </c>
      <c r="R10" s="5">
        <f t="shared" si="0"/>
        <v>75.542254017323799</v>
      </c>
    </row>
    <row r="11" spans="1:18">
      <c r="A11" s="578">
        <v>26</v>
      </c>
      <c r="B11" s="578">
        <v>79</v>
      </c>
      <c r="D11" t="s">
        <v>19</v>
      </c>
      <c r="E11" s="289">
        <f>(E7+SQRT(E7^2+E8^2))/E8</f>
        <v>-0.83705028499603051</v>
      </c>
      <c r="G11" t="e">
        <f ca="1">FTEXT(E11)</f>
        <v>#NAME?</v>
      </c>
      <c r="Q11" s="82">
        <v>8</v>
      </c>
      <c r="R11" s="5">
        <f t="shared" si="0"/>
        <v>83.075706582288078</v>
      </c>
    </row>
    <row r="12" spans="1:18" ht="15.75" thickBot="1">
      <c r="A12" s="578">
        <v>11</v>
      </c>
      <c r="B12" s="578">
        <v>81</v>
      </c>
      <c r="I12" t="s">
        <v>210</v>
      </c>
      <c r="M12" s="577" t="s">
        <v>16</v>
      </c>
      <c r="N12" s="577">
        <v>0.05</v>
      </c>
      <c r="Q12" s="578">
        <v>4</v>
      </c>
      <c r="R12" s="5">
        <f t="shared" si="0"/>
        <v>86.42390772227219</v>
      </c>
    </row>
    <row r="13" spans="1:18" ht="15.75" thickTop="1">
      <c r="A13" s="578">
        <v>19</v>
      </c>
      <c r="B13" s="578">
        <v>75</v>
      </c>
      <c r="D13" t="s">
        <v>18</v>
      </c>
      <c r="E13" s="492" t="e">
        <f t="array" aca="1" ref="E13:E14" ca="1">TRegCoeff0(A4:A18,B4:B18)</f>
        <v>#NAME?</v>
      </c>
      <c r="G13" t="e">
        <f ca="1">FTEXT(E13)</f>
        <v>#NAME?</v>
      </c>
      <c r="I13" s="398"/>
      <c r="J13" s="398" t="s">
        <v>26</v>
      </c>
      <c r="K13" s="398" t="s">
        <v>137</v>
      </c>
      <c r="L13" s="398" t="s">
        <v>156</v>
      </c>
      <c r="M13" s="398" t="s">
        <v>63</v>
      </c>
      <c r="N13" s="398" t="s">
        <v>30</v>
      </c>
      <c r="O13" s="398" t="s">
        <v>374</v>
      </c>
      <c r="Q13" s="578">
        <v>26</v>
      </c>
      <c r="R13" s="5">
        <f t="shared" si="0"/>
        <v>68.008801452359521</v>
      </c>
    </row>
    <row r="14" spans="1:18">
      <c r="A14" s="578">
        <v>14</v>
      </c>
      <c r="B14" s="578">
        <v>68</v>
      </c>
      <c r="D14" t="s">
        <v>19</v>
      </c>
      <c r="E14" s="289" t="e">
        <f ca="1"/>
        <v>#NAME?</v>
      </c>
      <c r="I14" t="s">
        <v>138</v>
      </c>
      <c r="J14">
        <f>COUNT(A4)</f>
        <v>1</v>
      </c>
      <c r="K14" t="e">
        <f ca="1">DEVSQ(MMULT(DESIGN(A4:A18),J19:J20))</f>
        <v>#NAME?</v>
      </c>
      <c r="L14" t="e">
        <f ca="1">K14/J14</f>
        <v>#NAME?</v>
      </c>
      <c r="M14" t="e">
        <f ca="1">L14/L15</f>
        <v>#NAME?</v>
      </c>
      <c r="N14" t="e">
        <f ca="1">FDIST(M14,J14,J15)</f>
        <v>#NAME?</v>
      </c>
      <c r="O14" s="577" t="e">
        <f ca="1">IF(N14&lt;N12,"yes","no")</f>
        <v>#NAME?</v>
      </c>
      <c r="Q14" s="578">
        <v>11</v>
      </c>
      <c r="R14" s="5">
        <f t="shared" si="0"/>
        <v>80.564555727299989</v>
      </c>
    </row>
    <row r="15" spans="1:18">
      <c r="A15" s="578">
        <v>35</v>
      </c>
      <c r="B15" s="578">
        <v>72</v>
      </c>
      <c r="I15" t="s">
        <v>211</v>
      </c>
      <c r="J15">
        <f>J16-J14</f>
        <v>13</v>
      </c>
      <c r="K15" t="e">
        <f ca="1">K16-K14</f>
        <v>#NAME?</v>
      </c>
      <c r="L15" t="e">
        <f ca="1">K15/J15</f>
        <v>#NAME?</v>
      </c>
      <c r="Q15" s="578">
        <v>19</v>
      </c>
      <c r="R15" s="5">
        <f t="shared" si="0"/>
        <v>73.868153447331736</v>
      </c>
    </row>
    <row r="16" spans="1:18">
      <c r="A16" s="578">
        <v>29</v>
      </c>
      <c r="B16" s="578">
        <v>58</v>
      </c>
      <c r="D16" t="s">
        <v>18</v>
      </c>
      <c r="E16" s="492" t="e">
        <f t="array" aca="1" ref="E16:E17" ca="1">TRegCoeff(A4:A18,B4:B18)</f>
        <v>#NAME?</v>
      </c>
      <c r="G16" t="e">
        <f ca="1">FTEXT(E16)</f>
        <v>#NAME?</v>
      </c>
      <c r="I16" s="572" t="s">
        <v>1</v>
      </c>
      <c r="J16" s="572">
        <f>J10-1</f>
        <v>14</v>
      </c>
      <c r="K16" s="572">
        <f>DEVSQ(B4:B18)</f>
        <v>1683.7333333333333</v>
      </c>
      <c r="L16" s="572"/>
      <c r="M16" s="572"/>
      <c r="N16" s="572"/>
      <c r="O16" s="572"/>
      <c r="Q16" s="578">
        <v>14</v>
      </c>
      <c r="R16" s="5">
        <f t="shared" si="0"/>
        <v>78.053404872311887</v>
      </c>
    </row>
    <row r="17" spans="1:18" ht="15.75" thickBot="1">
      <c r="A17" s="578">
        <v>4</v>
      </c>
      <c r="B17" s="578">
        <v>92</v>
      </c>
      <c r="D17" t="s">
        <v>19</v>
      </c>
      <c r="E17" s="289" t="e">
        <f ca="1"/>
        <v>#NAME?</v>
      </c>
      <c r="Q17" s="578">
        <v>35</v>
      </c>
      <c r="R17" s="5">
        <f t="shared" si="0"/>
        <v>60.475348887395249</v>
      </c>
    </row>
    <row r="18" spans="1:18" ht="15.75" thickTop="1">
      <c r="A18" s="584">
        <v>23</v>
      </c>
      <c r="B18" s="584">
        <v>65</v>
      </c>
      <c r="I18" s="398"/>
      <c r="J18" s="398" t="s">
        <v>600</v>
      </c>
      <c r="K18" s="398" t="s">
        <v>503</v>
      </c>
      <c r="L18" s="398" t="s">
        <v>27</v>
      </c>
      <c r="M18" s="398" t="s">
        <v>30</v>
      </c>
      <c r="N18" s="398" t="s">
        <v>13</v>
      </c>
      <c r="O18" s="398" t="s">
        <v>14</v>
      </c>
      <c r="Q18" s="578">
        <v>29</v>
      </c>
      <c r="R18" s="5">
        <f t="shared" si="0"/>
        <v>65.497650597371432</v>
      </c>
    </row>
    <row r="19" spans="1:18">
      <c r="I19" t="s">
        <v>212</v>
      </c>
      <c r="J19" t="e">
        <f t="array" aca="1" ref="J19:K20" ca="1">RegCoeff(A4:A18,B4:B18)</f>
        <v>#NAME?</v>
      </c>
      <c r="K19" t="e">
        <f ca="1"/>
        <v>#NAME?</v>
      </c>
      <c r="L19" t="e">
        <f ca="1">J19/K19</f>
        <v>#NAME?</v>
      </c>
      <c r="M19" t="e">
        <f ca="1">TDIST(ABS(L19),$J$15,2)</f>
        <v>#NAME?</v>
      </c>
      <c r="N19" t="e">
        <f ca="1">J19-TINV(N$12,$J$15)*K19</f>
        <v>#NAME?</v>
      </c>
      <c r="O19" t="e">
        <f ca="1">J19+TINV(N$12,$J$15)*K19</f>
        <v>#NAME?</v>
      </c>
      <c r="Q19" s="578">
        <v>4</v>
      </c>
      <c r="R19" s="5">
        <f t="shared" si="0"/>
        <v>86.42390772227219</v>
      </c>
    </row>
    <row r="20" spans="1:18">
      <c r="I20" s="572" t="str">
        <f t="array" ref="I20">TRANSPOSE(A3)</f>
        <v>Cig</v>
      </c>
      <c r="J20" s="572" t="e">
        <f ca="1"/>
        <v>#NAME?</v>
      </c>
      <c r="K20" s="572" t="e">
        <f ca="1"/>
        <v>#NAME?</v>
      </c>
      <c r="L20" s="572" t="e">
        <f ca="1">J20/K20</f>
        <v>#NAME?</v>
      </c>
      <c r="M20" s="572" t="e">
        <f ca="1">TDIST(ABS(L20),$J$15,2)</f>
        <v>#NAME?</v>
      </c>
      <c r="N20" s="572" t="e">
        <f ca="1">J20-TINV(N$12,$J$15)*K20</f>
        <v>#NAME?</v>
      </c>
      <c r="O20" s="572" t="e">
        <f ca="1">J20+TINV(N$12,$J$15)*K20</f>
        <v>#NAME?</v>
      </c>
      <c r="Q20" s="584">
        <v>23</v>
      </c>
      <c r="R20" s="572">
        <f t="shared" si="0"/>
        <v>70.519952307347609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7"/>
  <dimension ref="A1:AH31"/>
  <sheetViews>
    <sheetView workbookViewId="0"/>
  </sheetViews>
  <sheetFormatPr defaultRowHeight="15"/>
  <cols>
    <col min="1" max="3" width="7.85546875" customWidth="1"/>
    <col min="4" max="4" width="7" customWidth="1"/>
    <col min="5" max="5" width="9" customWidth="1"/>
    <col min="7" max="7" width="3.140625" customWidth="1"/>
    <col min="8" max="8" width="52.5703125" customWidth="1"/>
    <col min="10" max="12" width="7.85546875" customWidth="1"/>
  </cols>
  <sheetData>
    <row r="1" spans="1:34">
      <c r="A1" s="1" t="s">
        <v>865</v>
      </c>
    </row>
    <row r="3" spans="1:34">
      <c r="A3" s="491" t="s">
        <v>24</v>
      </c>
      <c r="B3" s="574" t="s">
        <v>4</v>
      </c>
      <c r="C3" s="574" t="s">
        <v>65</v>
      </c>
      <c r="E3" t="s">
        <v>661</v>
      </c>
      <c r="J3" t="s">
        <v>866</v>
      </c>
      <c r="U3" t="s">
        <v>592</v>
      </c>
      <c r="AE3" t="s">
        <v>867</v>
      </c>
    </row>
    <row r="4" spans="1:34">
      <c r="A4" s="577">
        <v>1</v>
      </c>
      <c r="B4" s="162">
        <v>5.0999999999999996</v>
      </c>
      <c r="C4" s="162">
        <v>5.4</v>
      </c>
    </row>
    <row r="5" spans="1:34">
      <c r="A5" s="577">
        <v>2</v>
      </c>
      <c r="B5" s="162">
        <v>5.6</v>
      </c>
      <c r="C5" s="162">
        <v>5.6</v>
      </c>
      <c r="E5" t="s">
        <v>859</v>
      </c>
      <c r="F5" s="517">
        <f>AVERAGE(B4:B13)</f>
        <v>5.6000000000000005</v>
      </c>
      <c r="H5" t="e">
        <f t="shared" ref="H5:H13" ca="1" si="0">FTEXT(F5)</f>
        <v>#NAME?</v>
      </c>
      <c r="J5" s="491" t="s">
        <v>24</v>
      </c>
      <c r="K5" s="574" t="s">
        <v>4</v>
      </c>
      <c r="L5" s="574" t="s">
        <v>65</v>
      </c>
      <c r="M5" s="574" t="s">
        <v>720</v>
      </c>
      <c r="N5" s="574" t="s">
        <v>868</v>
      </c>
      <c r="O5" s="574" t="s">
        <v>869</v>
      </c>
      <c r="P5" s="574" t="s">
        <v>870</v>
      </c>
      <c r="Q5" s="574" t="s">
        <v>871</v>
      </c>
      <c r="R5" s="574" t="s">
        <v>872</v>
      </c>
      <c r="S5" s="574" t="s">
        <v>873</v>
      </c>
      <c r="T5" s="578"/>
      <c r="U5" s="585"/>
      <c r="V5" s="585" t="str">
        <f>S5</f>
        <v>opt res</v>
      </c>
      <c r="AE5" t="s">
        <v>11</v>
      </c>
      <c r="AF5">
        <f>COUNT(S6:S15)</f>
        <v>10</v>
      </c>
      <c r="AG5">
        <f>2*AF5</f>
        <v>20</v>
      </c>
    </row>
    <row r="6" spans="1:34">
      <c r="A6" s="577">
        <v>3</v>
      </c>
      <c r="B6" s="162">
        <v>6.8</v>
      </c>
      <c r="C6" s="162">
        <v>6.3</v>
      </c>
      <c r="E6" s="586" t="s">
        <v>874</v>
      </c>
      <c r="F6" s="305">
        <f>AVERAGE(C4:C13)</f>
        <v>5.5299999999999994</v>
      </c>
      <c r="H6" t="e">
        <f t="shared" ca="1" si="0"/>
        <v>#NAME?</v>
      </c>
      <c r="J6" s="577">
        <v>1</v>
      </c>
      <c r="K6" s="162">
        <f>B4</f>
        <v>5.0999999999999996</v>
      </c>
      <c r="L6" s="162">
        <f>C4</f>
        <v>5.4</v>
      </c>
      <c r="M6">
        <f>F$12+K6*F$13</f>
        <v>5.0210000821743401</v>
      </c>
      <c r="N6">
        <f t="shared" ref="N6:N15" si="1">K6+$F$11*$F$13*P6/($F$11*$F$13^2+1)</f>
        <v>5.3686176266229442</v>
      </c>
      <c r="O6">
        <f t="shared" ref="O6:O15" si="2">L6-P6/($F$11*$F$13^2+1)</f>
        <v>5.2944527819295439</v>
      </c>
      <c r="P6" s="24">
        <f>L6-M6</f>
        <v>0.37899991782566023</v>
      </c>
      <c r="Q6" s="24">
        <f>K6-N6</f>
        <v>-0.26861762662294453</v>
      </c>
      <c r="R6" s="24">
        <f>L6-O6</f>
        <v>0.10554721807045642</v>
      </c>
      <c r="S6">
        <f>SIGN(P6)*SQRT(Q6^2+$F$11*R6^2)</f>
        <v>0.31623720122492682</v>
      </c>
      <c r="U6" t="s">
        <v>504</v>
      </c>
      <c r="V6" t="e">
        <f ca="1">SHAPIRO(S6:S15)</f>
        <v>#NAME?</v>
      </c>
      <c r="AE6" t="s">
        <v>8</v>
      </c>
      <c r="AF6">
        <f>AVERAGE(S6:S15)</f>
        <v>1.2878587085651815E-15</v>
      </c>
    </row>
    <row r="7" spans="1:34">
      <c r="A7" s="577">
        <v>4</v>
      </c>
      <c r="B7" s="162">
        <v>5.9</v>
      </c>
      <c r="C7" s="162">
        <v>6.1</v>
      </c>
      <c r="E7" t="s">
        <v>591</v>
      </c>
      <c r="F7" s="293">
        <f>DEVSQ(B4:B13)</f>
        <v>7.919999999999999</v>
      </c>
      <c r="H7" t="e">
        <f t="shared" ca="1" si="0"/>
        <v>#NAME?</v>
      </c>
      <c r="J7" s="577">
        <v>2</v>
      </c>
      <c r="K7" s="162">
        <f t="shared" ref="K7:L15" si="3">B5</f>
        <v>5.6</v>
      </c>
      <c r="L7" s="162">
        <f t="shared" si="3"/>
        <v>5.6</v>
      </c>
      <c r="M7">
        <f t="shared" ref="M7:M15" si="4">F$12+K7*F$13</f>
        <v>5.5299999999999985</v>
      </c>
      <c r="N7">
        <f t="shared" si="1"/>
        <v>5.6496127650145187</v>
      </c>
      <c r="O7">
        <f t="shared" si="2"/>
        <v>5.5805057866309857</v>
      </c>
      <c r="P7" s="24">
        <f t="shared" ref="P7:P15" si="5">L7-M7</f>
        <v>7.0000000000001172E-2</v>
      </c>
      <c r="Q7" s="24">
        <f t="shared" ref="Q7:R15" si="6">K7-N7</f>
        <v>-4.9612765014519056E-2</v>
      </c>
      <c r="R7" s="24">
        <f t="shared" si="6"/>
        <v>1.9494213369013913E-2</v>
      </c>
      <c r="S7">
        <f t="shared" ref="S7:S15" si="7">SIGN(P7)*SQRT(Q7^2+$F$11*R7^2)</f>
        <v>5.8407939011554652E-2</v>
      </c>
      <c r="U7" t="s">
        <v>30</v>
      </c>
      <c r="V7" t="e">
        <f ca="1">SWTEST(S6:S15)</f>
        <v>#NAME?</v>
      </c>
      <c r="AE7" t="s">
        <v>25</v>
      </c>
      <c r="AF7">
        <f>STDEV(S6:S15)</f>
        <v>0.35621510901495318</v>
      </c>
    </row>
    <row r="8" spans="1:34">
      <c r="A8" s="577">
        <v>5</v>
      </c>
      <c r="B8" s="162">
        <v>4</v>
      </c>
      <c r="C8" s="162">
        <v>4.7</v>
      </c>
      <c r="E8" t="s">
        <v>645</v>
      </c>
      <c r="F8" s="293">
        <f>DEVSQ(C4:C13)</f>
        <v>7.4809999999999999</v>
      </c>
      <c r="H8" t="e">
        <f t="shared" ca="1" si="0"/>
        <v>#NAME?</v>
      </c>
      <c r="J8" s="577">
        <v>3</v>
      </c>
      <c r="K8" s="162">
        <f t="shared" si="3"/>
        <v>6.8</v>
      </c>
      <c r="L8" s="162">
        <f t="shared" si="3"/>
        <v>6.3</v>
      </c>
      <c r="M8">
        <f t="shared" si="4"/>
        <v>6.7515998027815769</v>
      </c>
      <c r="N8">
        <f t="shared" si="1"/>
        <v>6.4799269300570703</v>
      </c>
      <c r="O8">
        <f t="shared" si="2"/>
        <v>6.4257654701832623</v>
      </c>
      <c r="P8" s="24">
        <f t="shared" si="5"/>
        <v>-0.45159980278157708</v>
      </c>
      <c r="Q8" s="24">
        <f t="shared" si="6"/>
        <v>0.3200730699429295</v>
      </c>
      <c r="R8" s="24">
        <f t="shared" si="6"/>
        <v>-0.12576547018326245</v>
      </c>
      <c r="S8">
        <f t="shared" si="7"/>
        <v>-0.37681448197851175</v>
      </c>
      <c r="U8" t="s">
        <v>53</v>
      </c>
      <c r="V8">
        <v>0.05</v>
      </c>
    </row>
    <row r="9" spans="1:34">
      <c r="A9" s="577">
        <v>6</v>
      </c>
      <c r="B9" s="162">
        <v>5.6</v>
      </c>
      <c r="C9" s="162">
        <v>5.0999999999999996</v>
      </c>
      <c r="E9" t="s">
        <v>57</v>
      </c>
      <c r="F9" s="293">
        <f>SUMPRODUCT(B4:B13-F5,C4:C13-F6)</f>
        <v>6.8999999999999986</v>
      </c>
      <c r="H9" t="e">
        <f t="shared" ca="1" si="0"/>
        <v>#NAME?</v>
      </c>
      <c r="J9" s="577">
        <v>4</v>
      </c>
      <c r="K9" s="162">
        <f t="shared" si="3"/>
        <v>5.9</v>
      </c>
      <c r="L9" s="162">
        <f t="shared" si="3"/>
        <v>6.1</v>
      </c>
      <c r="M9">
        <f t="shared" si="4"/>
        <v>5.8353999506953933</v>
      </c>
      <c r="N9">
        <f t="shared" si="1"/>
        <v>6.0875362866997049</v>
      </c>
      <c r="O9">
        <f t="shared" si="2"/>
        <v>6.0263118597343501</v>
      </c>
      <c r="P9" s="24">
        <f t="shared" si="5"/>
        <v>0.26460004930460634</v>
      </c>
      <c r="Q9" s="24">
        <f t="shared" si="6"/>
        <v>-0.18753628669970457</v>
      </c>
      <c r="R9" s="24">
        <f t="shared" si="6"/>
        <v>7.3688140265649515E-2</v>
      </c>
      <c r="S9">
        <f t="shared" si="7"/>
        <v>0.22078205060339232</v>
      </c>
      <c r="U9" s="572" t="s">
        <v>593</v>
      </c>
      <c r="V9" s="587" t="e">
        <f ca="1">IF(V7&lt;V8,"no","yes")</f>
        <v>#NAME?</v>
      </c>
      <c r="AE9" t="s">
        <v>33</v>
      </c>
      <c r="AF9" t="s">
        <v>34</v>
      </c>
      <c r="AG9" t="s">
        <v>135</v>
      </c>
      <c r="AH9" t="s">
        <v>35</v>
      </c>
    </row>
    <row r="10" spans="1:34">
      <c r="A10" s="577">
        <v>7</v>
      </c>
      <c r="B10" s="162">
        <v>6.6</v>
      </c>
      <c r="C10" s="162">
        <v>6.6</v>
      </c>
      <c r="E10" t="s">
        <v>15</v>
      </c>
      <c r="F10" s="293">
        <f>COUNT(B4:B13)</f>
        <v>10</v>
      </c>
      <c r="H10" t="e">
        <f t="shared" ca="1" si="0"/>
        <v>#NAME?</v>
      </c>
      <c r="J10" s="577">
        <v>5</v>
      </c>
      <c r="K10" s="162">
        <f t="shared" si="3"/>
        <v>4</v>
      </c>
      <c r="L10" s="162">
        <f t="shared" si="3"/>
        <v>4.7</v>
      </c>
      <c r="M10">
        <f t="shared" si="4"/>
        <v>3.9012002629578939</v>
      </c>
      <c r="N10">
        <f t="shared" si="1"/>
        <v>4.5661523378218405</v>
      </c>
      <c r="O10">
        <f t="shared" si="2"/>
        <v>4.4775432498141354</v>
      </c>
      <c r="P10" s="24">
        <f t="shared" si="5"/>
        <v>0.79879973704210627</v>
      </c>
      <c r="Q10" s="24">
        <f t="shared" si="6"/>
        <v>-0.56615233782184049</v>
      </c>
      <c r="R10" s="24">
        <f t="shared" si="6"/>
        <v>0.22245675018586475</v>
      </c>
      <c r="S10">
        <f t="shared" si="7"/>
        <v>0.66651780462285926</v>
      </c>
      <c r="AE10">
        <v>1</v>
      </c>
      <c r="AF10" t="e">
        <f t="array" aca="1" ref="AF10:AF19" ca="1">QSORT(S6:S15)</f>
        <v>#NAME?</v>
      </c>
      <c r="AG10">
        <f t="shared" ref="AG10:AG19" si="8">NORMSINV(AE10/AG$5)</f>
        <v>-1.6448536269514726</v>
      </c>
      <c r="AH10" t="e">
        <f t="shared" ref="AH10:AH19" ca="1" si="9">STANDARDIZE(AF10,AF$6,AF$7)</f>
        <v>#NAME?</v>
      </c>
    </row>
    <row r="11" spans="1:34">
      <c r="A11" s="577">
        <v>8</v>
      </c>
      <c r="B11" s="162">
        <v>6.7</v>
      </c>
      <c r="C11" s="162">
        <v>6.8</v>
      </c>
      <c r="E11" s="27" t="s">
        <v>502</v>
      </c>
      <c r="F11" s="588">
        <f>B15/C15</f>
        <v>2.5</v>
      </c>
      <c r="H11" t="e">
        <f t="shared" ca="1" si="0"/>
        <v>#NAME?</v>
      </c>
      <c r="J11" s="577">
        <v>6</v>
      </c>
      <c r="K11" s="162">
        <f t="shared" si="3"/>
        <v>5.6</v>
      </c>
      <c r="L11" s="162">
        <f t="shared" si="3"/>
        <v>5.0999999999999996</v>
      </c>
      <c r="M11">
        <f t="shared" si="4"/>
        <v>5.5299999999999985</v>
      </c>
      <c r="N11">
        <f t="shared" si="1"/>
        <v>5.2952358720536754</v>
      </c>
      <c r="O11">
        <f t="shared" si="2"/>
        <v>5.2197501678382237</v>
      </c>
      <c r="P11" s="24">
        <f t="shared" si="5"/>
        <v>-0.42999999999999883</v>
      </c>
      <c r="Q11" s="24">
        <f t="shared" si="6"/>
        <v>0.30476412794632424</v>
      </c>
      <c r="R11" s="24">
        <f t="shared" si="6"/>
        <v>-0.11975016783822401</v>
      </c>
      <c r="S11">
        <f t="shared" si="7"/>
        <v>-0.35879162535668324</v>
      </c>
      <c r="AE11">
        <f>AE10+2</f>
        <v>3</v>
      </c>
      <c r="AF11" t="e">
        <f ca="1"/>
        <v>#NAME?</v>
      </c>
      <c r="AG11">
        <f t="shared" si="8"/>
        <v>-1.0364333894937898</v>
      </c>
      <c r="AH11" t="e">
        <f t="shared" ca="1" si="9"/>
        <v>#NAME?</v>
      </c>
    </row>
    <row r="12" spans="1:34">
      <c r="A12" s="577">
        <v>9</v>
      </c>
      <c r="B12" s="162">
        <v>5.2</v>
      </c>
      <c r="C12" s="162">
        <v>4.5999999999999996</v>
      </c>
      <c r="E12" t="s">
        <v>303</v>
      </c>
      <c r="F12" s="293">
        <f>F6-F5*F13</f>
        <v>-0.17079907964736751</v>
      </c>
      <c r="H12" t="e">
        <f t="shared" ca="1" si="0"/>
        <v>#NAME?</v>
      </c>
      <c r="J12" s="577">
        <v>7</v>
      </c>
      <c r="K12" s="162">
        <f t="shared" si="3"/>
        <v>6.6</v>
      </c>
      <c r="L12" s="162">
        <f t="shared" si="3"/>
        <v>6.6</v>
      </c>
      <c r="M12">
        <f t="shared" si="4"/>
        <v>6.5479998356513134</v>
      </c>
      <c r="N12">
        <f t="shared" si="1"/>
        <v>6.6368553133506811</v>
      </c>
      <c r="O12">
        <f t="shared" si="2"/>
        <v>6.5855185385851849</v>
      </c>
      <c r="P12" s="24">
        <f t="shared" si="5"/>
        <v>5.2000164348686262E-2</v>
      </c>
      <c r="Q12" s="24">
        <f t="shared" si="6"/>
        <v>-3.6855313350681485E-2</v>
      </c>
      <c r="R12" s="24">
        <f t="shared" si="6"/>
        <v>1.4481461414814767E-2</v>
      </c>
      <c r="S12">
        <f t="shared" si="7"/>
        <v>4.3388891826697341E-2</v>
      </c>
      <c r="AE12">
        <f t="shared" ref="AE12:AE19" si="10">AE11+2</f>
        <v>5</v>
      </c>
      <c r="AF12" t="e">
        <f ca="1"/>
        <v>#NAME?</v>
      </c>
      <c r="AG12">
        <f t="shared" si="8"/>
        <v>-0.67448975019608193</v>
      </c>
      <c r="AH12" t="e">
        <f t="shared" ca="1" si="9"/>
        <v>#NAME?</v>
      </c>
    </row>
    <row r="13" spans="1:34">
      <c r="A13" s="584">
        <v>10</v>
      </c>
      <c r="B13" s="589">
        <v>4.5</v>
      </c>
      <c r="C13" s="589">
        <v>4.0999999999999996</v>
      </c>
      <c r="E13" t="s">
        <v>301</v>
      </c>
      <c r="F13" s="289">
        <f>(F11*F8-F7+SQRT((F11*F8-F7)^2+4*F11*F9^2))/(2*F11*F9)</f>
        <v>1.0179998356513154</v>
      </c>
      <c r="H13" t="e">
        <f t="shared" ca="1" si="0"/>
        <v>#NAME?</v>
      </c>
      <c r="J13" s="577">
        <v>8</v>
      </c>
      <c r="K13" s="162">
        <f t="shared" si="3"/>
        <v>6.7</v>
      </c>
      <c r="L13" s="162">
        <f t="shared" si="3"/>
        <v>6.8</v>
      </c>
      <c r="M13">
        <f t="shared" si="4"/>
        <v>6.6497998192164456</v>
      </c>
      <c r="N13">
        <f t="shared" si="1"/>
        <v>6.8064549467764657</v>
      </c>
      <c r="O13">
        <f t="shared" si="2"/>
        <v>6.7581709375391572</v>
      </c>
      <c r="P13" s="24">
        <f t="shared" si="5"/>
        <v>0.15020018078355424</v>
      </c>
      <c r="Q13" s="24">
        <f t="shared" si="6"/>
        <v>-0.1064549467764655</v>
      </c>
      <c r="R13" s="24">
        <f t="shared" si="6"/>
        <v>4.1829062460842614E-2</v>
      </c>
      <c r="S13">
        <f t="shared" si="7"/>
        <v>0.12532689998185859</v>
      </c>
      <c r="AE13">
        <f t="shared" si="10"/>
        <v>7</v>
      </c>
      <c r="AF13" t="e">
        <f ca="1"/>
        <v>#NAME?</v>
      </c>
      <c r="AG13">
        <f t="shared" si="8"/>
        <v>-0.38532046640756784</v>
      </c>
      <c r="AH13" t="e">
        <f t="shared" ca="1" si="9"/>
        <v>#NAME?</v>
      </c>
    </row>
    <row r="14" spans="1:34">
      <c r="J14" s="577">
        <v>9</v>
      </c>
      <c r="K14" s="162">
        <f t="shared" si="3"/>
        <v>5.2</v>
      </c>
      <c r="L14" s="162">
        <f t="shared" si="3"/>
        <v>4.5999999999999996</v>
      </c>
      <c r="M14">
        <f t="shared" si="4"/>
        <v>5.1228000657394723</v>
      </c>
      <c r="N14">
        <f t="shared" si="1"/>
        <v>4.8294634741270421</v>
      </c>
      <c r="O14">
        <f t="shared" si="2"/>
        <v>4.7455939432979921</v>
      </c>
      <c r="P14" s="24">
        <f t="shared" si="5"/>
        <v>-0.52280006573947269</v>
      </c>
      <c r="Q14" s="24">
        <f t="shared" si="6"/>
        <v>0.37053652587295804</v>
      </c>
      <c r="R14" s="24">
        <f t="shared" si="6"/>
        <v>-0.14559394329799247</v>
      </c>
      <c r="S14">
        <f t="shared" si="7"/>
        <v>-0.43622391935638849</v>
      </c>
      <c r="AE14">
        <f t="shared" si="10"/>
        <v>9</v>
      </c>
      <c r="AF14" t="e">
        <f ca="1"/>
        <v>#NAME?</v>
      </c>
      <c r="AG14">
        <f t="shared" si="8"/>
        <v>-0.12566134685507402</v>
      </c>
      <c r="AH14" t="e">
        <f t="shared" ca="1" si="9"/>
        <v>#NAME?</v>
      </c>
    </row>
    <row r="15" spans="1:34">
      <c r="A15" s="574" t="s">
        <v>6</v>
      </c>
      <c r="B15" s="574">
        <v>0.05</v>
      </c>
      <c r="C15" s="574">
        <v>0.02</v>
      </c>
      <c r="J15" s="584">
        <v>10</v>
      </c>
      <c r="K15" s="589">
        <f t="shared" si="3"/>
        <v>4.5</v>
      </c>
      <c r="L15" s="589">
        <f t="shared" si="3"/>
        <v>4.0999999999999996</v>
      </c>
      <c r="M15" s="572">
        <f t="shared" si="4"/>
        <v>4.4102001807835514</v>
      </c>
      <c r="N15" s="572">
        <f t="shared" si="1"/>
        <v>4.2801444474760659</v>
      </c>
      <c r="O15" s="572">
        <f t="shared" si="2"/>
        <v>4.1863872644471574</v>
      </c>
      <c r="P15" s="590">
        <f t="shared" si="5"/>
        <v>-0.31020018078355172</v>
      </c>
      <c r="Q15" s="590">
        <f t="shared" si="6"/>
        <v>0.21985555252393407</v>
      </c>
      <c r="R15" s="590">
        <f t="shared" si="6"/>
        <v>-8.6387264447157719E-2</v>
      </c>
      <c r="S15" s="572">
        <f t="shared" si="7"/>
        <v>-0.25883076057969279</v>
      </c>
      <c r="T15" s="5"/>
      <c r="AE15">
        <f t="shared" si="10"/>
        <v>11</v>
      </c>
      <c r="AF15" t="e">
        <f ca="1"/>
        <v>#NAME?</v>
      </c>
      <c r="AG15">
        <f t="shared" si="8"/>
        <v>0.12566134685507416</v>
      </c>
      <c r="AH15" t="e">
        <f t="shared" ca="1" si="9"/>
        <v>#NAME?</v>
      </c>
    </row>
    <row r="16" spans="1:34">
      <c r="A16" s="27"/>
      <c r="C16" s="577"/>
      <c r="E16" t="e">
        <f t="array" aca="1" ref="E16:F17" ca="1">DRegCoeff(B4:B13,C4:C13,F11,TRUE)</f>
        <v>#NAME?</v>
      </c>
      <c r="F16" s="492" t="e">
        <f ca="1"/>
        <v>#NAME?</v>
      </c>
      <c r="H16" t="e">
        <f ca="1">FTEXT(F16)</f>
        <v>#NAME?</v>
      </c>
      <c r="P16" s="28">
        <f>AVERAGE(P6:P15)</f>
        <v>1.4210854715202005E-15</v>
      </c>
      <c r="Q16" s="28">
        <f>AVERAGE(Q6:Q15)</f>
        <v>-9.7699626167013783E-16</v>
      </c>
      <c r="R16" s="28">
        <f>AVERAGE(R6:R15)</f>
        <v>5.3290705182007512E-16</v>
      </c>
      <c r="S16" s="28">
        <f>AVERAGE(S6:S15)</f>
        <v>1.2878587085651815E-15</v>
      </c>
      <c r="AE16">
        <f t="shared" si="10"/>
        <v>13</v>
      </c>
      <c r="AF16" t="e">
        <f ca="1"/>
        <v>#NAME?</v>
      </c>
      <c r="AG16">
        <f t="shared" si="8"/>
        <v>0.38532046640756784</v>
      </c>
      <c r="AH16" t="e">
        <f t="shared" ca="1" si="9"/>
        <v>#NAME?</v>
      </c>
    </row>
    <row r="17" spans="5:34">
      <c r="E17" t="e">
        <f ca="1"/>
        <v>#NAME?</v>
      </c>
      <c r="F17" s="289" t="e">
        <f ca="1"/>
        <v>#NAME?</v>
      </c>
      <c r="AE17">
        <f t="shared" si="10"/>
        <v>15</v>
      </c>
      <c r="AF17" t="e">
        <f ca="1"/>
        <v>#NAME?</v>
      </c>
      <c r="AG17">
        <f t="shared" si="8"/>
        <v>0.67448975019608193</v>
      </c>
      <c r="AH17" t="e">
        <f t="shared" ca="1" si="9"/>
        <v>#NAME?</v>
      </c>
    </row>
    <row r="18" spans="5:34">
      <c r="J18" t="s">
        <v>875</v>
      </c>
      <c r="AE18">
        <f t="shared" si="10"/>
        <v>17</v>
      </c>
      <c r="AF18" t="e">
        <f ca="1"/>
        <v>#NAME?</v>
      </c>
      <c r="AG18">
        <f t="shared" si="8"/>
        <v>1.0364333894937898</v>
      </c>
      <c r="AH18" t="e">
        <f t="shared" ca="1" si="9"/>
        <v>#NAME?</v>
      </c>
    </row>
    <row r="19" spans="5:34">
      <c r="Q19" s="578"/>
      <c r="R19" s="578"/>
      <c r="S19" s="578"/>
      <c r="T19" s="578"/>
      <c r="AE19">
        <f t="shared" si="10"/>
        <v>19</v>
      </c>
      <c r="AF19" t="e">
        <f ca="1"/>
        <v>#NAME?</v>
      </c>
      <c r="AG19">
        <f t="shared" si="8"/>
        <v>1.6448536269514715</v>
      </c>
      <c r="AH19" t="e">
        <f t="shared" ca="1" si="9"/>
        <v>#NAME?</v>
      </c>
    </row>
    <row r="20" spans="5:34">
      <c r="J20" s="491" t="s">
        <v>24</v>
      </c>
      <c r="K20" s="574" t="s">
        <v>4</v>
      </c>
      <c r="L20" s="574" t="s">
        <v>65</v>
      </c>
      <c r="M20" s="574" t="e">
        <f t="array" aca="1" ref="M20:S30" ca="1">DRegResiduals(K21:K30,L21:L30,F11,TRUE)</f>
        <v>#NAME?</v>
      </c>
      <c r="N20" s="574" t="e">
        <f ca="1"/>
        <v>#NAME?</v>
      </c>
      <c r="O20" s="574" t="e">
        <f ca="1"/>
        <v>#NAME?</v>
      </c>
      <c r="P20" s="574" t="e">
        <f ca="1"/>
        <v>#NAME?</v>
      </c>
      <c r="Q20" s="574" t="e">
        <f ca="1"/>
        <v>#NAME?</v>
      </c>
      <c r="R20" s="574" t="e">
        <f ca="1"/>
        <v>#NAME?</v>
      </c>
      <c r="S20" s="574" t="e">
        <f ca="1"/>
        <v>#NAME?</v>
      </c>
    </row>
    <row r="21" spans="5:34">
      <c r="J21" s="577">
        <v>1</v>
      </c>
      <c r="K21" s="162">
        <f t="shared" ref="K21:L30" si="11">B4</f>
        <v>5.0999999999999996</v>
      </c>
      <c r="L21" s="162">
        <f t="shared" si="11"/>
        <v>5.4</v>
      </c>
      <c r="M21" t="e">
        <f ca="1"/>
        <v>#NAME?</v>
      </c>
      <c r="N21" t="e">
        <f ca="1"/>
        <v>#NAME?</v>
      </c>
      <c r="O21" t="e">
        <f ca="1"/>
        <v>#NAME?</v>
      </c>
      <c r="P21" t="e">
        <f ca="1"/>
        <v>#NAME?</v>
      </c>
      <c r="Q21" t="e">
        <f ca="1"/>
        <v>#NAME?</v>
      </c>
      <c r="R21" t="e">
        <f ca="1"/>
        <v>#NAME?</v>
      </c>
      <c r="S21" t="e">
        <f ca="1"/>
        <v>#NAME?</v>
      </c>
    </row>
    <row r="22" spans="5:34">
      <c r="J22" s="577">
        <v>2</v>
      </c>
      <c r="K22" s="162">
        <f t="shared" si="11"/>
        <v>5.6</v>
      </c>
      <c r="L22" s="162">
        <f t="shared" si="11"/>
        <v>5.6</v>
      </c>
      <c r="M22" t="e">
        <f ca="1"/>
        <v>#NAME?</v>
      </c>
      <c r="N22" t="e">
        <f ca="1"/>
        <v>#NAME?</v>
      </c>
      <c r="O22" t="e">
        <f ca="1"/>
        <v>#NAME?</v>
      </c>
      <c r="P22" t="e">
        <f ca="1"/>
        <v>#NAME?</v>
      </c>
      <c r="Q22" t="e">
        <f ca="1"/>
        <v>#NAME?</v>
      </c>
      <c r="R22" t="e">
        <f ca="1"/>
        <v>#NAME?</v>
      </c>
      <c r="S22" t="e">
        <f ca="1"/>
        <v>#NAME?</v>
      </c>
    </row>
    <row r="23" spans="5:34">
      <c r="J23" s="577">
        <v>3</v>
      </c>
      <c r="K23" s="162">
        <f t="shared" si="11"/>
        <v>6.8</v>
      </c>
      <c r="L23" s="162">
        <f t="shared" si="11"/>
        <v>6.3</v>
      </c>
      <c r="M23" t="e">
        <f ca="1"/>
        <v>#NAME?</v>
      </c>
      <c r="N23" t="e">
        <f ca="1"/>
        <v>#NAME?</v>
      </c>
      <c r="O23" t="e">
        <f ca="1"/>
        <v>#NAME?</v>
      </c>
      <c r="P23" t="e">
        <f ca="1"/>
        <v>#NAME?</v>
      </c>
      <c r="Q23" t="e">
        <f ca="1"/>
        <v>#NAME?</v>
      </c>
      <c r="R23" t="e">
        <f ca="1"/>
        <v>#NAME?</v>
      </c>
      <c r="S23" t="e">
        <f ca="1"/>
        <v>#NAME?</v>
      </c>
    </row>
    <row r="24" spans="5:34">
      <c r="J24" s="577">
        <v>4</v>
      </c>
      <c r="K24" s="162">
        <f t="shared" si="11"/>
        <v>5.9</v>
      </c>
      <c r="L24" s="162">
        <f t="shared" si="11"/>
        <v>6.1</v>
      </c>
      <c r="M24" t="e">
        <f ca="1"/>
        <v>#NAME?</v>
      </c>
      <c r="N24" t="e">
        <f ca="1"/>
        <v>#NAME?</v>
      </c>
      <c r="O24" t="e">
        <f ca="1"/>
        <v>#NAME?</v>
      </c>
      <c r="P24" t="e">
        <f ca="1"/>
        <v>#NAME?</v>
      </c>
      <c r="Q24" t="e">
        <f ca="1"/>
        <v>#NAME?</v>
      </c>
      <c r="R24" t="e">
        <f ca="1"/>
        <v>#NAME?</v>
      </c>
      <c r="S24" t="e">
        <f ca="1"/>
        <v>#NAME?</v>
      </c>
    </row>
    <row r="25" spans="5:34">
      <c r="J25" s="577">
        <v>5</v>
      </c>
      <c r="K25" s="162">
        <f t="shared" si="11"/>
        <v>4</v>
      </c>
      <c r="L25" s="162">
        <f t="shared" si="11"/>
        <v>4.7</v>
      </c>
      <c r="M25" t="e">
        <f ca="1"/>
        <v>#NAME?</v>
      </c>
      <c r="N25" t="e">
        <f ca="1"/>
        <v>#NAME?</v>
      </c>
      <c r="O25" t="e">
        <f ca="1"/>
        <v>#NAME?</v>
      </c>
      <c r="P25" t="e">
        <f ca="1"/>
        <v>#NAME?</v>
      </c>
      <c r="Q25" t="e">
        <f ca="1"/>
        <v>#NAME?</v>
      </c>
      <c r="R25" t="e">
        <f ca="1"/>
        <v>#NAME?</v>
      </c>
      <c r="S25" t="e">
        <f ca="1"/>
        <v>#NAME?</v>
      </c>
    </row>
    <row r="26" spans="5:34">
      <c r="J26" s="577">
        <v>6</v>
      </c>
      <c r="K26" s="162">
        <f t="shared" si="11"/>
        <v>5.6</v>
      </c>
      <c r="L26" s="162">
        <f t="shared" si="11"/>
        <v>5.0999999999999996</v>
      </c>
      <c r="M26" t="e">
        <f ca="1"/>
        <v>#NAME?</v>
      </c>
      <c r="N26" t="e">
        <f ca="1"/>
        <v>#NAME?</v>
      </c>
      <c r="O26" t="e">
        <f ca="1"/>
        <v>#NAME?</v>
      </c>
      <c r="P26" t="e">
        <f ca="1"/>
        <v>#NAME?</v>
      </c>
      <c r="Q26" t="e">
        <f ca="1"/>
        <v>#NAME?</v>
      </c>
      <c r="R26" t="e">
        <f ca="1"/>
        <v>#NAME?</v>
      </c>
      <c r="S26" t="e">
        <f ca="1"/>
        <v>#NAME?</v>
      </c>
    </row>
    <row r="27" spans="5:34">
      <c r="J27" s="577">
        <v>7</v>
      </c>
      <c r="K27" s="162">
        <f t="shared" si="11"/>
        <v>6.6</v>
      </c>
      <c r="L27" s="162">
        <f t="shared" si="11"/>
        <v>6.6</v>
      </c>
      <c r="M27" t="e">
        <f ca="1"/>
        <v>#NAME?</v>
      </c>
      <c r="N27" t="e">
        <f ca="1"/>
        <v>#NAME?</v>
      </c>
      <c r="O27" t="e">
        <f ca="1"/>
        <v>#NAME?</v>
      </c>
      <c r="P27" t="e">
        <f ca="1"/>
        <v>#NAME?</v>
      </c>
      <c r="Q27" t="e">
        <f ca="1"/>
        <v>#NAME?</v>
      </c>
      <c r="R27" t="e">
        <f ca="1"/>
        <v>#NAME?</v>
      </c>
      <c r="S27" t="e">
        <f ca="1"/>
        <v>#NAME?</v>
      </c>
    </row>
    <row r="28" spans="5:34">
      <c r="J28" s="577">
        <v>8</v>
      </c>
      <c r="K28" s="162">
        <f t="shared" si="11"/>
        <v>6.7</v>
      </c>
      <c r="L28" s="162">
        <f t="shared" si="11"/>
        <v>6.8</v>
      </c>
      <c r="M28" t="e">
        <f ca="1"/>
        <v>#NAME?</v>
      </c>
      <c r="N28" t="e">
        <f ca="1"/>
        <v>#NAME?</v>
      </c>
      <c r="O28" t="e">
        <f ca="1"/>
        <v>#NAME?</v>
      </c>
      <c r="P28" t="e">
        <f ca="1"/>
        <v>#NAME?</v>
      </c>
      <c r="Q28" t="e">
        <f ca="1"/>
        <v>#NAME?</v>
      </c>
      <c r="R28" t="e">
        <f ca="1"/>
        <v>#NAME?</v>
      </c>
      <c r="S28" t="e">
        <f ca="1"/>
        <v>#NAME?</v>
      </c>
    </row>
    <row r="29" spans="5:34">
      <c r="J29" s="577">
        <v>9</v>
      </c>
      <c r="K29" s="162">
        <f t="shared" si="11"/>
        <v>5.2</v>
      </c>
      <c r="L29" s="162">
        <f t="shared" si="11"/>
        <v>4.5999999999999996</v>
      </c>
      <c r="M29" t="e">
        <f ca="1"/>
        <v>#NAME?</v>
      </c>
      <c r="N29" t="e">
        <f ca="1"/>
        <v>#NAME?</v>
      </c>
      <c r="O29" t="e">
        <f ca="1"/>
        <v>#NAME?</v>
      </c>
      <c r="P29" t="e">
        <f ca="1"/>
        <v>#NAME?</v>
      </c>
      <c r="Q29" t="e">
        <f ca="1"/>
        <v>#NAME?</v>
      </c>
      <c r="R29" t="e">
        <f ca="1"/>
        <v>#NAME?</v>
      </c>
      <c r="S29" t="e">
        <f ca="1"/>
        <v>#NAME?</v>
      </c>
      <c r="T29" s="5"/>
    </row>
    <row r="30" spans="5:34">
      <c r="J30" s="584">
        <v>10</v>
      </c>
      <c r="K30" s="589">
        <f t="shared" si="11"/>
        <v>4.5</v>
      </c>
      <c r="L30" s="589">
        <f t="shared" si="11"/>
        <v>4.0999999999999996</v>
      </c>
      <c r="M30" s="572" t="e">
        <f ca="1"/>
        <v>#NAME?</v>
      </c>
      <c r="N30" s="572" t="e">
        <f ca="1"/>
        <v>#NAME?</v>
      </c>
      <c r="O30" s="572" t="e">
        <f ca="1"/>
        <v>#NAME?</v>
      </c>
      <c r="P30" s="572" t="e">
        <f ca="1"/>
        <v>#NAME?</v>
      </c>
      <c r="Q30" s="572" t="e">
        <f ca="1"/>
        <v>#NAME?</v>
      </c>
      <c r="R30" s="572" t="e">
        <f ca="1"/>
        <v>#NAME?</v>
      </c>
      <c r="S30" s="572" t="e">
        <f ca="1"/>
        <v>#NAME?</v>
      </c>
      <c r="T30" s="28"/>
    </row>
    <row r="31" spans="5:34">
      <c r="P31" s="28" t="e">
        <f ca="1">AVERAGE(P21:P30)</f>
        <v>#NAME?</v>
      </c>
      <c r="Q31" s="28" t="e">
        <f ca="1">AVERAGE(Q21:Q30)</f>
        <v>#NAME?</v>
      </c>
      <c r="R31" s="28" t="e">
        <f ca="1">AVERAGE(R21:R30)</f>
        <v>#NAME?</v>
      </c>
      <c r="S31" s="28" t="e">
        <f ca="1">AVERAGE(S21:S30)</f>
        <v>#NAME?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89"/>
  <dimension ref="A1:W15"/>
  <sheetViews>
    <sheetView workbookViewId="0"/>
  </sheetViews>
  <sheetFormatPr defaultRowHeight="15"/>
  <cols>
    <col min="1" max="6" width="7.28515625" customWidth="1"/>
    <col min="10" max="10" width="3.7109375" customWidth="1"/>
    <col min="11" max="12" width="8" customWidth="1"/>
    <col min="13" max="13" width="7.85546875" customWidth="1"/>
    <col min="14" max="14" width="3.28515625" customWidth="1"/>
    <col min="15" max="15" width="6" customWidth="1"/>
  </cols>
  <sheetData>
    <row r="1" spans="1:23">
      <c r="A1" s="1" t="s">
        <v>876</v>
      </c>
    </row>
    <row r="2" spans="1:23">
      <c r="H2" s="735" t="s">
        <v>877</v>
      </c>
      <c r="I2" s="735"/>
      <c r="L2" s="576"/>
      <c r="M2" s="576"/>
      <c r="O2" s="735" t="s">
        <v>878</v>
      </c>
      <c r="P2" s="735"/>
    </row>
    <row r="3" spans="1:23">
      <c r="A3" s="574" t="s">
        <v>24</v>
      </c>
      <c r="B3" s="573" t="s">
        <v>795</v>
      </c>
      <c r="C3" s="574" t="s">
        <v>796</v>
      </c>
      <c r="D3" s="575" t="s">
        <v>797</v>
      </c>
      <c r="E3" s="573" t="s">
        <v>879</v>
      </c>
      <c r="F3" s="575" t="s">
        <v>880</v>
      </c>
      <c r="H3" s="574" t="s">
        <v>4</v>
      </c>
      <c r="I3" s="574" t="s">
        <v>65</v>
      </c>
      <c r="K3" s="574" t="s">
        <v>24</v>
      </c>
      <c r="L3" s="574" t="s">
        <v>4</v>
      </c>
      <c r="M3" s="574" t="s">
        <v>65</v>
      </c>
      <c r="R3" s="574" t="s">
        <v>24</v>
      </c>
      <c r="S3" s="574" t="s">
        <v>4</v>
      </c>
      <c r="T3" s="574" t="s">
        <v>65</v>
      </c>
      <c r="V3" t="e">
        <f t="array" aca="1" ref="V3:W4" ca="1">DRegCoeff(B4:D13,E4:F13,,TRUE)</f>
        <v>#NAME?</v>
      </c>
      <c r="W3" s="492" t="e">
        <f ca="1"/>
        <v>#NAME?</v>
      </c>
    </row>
    <row r="4" spans="1:23">
      <c r="A4" s="577">
        <v>1</v>
      </c>
      <c r="B4" s="296">
        <v>96</v>
      </c>
      <c r="C4" s="578">
        <v>110</v>
      </c>
      <c r="D4" s="291">
        <v>104</v>
      </c>
      <c r="E4" s="296">
        <v>80</v>
      </c>
      <c r="F4" s="291">
        <v>75</v>
      </c>
      <c r="H4">
        <f>DEVSQ(B4:D4)</f>
        <v>98.666666666666671</v>
      </c>
      <c r="I4">
        <f>DEVSQ(E4:F4)</f>
        <v>12.5</v>
      </c>
      <c r="K4" s="577">
        <v>1</v>
      </c>
      <c r="L4" s="555">
        <f t="shared" ref="L4:L13" si="0">AVERAGE(B4:D4)</f>
        <v>103.33333333333333</v>
      </c>
      <c r="M4" s="555">
        <f t="shared" ref="M4:M13" si="1">AVERAGE(E4:F4)</f>
        <v>77.5</v>
      </c>
      <c r="O4" s="577" t="s">
        <v>859</v>
      </c>
      <c r="P4" s="517">
        <f>AVERAGE(L4:L13)</f>
        <v>243.1</v>
      </c>
      <c r="R4" s="577">
        <v>1</v>
      </c>
      <c r="S4" s="555" t="e">
        <f t="array" aca="1" ref="S4:S13" ca="1">MEANROW(B4:D13)</f>
        <v>#NAME?</v>
      </c>
      <c r="T4" s="555" t="e">
        <f t="array" aca="1" ref="T4:T13" ca="1">MEANROW(E4:F13)</f>
        <v>#NAME?</v>
      </c>
      <c r="V4" t="e">
        <f ca="1"/>
        <v>#NAME?</v>
      </c>
      <c r="W4" s="289" t="e">
        <f ca="1"/>
        <v>#NAME?</v>
      </c>
    </row>
    <row r="5" spans="1:23">
      <c r="A5" s="577">
        <v>2</v>
      </c>
      <c r="B5" s="296">
        <v>124</v>
      </c>
      <c r="C5" s="578">
        <v>130</v>
      </c>
      <c r="D5" s="291">
        <v>132</v>
      </c>
      <c r="E5" s="296">
        <v>89</v>
      </c>
      <c r="F5" s="291">
        <v>80</v>
      </c>
      <c r="H5">
        <f t="shared" ref="H5:H13" si="2">DEVSQ(B5:D5)</f>
        <v>34.666666666666671</v>
      </c>
      <c r="I5">
        <f t="shared" ref="I5:I13" si="3">DEVSQ(E5:F5)</f>
        <v>40.5</v>
      </c>
      <c r="K5" s="577">
        <v>2</v>
      </c>
      <c r="L5" s="555">
        <f t="shared" si="0"/>
        <v>128.66666666666666</v>
      </c>
      <c r="M5" s="555">
        <f t="shared" si="1"/>
        <v>84.5</v>
      </c>
      <c r="O5" s="592" t="s">
        <v>874</v>
      </c>
      <c r="P5" s="305">
        <f>AVERAGE(M4:M13)</f>
        <v>172</v>
      </c>
      <c r="R5" s="577">
        <v>2</v>
      </c>
      <c r="S5" s="555" t="e">
        <f ca="1"/>
        <v>#NAME?</v>
      </c>
      <c r="T5" s="555" t="e">
        <f ca="1"/>
        <v>#NAME?</v>
      </c>
    </row>
    <row r="6" spans="1:23">
      <c r="A6" s="577">
        <v>3</v>
      </c>
      <c r="B6" s="296">
        <v>146</v>
      </c>
      <c r="C6" s="578">
        <v>150</v>
      </c>
      <c r="D6" s="291">
        <v>160</v>
      </c>
      <c r="E6" s="296">
        <v>93</v>
      </c>
      <c r="F6" s="291">
        <v>102</v>
      </c>
      <c r="H6">
        <f t="shared" si="2"/>
        <v>104</v>
      </c>
      <c r="I6">
        <f t="shared" si="3"/>
        <v>40.5</v>
      </c>
      <c r="K6" s="577">
        <v>3</v>
      </c>
      <c r="L6" s="555">
        <f t="shared" si="0"/>
        <v>152</v>
      </c>
      <c r="M6" s="555">
        <f t="shared" si="1"/>
        <v>97.5</v>
      </c>
      <c r="O6" s="577" t="s">
        <v>591</v>
      </c>
      <c r="P6" s="293">
        <f>DEVSQ(L4:L13)</f>
        <v>94254.233333333337</v>
      </c>
      <c r="R6" s="577">
        <v>3</v>
      </c>
      <c r="S6" s="555" t="e">
        <f ca="1"/>
        <v>#NAME?</v>
      </c>
      <c r="T6" s="555" t="e">
        <f ca="1"/>
        <v>#NAME?</v>
      </c>
      <c r="V6" s="68" t="s">
        <v>502</v>
      </c>
      <c r="W6" s="303" t="e">
        <f ca="1">DRegLambda(B4:D13,E4:F13)</f>
        <v>#NAME?</v>
      </c>
    </row>
    <row r="7" spans="1:23">
      <c r="A7" s="577">
        <v>4</v>
      </c>
      <c r="B7" s="296">
        <v>184</v>
      </c>
      <c r="C7" s="578">
        <v>188</v>
      </c>
      <c r="D7" s="291">
        <v>192</v>
      </c>
      <c r="E7" s="296">
        <v>111</v>
      </c>
      <c r="F7" s="291">
        <v>111</v>
      </c>
      <c r="H7">
        <f t="shared" si="2"/>
        <v>32</v>
      </c>
      <c r="I7">
        <f t="shared" si="3"/>
        <v>0</v>
      </c>
      <c r="K7" s="577">
        <v>4</v>
      </c>
      <c r="L7" s="555">
        <f t="shared" si="0"/>
        <v>188</v>
      </c>
      <c r="M7" s="555">
        <f t="shared" si="1"/>
        <v>111</v>
      </c>
      <c r="O7" s="577" t="s">
        <v>645</v>
      </c>
      <c r="P7" s="293">
        <f>DEVSQ(M4:M13)</f>
        <v>56154.5</v>
      </c>
      <c r="R7" s="577">
        <v>4</v>
      </c>
      <c r="S7" s="555" t="e">
        <f ca="1"/>
        <v>#NAME?</v>
      </c>
      <c r="T7" s="555" t="e">
        <f ca="1"/>
        <v>#NAME?</v>
      </c>
    </row>
    <row r="8" spans="1:23">
      <c r="A8" s="577">
        <v>5</v>
      </c>
      <c r="B8" s="296">
        <v>224</v>
      </c>
      <c r="C8" s="578">
        <v>230</v>
      </c>
      <c r="D8" s="291">
        <v>220</v>
      </c>
      <c r="E8" s="296">
        <v>163</v>
      </c>
      <c r="F8" s="291">
        <v>170</v>
      </c>
      <c r="H8">
        <f t="shared" si="2"/>
        <v>50.666666666666671</v>
      </c>
      <c r="I8">
        <f t="shared" si="3"/>
        <v>24.5</v>
      </c>
      <c r="K8" s="577">
        <v>5</v>
      </c>
      <c r="L8" s="555">
        <f t="shared" si="0"/>
        <v>224.66666666666666</v>
      </c>
      <c r="M8" s="555">
        <f t="shared" si="1"/>
        <v>166.5</v>
      </c>
      <c r="O8" s="577" t="s">
        <v>57</v>
      </c>
      <c r="P8" s="293">
        <f>SUMPRODUCT(L4:L13-P4,M4:M13-P5)</f>
        <v>72170</v>
      </c>
      <c r="R8" s="577">
        <v>5</v>
      </c>
      <c r="S8" s="555" t="e">
        <f ca="1"/>
        <v>#NAME?</v>
      </c>
      <c r="T8" s="555" t="e">
        <f ca="1"/>
        <v>#NAME?</v>
      </c>
    </row>
    <row r="9" spans="1:23">
      <c r="A9" s="577">
        <v>6</v>
      </c>
      <c r="B9" s="296">
        <v>256</v>
      </c>
      <c r="C9" s="578">
        <v>252</v>
      </c>
      <c r="D9" s="291">
        <v>246</v>
      </c>
      <c r="E9" s="296">
        <v>188</v>
      </c>
      <c r="F9" s="291">
        <v>177</v>
      </c>
      <c r="H9">
        <f t="shared" si="2"/>
        <v>50.666666666666671</v>
      </c>
      <c r="I9">
        <f t="shared" si="3"/>
        <v>60.5</v>
      </c>
      <c r="K9" s="577">
        <v>6</v>
      </c>
      <c r="L9" s="555">
        <f t="shared" si="0"/>
        <v>251.33333333333334</v>
      </c>
      <c r="M9" s="555">
        <f t="shared" si="1"/>
        <v>182.5</v>
      </c>
      <c r="O9" s="577" t="s">
        <v>15</v>
      </c>
      <c r="P9" s="293">
        <f>COUNT(L4:L13)</f>
        <v>10</v>
      </c>
      <c r="R9" s="577">
        <v>6</v>
      </c>
      <c r="S9" s="555" t="e">
        <f ca="1"/>
        <v>#NAME?</v>
      </c>
      <c r="T9" s="555" t="e">
        <f ca="1"/>
        <v>#NAME?</v>
      </c>
    </row>
    <row r="10" spans="1:23">
      <c r="A10" s="577">
        <v>7</v>
      </c>
      <c r="B10" s="296">
        <v>284</v>
      </c>
      <c r="C10" s="578">
        <v>284</v>
      </c>
      <c r="D10" s="291">
        <v>288</v>
      </c>
      <c r="E10" s="296">
        <v>201</v>
      </c>
      <c r="F10" s="291">
        <v>196</v>
      </c>
      <c r="H10">
        <f t="shared" si="2"/>
        <v>10.666666666666666</v>
      </c>
      <c r="I10">
        <f t="shared" si="3"/>
        <v>12.5</v>
      </c>
      <c r="K10" s="577">
        <v>7</v>
      </c>
      <c r="L10" s="555">
        <f t="shared" si="0"/>
        <v>285.33333333333331</v>
      </c>
      <c r="M10" s="555">
        <f t="shared" si="1"/>
        <v>198.5</v>
      </c>
      <c r="O10" s="68" t="s">
        <v>502</v>
      </c>
      <c r="P10" s="588">
        <f>L15/M15</f>
        <v>2.4111675126903558</v>
      </c>
      <c r="R10" s="577">
        <v>7</v>
      </c>
      <c r="S10" s="555" t="e">
        <f ca="1"/>
        <v>#NAME?</v>
      </c>
      <c r="T10" s="555" t="e">
        <f ca="1"/>
        <v>#NAME?</v>
      </c>
    </row>
    <row r="11" spans="1:23">
      <c r="A11" s="577">
        <v>8</v>
      </c>
      <c r="B11" s="296">
        <v>332</v>
      </c>
      <c r="C11" s="578">
        <v>326</v>
      </c>
      <c r="D11" s="291">
        <v>346</v>
      </c>
      <c r="E11" s="296">
        <v>232</v>
      </c>
      <c r="F11" s="291">
        <v>234</v>
      </c>
      <c r="H11">
        <f t="shared" si="2"/>
        <v>210.66666666666666</v>
      </c>
      <c r="I11">
        <f t="shared" si="3"/>
        <v>2</v>
      </c>
      <c r="K11" s="577">
        <v>8</v>
      </c>
      <c r="L11" s="555">
        <f t="shared" si="0"/>
        <v>334.66666666666669</v>
      </c>
      <c r="M11" s="555">
        <f t="shared" si="1"/>
        <v>233</v>
      </c>
      <c r="O11" s="577" t="s">
        <v>303</v>
      </c>
      <c r="P11" s="293">
        <f>P5-P4*P12</f>
        <v>-15.911682801075273</v>
      </c>
      <c r="R11" s="577">
        <v>8</v>
      </c>
      <c r="S11" s="555" t="e">
        <f ca="1"/>
        <v>#NAME?</v>
      </c>
      <c r="T11" s="555" t="e">
        <f ca="1"/>
        <v>#NAME?</v>
      </c>
    </row>
    <row r="12" spans="1:23">
      <c r="A12" s="577">
        <v>9</v>
      </c>
      <c r="B12" s="296">
        <v>352</v>
      </c>
      <c r="C12" s="578">
        <v>344</v>
      </c>
      <c r="D12" s="291">
        <v>369</v>
      </c>
      <c r="E12" s="296">
        <v>269</v>
      </c>
      <c r="F12" s="291">
        <v>271</v>
      </c>
      <c r="H12">
        <f t="shared" si="2"/>
        <v>326</v>
      </c>
      <c r="I12">
        <f t="shared" si="3"/>
        <v>2</v>
      </c>
      <c r="K12" s="577">
        <v>9</v>
      </c>
      <c r="L12" s="555">
        <f t="shared" si="0"/>
        <v>355</v>
      </c>
      <c r="M12" s="555">
        <f t="shared" si="1"/>
        <v>270</v>
      </c>
      <c r="O12" s="577" t="s">
        <v>301</v>
      </c>
      <c r="P12" s="289">
        <f>(P10*P7-P6+SQRT((P10*P7-P6)^2+4*P10*P8^2))/(2*P10*P8)</f>
        <v>0.77298100699743022</v>
      </c>
      <c r="R12" s="577">
        <v>9</v>
      </c>
      <c r="S12" s="555" t="e">
        <f ca="1"/>
        <v>#NAME?</v>
      </c>
      <c r="T12" s="555" t="e">
        <f ca="1"/>
        <v>#NAME?</v>
      </c>
    </row>
    <row r="13" spans="1:23">
      <c r="A13" s="584">
        <v>10</v>
      </c>
      <c r="B13" s="290">
        <v>412</v>
      </c>
      <c r="C13" s="584">
        <v>404</v>
      </c>
      <c r="D13" s="286">
        <v>408</v>
      </c>
      <c r="E13" s="290">
        <v>300</v>
      </c>
      <c r="F13" s="286">
        <v>298</v>
      </c>
      <c r="H13" s="572">
        <f t="shared" si="2"/>
        <v>32</v>
      </c>
      <c r="I13" s="572">
        <f t="shared" si="3"/>
        <v>2</v>
      </c>
      <c r="K13" s="584">
        <v>10</v>
      </c>
      <c r="L13" s="591">
        <f t="shared" si="0"/>
        <v>408</v>
      </c>
      <c r="M13" s="591">
        <f t="shared" si="1"/>
        <v>299</v>
      </c>
      <c r="R13" s="584">
        <v>10</v>
      </c>
      <c r="S13" s="591" t="e">
        <f ca="1"/>
        <v>#NAME?</v>
      </c>
      <c r="T13" s="591" t="e">
        <f ca="1"/>
        <v>#NAME?</v>
      </c>
    </row>
    <row r="15" spans="1:23">
      <c r="K15" s="574" t="s">
        <v>6</v>
      </c>
      <c r="L15" s="491">
        <f>SUM(H4:H13)/(COUNT(B4:D13)-A13)</f>
        <v>47.500000000000007</v>
      </c>
      <c r="M15" s="491">
        <f>SUM(I4:I13)/(COUNT(E4:F13)-A13)</f>
        <v>19.7</v>
      </c>
    </row>
  </sheetData>
  <mergeCells count="2">
    <mergeCell ref="H2:I2"/>
    <mergeCell ref="O2:P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72"/>
  <dimension ref="A1:P29"/>
  <sheetViews>
    <sheetView workbookViewId="0"/>
  </sheetViews>
  <sheetFormatPr defaultRowHeight="15"/>
  <cols>
    <col min="1" max="1" width="7" customWidth="1"/>
    <col min="2" max="3" width="6.7109375" customWidth="1"/>
    <col min="4" max="4" width="3" customWidth="1"/>
  </cols>
  <sheetData>
    <row r="1" spans="1:11">
      <c r="A1" s="1" t="s">
        <v>881</v>
      </c>
    </row>
    <row r="3" spans="1:11">
      <c r="A3" s="574" t="s">
        <v>24</v>
      </c>
      <c r="B3" s="574" t="s">
        <v>4</v>
      </c>
      <c r="C3" s="574" t="s">
        <v>65</v>
      </c>
      <c r="E3" s="574" t="s">
        <v>364</v>
      </c>
      <c r="F3" s="593" t="s">
        <v>874</v>
      </c>
      <c r="G3" s="559" t="s">
        <v>591</v>
      </c>
      <c r="H3" s="559" t="s">
        <v>645</v>
      </c>
      <c r="I3" s="559" t="s">
        <v>57</v>
      </c>
      <c r="J3" s="559" t="s">
        <v>303</v>
      </c>
      <c r="K3" s="559" t="s">
        <v>301</v>
      </c>
    </row>
    <row r="4" spans="1:11">
      <c r="A4" s="577">
        <v>1</v>
      </c>
      <c r="B4" s="162">
        <v>5.0999999999999996</v>
      </c>
      <c r="C4" s="162">
        <v>5.4</v>
      </c>
      <c r="E4">
        <f>($A$13*E$14-B4)/($A$13-1)</f>
        <v>5.6555555555555559</v>
      </c>
      <c r="F4">
        <f>($A$13*F$14-C4)/($A$13-1)</f>
        <v>5.5444444444444443</v>
      </c>
      <c r="G4">
        <f>G$14-$A$13*(E$14-B4)^2/($A$13-1)</f>
        <v>7.6422222222222205</v>
      </c>
      <c r="H4">
        <f>H$14-$A$13*(F$14-C4)^2/($A$13-1)</f>
        <v>7.4622222222222225</v>
      </c>
      <c r="I4">
        <f>I$14-$A$13*(E$14-B4)*(F$14-C4)/($A$13-1)</f>
        <v>6.8277777777777766</v>
      </c>
      <c r="J4">
        <f t="shared" ref="J4:J14" si="0">F4-K4*E4</f>
        <v>-0.29539655032818324</v>
      </c>
      <c r="K4">
        <f t="shared" ref="K4:K14" si="1">($B$15*H4-G4+SQRT(($B$15*H4-G4)^2+4*$B$15*I4^2))/(2*$B$15*I4)</f>
        <v>1.0325848517279694</v>
      </c>
    </row>
    <row r="5" spans="1:11">
      <c r="A5" s="577">
        <v>2</v>
      </c>
      <c r="B5" s="162">
        <v>5.6</v>
      </c>
      <c r="C5" s="162">
        <v>5.6</v>
      </c>
      <c r="E5">
        <f t="shared" ref="E5:F13" si="2">($A$13*E$14-B5)/($A$13-1)</f>
        <v>5.6000000000000005</v>
      </c>
      <c r="F5">
        <f t="shared" si="2"/>
        <v>5.5222222222222221</v>
      </c>
      <c r="G5">
        <f t="shared" ref="G5:H13" si="3">G$14-$A$13*(E$14-B5)^2/($A$13-1)</f>
        <v>7.919999999999999</v>
      </c>
      <c r="H5">
        <f t="shared" si="3"/>
        <v>7.4755555555555553</v>
      </c>
      <c r="I5">
        <f t="shared" ref="I5:I13" si="4">I$14-$A$13*(E$14-B5)*(F$14-C5)/($A$13-1)</f>
        <v>6.8999999999999986</v>
      </c>
      <c r="J5">
        <f t="shared" si="0"/>
        <v>-0.17538922712551042</v>
      </c>
      <c r="K5">
        <f t="shared" si="1"/>
        <v>1.0174306159549522</v>
      </c>
    </row>
    <row r="6" spans="1:11">
      <c r="A6" s="577">
        <v>3</v>
      </c>
      <c r="B6" s="162">
        <v>6.8</v>
      </c>
      <c r="C6" s="162">
        <v>6.3</v>
      </c>
      <c r="E6">
        <f t="shared" si="2"/>
        <v>5.4666666666666677</v>
      </c>
      <c r="F6">
        <f t="shared" si="2"/>
        <v>5.4444444444444446</v>
      </c>
      <c r="G6">
        <f t="shared" si="3"/>
        <v>6.32</v>
      </c>
      <c r="H6">
        <f t="shared" si="3"/>
        <v>6.8222222222222211</v>
      </c>
      <c r="I6">
        <f t="shared" si="4"/>
        <v>5.8733333333333322</v>
      </c>
      <c r="J6">
        <f t="shared" si="0"/>
        <v>-0.54744201594324693</v>
      </c>
      <c r="K6">
        <f t="shared" si="1"/>
        <v>1.0960767915343337</v>
      </c>
    </row>
    <row r="7" spans="1:11">
      <c r="A7" s="577">
        <v>4</v>
      </c>
      <c r="B7" s="162">
        <v>5.9</v>
      </c>
      <c r="C7" s="162">
        <v>6.1</v>
      </c>
      <c r="E7">
        <f t="shared" si="2"/>
        <v>5.5666666666666673</v>
      </c>
      <c r="F7">
        <f t="shared" si="2"/>
        <v>5.4666666666666659</v>
      </c>
      <c r="G7">
        <f t="shared" si="3"/>
        <v>7.8199999999999994</v>
      </c>
      <c r="H7">
        <f t="shared" si="3"/>
        <v>7.1199999999999992</v>
      </c>
      <c r="I7">
        <f t="shared" si="4"/>
        <v>6.7099999999999982</v>
      </c>
      <c r="J7">
        <f t="shared" si="0"/>
        <v>-7.9873254899644586E-2</v>
      </c>
      <c r="K7">
        <f t="shared" si="1"/>
        <v>0.99638441704784009</v>
      </c>
    </row>
    <row r="8" spans="1:11">
      <c r="A8" s="577">
        <v>5</v>
      </c>
      <c r="B8" s="162">
        <v>4</v>
      </c>
      <c r="C8" s="162">
        <v>4.7</v>
      </c>
      <c r="E8">
        <f t="shared" si="2"/>
        <v>5.7777777777777786</v>
      </c>
      <c r="F8">
        <f t="shared" si="2"/>
        <v>5.6222222222222218</v>
      </c>
      <c r="G8">
        <f t="shared" si="3"/>
        <v>5.0755555555555523</v>
      </c>
      <c r="H8">
        <f t="shared" si="3"/>
        <v>6.7155555555555573</v>
      </c>
      <c r="I8">
        <f t="shared" si="4"/>
        <v>5.4244444444444442</v>
      </c>
      <c r="J8">
        <f t="shared" si="0"/>
        <v>-1.2979027152444429</v>
      </c>
      <c r="K8">
        <f t="shared" si="1"/>
        <v>1.1977139314846148</v>
      </c>
    </row>
    <row r="9" spans="1:11">
      <c r="A9" s="577">
        <v>6</v>
      </c>
      <c r="B9" s="162">
        <v>5.6</v>
      </c>
      <c r="C9" s="162">
        <v>5.0999999999999996</v>
      </c>
      <c r="E9">
        <f t="shared" si="2"/>
        <v>5.6000000000000005</v>
      </c>
      <c r="F9">
        <f t="shared" si="2"/>
        <v>5.5777777777777775</v>
      </c>
      <c r="G9">
        <f t="shared" si="3"/>
        <v>7.919999999999999</v>
      </c>
      <c r="H9">
        <f t="shared" si="3"/>
        <v>7.275555555555556</v>
      </c>
      <c r="I9">
        <f t="shared" si="4"/>
        <v>6.8999999999999986</v>
      </c>
      <c r="J9">
        <f t="shared" si="0"/>
        <v>-3.4319233268451654E-3</v>
      </c>
      <c r="K9">
        <f t="shared" si="1"/>
        <v>0.9966445894829683</v>
      </c>
    </row>
    <row r="10" spans="1:11">
      <c r="A10" s="577">
        <v>7</v>
      </c>
      <c r="B10" s="162">
        <v>6.6</v>
      </c>
      <c r="C10" s="162">
        <v>6.6</v>
      </c>
      <c r="E10">
        <f t="shared" si="2"/>
        <v>5.4888888888888898</v>
      </c>
      <c r="F10">
        <f t="shared" si="2"/>
        <v>5.4111111111111105</v>
      </c>
      <c r="G10">
        <f t="shared" si="3"/>
        <v>6.8088888888888901</v>
      </c>
      <c r="H10">
        <f t="shared" si="3"/>
        <v>6.2088888888888878</v>
      </c>
      <c r="I10">
        <f t="shared" si="4"/>
        <v>5.7111111111111104</v>
      </c>
      <c r="J10">
        <f t="shared" si="0"/>
        <v>-0.1181361696106924</v>
      </c>
      <c r="K10">
        <f t="shared" si="1"/>
        <v>1.0073527434513405</v>
      </c>
    </row>
    <row r="11" spans="1:11">
      <c r="A11" s="577">
        <v>8</v>
      </c>
      <c r="B11" s="162">
        <v>6.7</v>
      </c>
      <c r="C11" s="162">
        <v>6.8</v>
      </c>
      <c r="E11">
        <f t="shared" si="2"/>
        <v>5.4777777777777779</v>
      </c>
      <c r="F11">
        <f t="shared" si="2"/>
        <v>5.3888888888888893</v>
      </c>
      <c r="G11">
        <f t="shared" si="3"/>
        <v>6.5755555555555549</v>
      </c>
      <c r="H11">
        <f t="shared" si="3"/>
        <v>5.6888888888888873</v>
      </c>
      <c r="I11">
        <f t="shared" si="4"/>
        <v>5.3477777777777762</v>
      </c>
      <c r="J11">
        <f t="shared" si="0"/>
        <v>2.0224906965791156E-2</v>
      </c>
      <c r="K11">
        <f t="shared" si="1"/>
        <v>0.98008064578717813</v>
      </c>
    </row>
    <row r="12" spans="1:11">
      <c r="A12" s="577">
        <v>9</v>
      </c>
      <c r="B12" s="162">
        <v>5.2</v>
      </c>
      <c r="C12" s="162">
        <v>4.5999999999999996</v>
      </c>
      <c r="E12">
        <f t="shared" si="2"/>
        <v>5.6444444444444448</v>
      </c>
      <c r="F12">
        <f t="shared" si="2"/>
        <v>5.6333333333333329</v>
      </c>
      <c r="G12">
        <f t="shared" si="3"/>
        <v>7.742222222222221</v>
      </c>
      <c r="H12">
        <f t="shared" si="3"/>
        <v>6.5200000000000005</v>
      </c>
      <c r="I12">
        <f t="shared" si="4"/>
        <v>6.4866666666666646</v>
      </c>
      <c r="J12">
        <f t="shared" si="0"/>
        <v>0.27592971871613603</v>
      </c>
      <c r="K12">
        <f t="shared" si="1"/>
        <v>0.949146309676275</v>
      </c>
    </row>
    <row r="13" spans="1:11">
      <c r="A13" s="584">
        <v>10</v>
      </c>
      <c r="B13" s="589">
        <v>4.5</v>
      </c>
      <c r="C13" s="589">
        <v>4.0999999999999996</v>
      </c>
      <c r="E13" s="572">
        <f t="shared" si="2"/>
        <v>5.7222222222222232</v>
      </c>
      <c r="F13" s="572">
        <f t="shared" si="2"/>
        <v>5.6888888888888882</v>
      </c>
      <c r="G13" s="572">
        <f t="shared" si="3"/>
        <v>6.5755555555555532</v>
      </c>
      <c r="H13" s="572">
        <f t="shared" si="3"/>
        <v>5.2088888888888896</v>
      </c>
      <c r="I13" s="572">
        <f t="shared" si="4"/>
        <v>5.1522222222222203</v>
      </c>
      <c r="J13" s="572">
        <f t="shared" si="0"/>
        <v>0.3648604423349795</v>
      </c>
      <c r="K13" s="572">
        <f t="shared" si="1"/>
        <v>0.93041273823272175</v>
      </c>
    </row>
    <row r="14" spans="1:11">
      <c r="A14" s="578"/>
      <c r="B14" s="594"/>
      <c r="C14" s="594"/>
      <c r="E14">
        <f>AVERAGE(B4:B13)</f>
        <v>5.6000000000000005</v>
      </c>
      <c r="F14">
        <f>AVERAGE(C4:C13)</f>
        <v>5.5299999999999994</v>
      </c>
      <c r="G14">
        <f>DEVSQ(B4:B13)</f>
        <v>7.919999999999999</v>
      </c>
      <c r="H14">
        <f>DEVSQ(C4:C13)</f>
        <v>7.4809999999999999</v>
      </c>
      <c r="I14">
        <f>SUMPRODUCT(B4:B13-E14,C4:C13-F14)</f>
        <v>6.8999999999999986</v>
      </c>
      <c r="J14">
        <f t="shared" si="0"/>
        <v>-0.17079907964736751</v>
      </c>
      <c r="K14">
        <f t="shared" si="1"/>
        <v>1.0179998356513154</v>
      </c>
    </row>
    <row r="15" spans="1:11">
      <c r="A15" s="595" t="s">
        <v>502</v>
      </c>
      <c r="B15" s="507">
        <v>2.5</v>
      </c>
    </row>
    <row r="16" spans="1:11">
      <c r="I16" s="596" t="s">
        <v>6</v>
      </c>
      <c r="J16" s="597">
        <f>DEVSQ(J4:J13)*($A$13-1)</f>
        <v>17.888413315929842</v>
      </c>
      <c r="K16" s="597">
        <f>DEVSQ(K4:K13)*($A$13-1)</f>
        <v>0.4809261294340455</v>
      </c>
    </row>
    <row r="17" spans="5:16">
      <c r="I17" s="584" t="s">
        <v>337</v>
      </c>
      <c r="J17" s="572">
        <f>SQRT(J16/$A$13)</f>
        <v>1.3374757312164525</v>
      </c>
      <c r="K17" s="572">
        <f>SQRT(K16/$A$13)</f>
        <v>0.21930028030854076</v>
      </c>
    </row>
    <row r="19" spans="5:16">
      <c r="E19" t="s">
        <v>882</v>
      </c>
    </row>
    <row r="20" spans="5:16">
      <c r="J20" t="s">
        <v>53</v>
      </c>
      <c r="K20">
        <v>0.05</v>
      </c>
    </row>
    <row r="21" spans="5:16">
      <c r="E21" s="574"/>
      <c r="F21" s="574" t="s">
        <v>600</v>
      </c>
      <c r="G21" s="574" t="s">
        <v>337</v>
      </c>
      <c r="H21" s="574" t="s">
        <v>26</v>
      </c>
      <c r="I21" s="574" t="s">
        <v>27</v>
      </c>
      <c r="J21" s="574" t="s">
        <v>30</v>
      </c>
      <c r="K21" s="574" t="s">
        <v>13</v>
      </c>
      <c r="L21" s="574" t="s">
        <v>14</v>
      </c>
    </row>
    <row r="22" spans="5:16">
      <c r="E22" t="s">
        <v>314</v>
      </c>
      <c r="F22">
        <f>J14</f>
        <v>-0.17079907964736751</v>
      </c>
      <c r="G22">
        <f>J17</f>
        <v>1.3374757312164525</v>
      </c>
      <c r="H22">
        <f>A13-1</f>
        <v>9</v>
      </c>
      <c r="I22">
        <f>F22/G22</f>
        <v>-0.1277025636136391</v>
      </c>
      <c r="J22">
        <f>TDIST(ABS(I22),H22,2)</f>
        <v>0.90119222090308759</v>
      </c>
      <c r="K22">
        <f>F22-TINV(K$20,H22)*G22</f>
        <v>-3.1963793850874329</v>
      </c>
      <c r="L22">
        <f>F22+TINV(K$20,H22)*G22</f>
        <v>2.8547812257926979</v>
      </c>
      <c r="N22" t="e">
        <f t="array" aca="1" ref="N22:P23" ca="1">DRegCoeff(B4:B13,C4:C13,B15,TRUE)</f>
        <v>#NAME?</v>
      </c>
      <c r="O22" s="542" t="e">
        <f ca="1"/>
        <v>#NAME?</v>
      </c>
      <c r="P22" s="543" t="e">
        <f ca="1"/>
        <v>#NAME?</v>
      </c>
    </row>
    <row r="23" spans="5:16">
      <c r="E23" s="572" t="s">
        <v>505</v>
      </c>
      <c r="F23" s="572">
        <f>K14</f>
        <v>1.0179998356513154</v>
      </c>
      <c r="G23" s="572">
        <f>K17</f>
        <v>0.21930028030854076</v>
      </c>
      <c r="H23" s="572">
        <f>A13-1</f>
        <v>9</v>
      </c>
      <c r="I23" s="572">
        <f>F23/G23</f>
        <v>4.6420361807976622</v>
      </c>
      <c r="J23" s="572">
        <f>TDIST(ABS(I23),H23,2)</f>
        <v>1.2157504577037096E-3</v>
      </c>
      <c r="K23" s="572">
        <f>F23-TINV(K$20,H23)*G23</f>
        <v>0.52190813574769557</v>
      </c>
      <c r="L23" s="572">
        <f>F23+TINV(K$20,H23)*G23</f>
        <v>1.5140915355549351</v>
      </c>
      <c r="N23" t="e">
        <f ca="1"/>
        <v>#NAME?</v>
      </c>
      <c r="O23" s="284" t="e">
        <f ca="1"/>
        <v>#NAME?</v>
      </c>
      <c r="P23" s="288" t="e">
        <f ca="1"/>
        <v>#NAME?</v>
      </c>
    </row>
    <row r="25" spans="5:16">
      <c r="E25" t="s">
        <v>883</v>
      </c>
    </row>
    <row r="26" spans="5:16" ht="15.75" thickBot="1">
      <c r="J26" t="s">
        <v>53</v>
      </c>
      <c r="K26">
        <v>0.05</v>
      </c>
    </row>
    <row r="27" spans="5:16" ht="15.75" thickTop="1">
      <c r="E27" s="398"/>
      <c r="F27" s="398" t="s">
        <v>600</v>
      </c>
      <c r="G27" s="398" t="s">
        <v>503</v>
      </c>
      <c r="H27" s="398" t="s">
        <v>26</v>
      </c>
      <c r="I27" s="398" t="s">
        <v>27</v>
      </c>
      <c r="J27" s="398" t="s">
        <v>30</v>
      </c>
      <c r="K27" s="398" t="s">
        <v>13</v>
      </c>
      <c r="L27" s="398" t="s">
        <v>14</v>
      </c>
    </row>
    <row r="28" spans="5:16">
      <c r="E28" t="e">
        <f t="array" aca="1" ref="E28:G29" ca="1">DRegCoeff(B4:B13,C4:C13,2.5,TRUE)</f>
        <v>#NAME?</v>
      </c>
      <c r="F28" t="e">
        <f ca="1"/>
        <v>#NAME?</v>
      </c>
      <c r="G28" t="e">
        <f ca="1"/>
        <v>#NAME?</v>
      </c>
      <c r="H28">
        <f>COUNT(C4:C13)-1</f>
        <v>9</v>
      </c>
      <c r="I28" t="e">
        <f ca="1">F28/G28</f>
        <v>#NAME?</v>
      </c>
      <c r="J28" t="e">
        <f ca="1">TDIST(ABS(I28),H28,2)</f>
        <v>#NAME?</v>
      </c>
      <c r="K28" t="e">
        <f ca="1">F28-TINV(K$26,H28)*G28</f>
        <v>#NAME?</v>
      </c>
      <c r="L28" t="e">
        <f ca="1">F28+TINV(K$26,H28)*G28</f>
        <v>#NAME?</v>
      </c>
    </row>
    <row r="29" spans="5:16">
      <c r="E29" s="572" t="e">
        <f ca="1"/>
        <v>#NAME?</v>
      </c>
      <c r="F29" s="572" t="e">
        <f ca="1"/>
        <v>#NAME?</v>
      </c>
      <c r="G29" s="572" t="e">
        <f ca="1"/>
        <v>#NAME?</v>
      </c>
      <c r="H29" s="572">
        <f>H28</f>
        <v>9</v>
      </c>
      <c r="I29" s="572" t="e">
        <f ca="1">F29/G29</f>
        <v>#NAME?</v>
      </c>
      <c r="J29" s="572" t="e">
        <f ca="1">TDIST(ABS(I29),H29,2)</f>
        <v>#NAME?</v>
      </c>
      <c r="K29" s="572" t="e">
        <f ca="1">F29-TINV(K$26,H29)*G29</f>
        <v>#NAME?</v>
      </c>
      <c r="L29" s="572" t="e">
        <f ca="1">F29+TINV(K$26,H29)*G29</f>
        <v>#NAME?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71"/>
  <dimension ref="A1:AB17"/>
  <sheetViews>
    <sheetView workbookViewId="0"/>
  </sheetViews>
  <sheetFormatPr defaultRowHeight="15"/>
  <cols>
    <col min="1" max="1" width="7.7109375" customWidth="1"/>
    <col min="2" max="3" width="5.85546875" customWidth="1"/>
    <col min="4" max="4" width="3" customWidth="1"/>
    <col min="8" max="8" width="3.140625" customWidth="1"/>
    <col min="9" max="9" width="6.5703125" customWidth="1"/>
    <col min="10" max="10" width="8.140625" customWidth="1"/>
    <col min="12" max="12" width="4.42578125" customWidth="1"/>
  </cols>
  <sheetData>
    <row r="1" spans="1:28">
      <c r="A1" s="1" t="s">
        <v>884</v>
      </c>
    </row>
    <row r="3" spans="1:28">
      <c r="A3" s="491" t="s">
        <v>24</v>
      </c>
      <c r="B3" s="574" t="s">
        <v>4</v>
      </c>
      <c r="C3" s="574" t="s">
        <v>65</v>
      </c>
      <c r="E3" s="574" t="s">
        <v>885</v>
      </c>
      <c r="F3" s="593" t="s">
        <v>874</v>
      </c>
      <c r="G3" s="593" t="s">
        <v>886</v>
      </c>
      <c r="I3" t="s">
        <v>740</v>
      </c>
      <c r="U3" t="s">
        <v>883</v>
      </c>
    </row>
    <row r="4" spans="1:28" ht="15.75" thickBot="1">
      <c r="A4" s="577">
        <v>1</v>
      </c>
      <c r="B4" s="162">
        <v>5.0999999999999996</v>
      </c>
      <c r="C4" s="162">
        <v>5.4</v>
      </c>
      <c r="E4">
        <f t="array" ref="E4">AVERAGE(IF($A$4:$A$13=$A4,"",B$4:B$13))</f>
        <v>5.6555555555555559</v>
      </c>
      <c r="F4">
        <f t="array" ref="F4">AVERAGE(IF($A$4:$A$13=$A4,"",C$4:C$13))</f>
        <v>5.5444444444444443</v>
      </c>
      <c r="G4">
        <f>F4-E4</f>
        <v>-0.1111111111111116</v>
      </c>
      <c r="N4" t="s">
        <v>53</v>
      </c>
      <c r="O4">
        <v>2.5000000000000001E-2</v>
      </c>
      <c r="Z4" t="s">
        <v>53</v>
      </c>
      <c r="AA4">
        <v>0.05</v>
      </c>
    </row>
    <row r="5" spans="1:28" ht="15.75" thickTop="1">
      <c r="A5" s="577">
        <v>2</v>
      </c>
      <c r="B5" s="162">
        <v>5.6</v>
      </c>
      <c r="C5" s="162">
        <v>5.6</v>
      </c>
      <c r="E5">
        <f t="array" ref="E5">AVERAGE(IF($A$4:$A$13=$A5,"",B$4:B$13))</f>
        <v>5.6000000000000005</v>
      </c>
      <c r="F5">
        <f t="array" ref="F5">AVERAGE(IF($A$4:$A$13=$A5,"",C$4:C$13))</f>
        <v>5.5222222222222221</v>
      </c>
      <c r="G5">
        <f t="shared" ref="G5:G13" si="0">F5-E5</f>
        <v>-7.777777777777839E-2</v>
      </c>
      <c r="I5" s="574"/>
      <c r="J5" s="574" t="s">
        <v>887</v>
      </c>
      <c r="K5" s="574" t="s">
        <v>337</v>
      </c>
      <c r="L5" s="574" t="s">
        <v>26</v>
      </c>
      <c r="M5" s="574" t="s">
        <v>27</v>
      </c>
      <c r="N5" s="574" t="s">
        <v>30</v>
      </c>
      <c r="O5" s="574" t="s">
        <v>13</v>
      </c>
      <c r="P5" s="574" t="s">
        <v>14</v>
      </c>
      <c r="U5" s="398"/>
      <c r="V5" s="398" t="s">
        <v>600</v>
      </c>
      <c r="W5" s="398" t="s">
        <v>503</v>
      </c>
      <c r="X5" s="398" t="s">
        <v>26</v>
      </c>
      <c r="Y5" s="398" t="s">
        <v>27</v>
      </c>
      <c r="Z5" s="398" t="s">
        <v>30</v>
      </c>
      <c r="AA5" s="398" t="s">
        <v>13</v>
      </c>
      <c r="AB5" s="398" t="s">
        <v>14</v>
      </c>
    </row>
    <row r="6" spans="1:28">
      <c r="A6" s="577">
        <v>3</v>
      </c>
      <c r="B6" s="162">
        <v>6.8</v>
      </c>
      <c r="C6" s="162">
        <v>6.3</v>
      </c>
      <c r="E6">
        <f t="array" ref="E6">AVERAGE(IF($A$4:$A$13=$A6,"",B$4:B$13))</f>
        <v>5.4666666666666677</v>
      </c>
      <c r="F6">
        <f t="array" ref="F6">AVERAGE(IF($A$4:$A$13=$A6,"",C$4:C$13))</f>
        <v>5.4444444444444446</v>
      </c>
      <c r="G6">
        <f t="shared" si="0"/>
        <v>-2.2222222222223031E-2</v>
      </c>
      <c r="I6" t="s">
        <v>888</v>
      </c>
      <c r="J6">
        <f>1-'Dem 3'!K14</f>
        <v>-1.7999835651315355E-2</v>
      </c>
      <c r="K6">
        <f>'Dem 3'!K17</f>
        <v>0.21930028030854076</v>
      </c>
      <c r="L6">
        <f>A13-1</f>
        <v>9</v>
      </c>
      <c r="M6">
        <f>J6/K6</f>
        <v>-8.2078489028791002E-2</v>
      </c>
      <c r="N6">
        <f>TDIST(ABS(M6),L6,2)</f>
        <v>0.93638072355235935</v>
      </c>
      <c r="O6">
        <f>J6-TINV(O$4,L6)*K6</f>
        <v>-0.60682346698963618</v>
      </c>
      <c r="P6">
        <f>J6+TINV(O$4,L6)*K6</f>
        <v>0.57082379568700548</v>
      </c>
      <c r="R6" t="e">
        <f t="array" aca="1" ref="R6:S7" ca="1">DRegIdentity(B4:B13,C4:C13,B15,TRUE)</f>
        <v>#NAME?</v>
      </c>
      <c r="S6" s="492" t="e">
        <f ca="1"/>
        <v>#NAME?</v>
      </c>
      <c r="U6" t="e">
        <f t="array" aca="1" ref="U6:W7" ca="1">DRegCoeff(B4:B13,C4:C13,2.5,TRUE)</f>
        <v>#NAME?</v>
      </c>
      <c r="V6" t="e">
        <f ca="1"/>
        <v>#NAME?</v>
      </c>
      <c r="W6" t="e">
        <f ca="1"/>
        <v>#NAME?</v>
      </c>
      <c r="X6">
        <f>COUNT(C4:C13)-1</f>
        <v>9</v>
      </c>
      <c r="Y6" t="e">
        <f ca="1">V6/W6</f>
        <v>#NAME?</v>
      </c>
      <c r="Z6" t="e">
        <f ca="1">TDIST(ABS(Y6),X6,2)</f>
        <v>#NAME?</v>
      </c>
      <c r="AA6" t="e">
        <f ca="1">V6-TINV(AA$4,X6)*W6</f>
        <v>#NAME?</v>
      </c>
      <c r="AB6" t="e">
        <f ca="1">V6+TINV(AA$4,X6)*W6</f>
        <v>#NAME?</v>
      </c>
    </row>
    <row r="7" spans="1:28">
      <c r="A7" s="577">
        <v>4</v>
      </c>
      <c r="B7" s="162">
        <v>5.9</v>
      </c>
      <c r="C7" s="162">
        <v>6.1</v>
      </c>
      <c r="E7">
        <f t="array" ref="E7">AVERAGE(IF($A$4:$A$13=$A7,"",B$4:B$13))</f>
        <v>5.5666666666666673</v>
      </c>
      <c r="F7">
        <f t="array" ref="F7">AVERAGE(IF($A$4:$A$13=$A7,"",C$4:C$13))</f>
        <v>5.4666666666666668</v>
      </c>
      <c r="G7">
        <f t="shared" si="0"/>
        <v>-0.10000000000000053</v>
      </c>
      <c r="I7" s="572" t="s">
        <v>889</v>
      </c>
      <c r="J7" s="572">
        <f>F14-E14</f>
        <v>-7.0000000000001172E-2</v>
      </c>
      <c r="K7" s="572">
        <f>G17</f>
        <v>0.1333749934916163</v>
      </c>
      <c r="L7" s="572">
        <f>A13-1</f>
        <v>9</v>
      </c>
      <c r="M7" s="572">
        <f>J7/K7</f>
        <v>-0.52483601436427618</v>
      </c>
      <c r="N7" s="572">
        <f>TDIST(ABS(M7),L7,2)</f>
        <v>0.6123784972392412</v>
      </c>
      <c r="O7" s="572">
        <f>J7-TINV(O$4,L7)*K7</f>
        <v>-0.42811330421906496</v>
      </c>
      <c r="P7" s="572">
        <f>J7+TINV(O$4,L7)*K7</f>
        <v>0.28811330421906262</v>
      </c>
      <c r="R7" t="e">
        <f ca="1"/>
        <v>#NAME?</v>
      </c>
      <c r="S7" s="289" t="e">
        <f ca="1"/>
        <v>#NAME?</v>
      </c>
      <c r="U7" s="572" t="e">
        <f ca="1"/>
        <v>#NAME?</v>
      </c>
      <c r="V7" s="572" t="e">
        <f ca="1"/>
        <v>#NAME?</v>
      </c>
      <c r="W7" s="572" t="e">
        <f ca="1"/>
        <v>#NAME?</v>
      </c>
      <c r="X7" s="572">
        <f>X6</f>
        <v>9</v>
      </c>
      <c r="Y7" s="572" t="e">
        <f ca="1">V7/W7</f>
        <v>#NAME?</v>
      </c>
      <c r="Z7" s="572" t="e">
        <f ca="1">TDIST(ABS(Y7),X7,2)</f>
        <v>#NAME?</v>
      </c>
      <c r="AA7" s="572" t="e">
        <f ca="1">V7-TINV(AA$4,X7)*W7</f>
        <v>#NAME?</v>
      </c>
      <c r="AB7" s="572" t="e">
        <f ca="1">V7+TINV(AA$4,X7)*W7</f>
        <v>#NAME?</v>
      </c>
    </row>
    <row r="8" spans="1:28">
      <c r="A8" s="577">
        <v>5</v>
      </c>
      <c r="B8" s="162">
        <v>4</v>
      </c>
      <c r="C8" s="162">
        <v>4.7</v>
      </c>
      <c r="E8">
        <f t="array" ref="E8">AVERAGE(IF($A$4:$A$13=$A8,"",B$4:B$13))</f>
        <v>5.7777777777777786</v>
      </c>
      <c r="F8">
        <f t="array" ref="F8">AVERAGE(IF($A$4:$A$13=$A8,"",C$4:C$13))</f>
        <v>5.6222222222222227</v>
      </c>
      <c r="G8">
        <f t="shared" si="0"/>
        <v>-0.15555555555555589</v>
      </c>
    </row>
    <row r="9" spans="1:28">
      <c r="A9" s="577">
        <v>6</v>
      </c>
      <c r="B9" s="162">
        <v>5.6</v>
      </c>
      <c r="C9" s="162">
        <v>5.0999999999999996</v>
      </c>
      <c r="E9">
        <f t="array" ref="E9">AVERAGE(IF($A$4:$A$13=$A9,"",B$4:B$13))</f>
        <v>5.6000000000000005</v>
      </c>
      <c r="F9">
        <f t="array" ref="F9">AVERAGE(IF($A$4:$A$13=$A9,"",C$4:C$13))</f>
        <v>5.5777777777777775</v>
      </c>
      <c r="G9">
        <f t="shared" si="0"/>
        <v>-2.2222222222223031E-2</v>
      </c>
      <c r="U9" t="s">
        <v>740</v>
      </c>
    </row>
    <row r="10" spans="1:28" ht="15.75" thickBot="1">
      <c r="A10" s="577">
        <v>7</v>
      </c>
      <c r="B10" s="162">
        <v>6.6</v>
      </c>
      <c r="C10" s="162">
        <v>6.6</v>
      </c>
      <c r="E10">
        <f t="array" ref="E10">AVERAGE(IF($A$4:$A$13=$A10,"",B$4:B$13))</f>
        <v>5.4888888888888898</v>
      </c>
      <c r="F10">
        <f t="array" ref="F10">AVERAGE(IF($A$4:$A$13=$A10,"",C$4:C$13))</f>
        <v>5.4111111111111105</v>
      </c>
      <c r="G10">
        <f t="shared" si="0"/>
        <v>-7.7777777777779278E-2</v>
      </c>
      <c r="R10" s="577" t="e">
        <f t="array" aca="1" ref="R10:S11" ca="1">TRANSPOSE(DRegIdentity(B4:B13,C4:C13,B15,TRUE))</f>
        <v>#NAME?</v>
      </c>
      <c r="S10" s="577" t="e">
        <f ca="1"/>
        <v>#NAME?</v>
      </c>
      <c r="Z10" t="s">
        <v>53</v>
      </c>
      <c r="AA10">
        <v>2.5000000000000001E-2</v>
      </c>
    </row>
    <row r="11" spans="1:28" ht="15.75" thickTop="1">
      <c r="A11" s="577">
        <v>8</v>
      </c>
      <c r="B11" s="162">
        <v>6.7</v>
      </c>
      <c r="C11" s="162">
        <v>6.8</v>
      </c>
      <c r="E11">
        <f t="array" ref="E11">AVERAGE(IF($A$4:$A$13=$A11,"",B$4:B$13))</f>
        <v>5.4777777777777779</v>
      </c>
      <c r="F11">
        <f t="array" ref="F11">AVERAGE(IF($A$4:$A$13=$A11,"",C$4:C$13))</f>
        <v>5.3888888888888893</v>
      </c>
      <c r="G11">
        <f t="shared" si="0"/>
        <v>-8.8888888888888573E-2</v>
      </c>
      <c r="R11" s="313" t="e">
        <f ca="1"/>
        <v>#NAME?</v>
      </c>
      <c r="S11" s="314" t="e">
        <f ca="1"/>
        <v>#NAME?</v>
      </c>
      <c r="U11" s="398" t="s">
        <v>890</v>
      </c>
      <c r="V11" s="398" t="s">
        <v>887</v>
      </c>
      <c r="W11" s="398" t="s">
        <v>503</v>
      </c>
      <c r="X11" s="398" t="s">
        <v>26</v>
      </c>
      <c r="Y11" s="398" t="s">
        <v>27</v>
      </c>
      <c r="Z11" s="398" t="s">
        <v>30</v>
      </c>
      <c r="AA11" s="398" t="s">
        <v>13</v>
      </c>
      <c r="AB11" s="398" t="s">
        <v>14</v>
      </c>
    </row>
    <row r="12" spans="1:28">
      <c r="A12" s="577">
        <v>9</v>
      </c>
      <c r="B12" s="162">
        <v>5.2</v>
      </c>
      <c r="C12" s="162">
        <v>4.5999999999999996</v>
      </c>
      <c r="E12">
        <f t="array" ref="E12">AVERAGE(IF($A$4:$A$13=$A12,"",B$4:B$13))</f>
        <v>5.6444444444444448</v>
      </c>
      <c r="F12">
        <f t="array" ref="F12">AVERAGE(IF($A$4:$A$13=$A12,"",C$4:C$13))</f>
        <v>5.6333333333333329</v>
      </c>
      <c r="G12">
        <f t="shared" si="0"/>
        <v>-1.111111111111196E-2</v>
      </c>
      <c r="U12" t="s">
        <v>891</v>
      </c>
      <c r="V12" t="e">
        <f ca="1">1-V7</f>
        <v>#NAME?</v>
      </c>
      <c r="W12" t="e">
        <f ca="1">W7</f>
        <v>#NAME?</v>
      </c>
      <c r="X12">
        <f>X6</f>
        <v>9</v>
      </c>
      <c r="Y12" t="e">
        <f ca="1">V12/W12</f>
        <v>#NAME?</v>
      </c>
      <c r="Z12" t="e">
        <f ca="1">TDIST(ABS(Y12),X12,2)</f>
        <v>#NAME?</v>
      </c>
      <c r="AA12" t="e">
        <f ca="1">V12-TINV(AA$10,X12)*W12</f>
        <v>#NAME?</v>
      </c>
      <c r="AB12" t="e">
        <f ca="1">V12+TINV(AA$10,X12)*W12</f>
        <v>#NAME?</v>
      </c>
    </row>
    <row r="13" spans="1:28">
      <c r="A13" s="584">
        <v>10</v>
      </c>
      <c r="B13" s="589">
        <v>4.5</v>
      </c>
      <c r="C13" s="589">
        <v>4.0999999999999996</v>
      </c>
      <c r="E13" s="572">
        <f t="array" ref="E13">AVERAGE(IF($A$4:$A$13=$A13,"",B$4:B$13))</f>
        <v>5.7222222222222232</v>
      </c>
      <c r="F13" s="572">
        <f t="array" ref="F13">AVERAGE(IF($A$4:$A$13=$A13,"",C$4:C$13))</f>
        <v>5.6888888888888882</v>
      </c>
      <c r="G13" s="572">
        <f t="shared" si="0"/>
        <v>-3.3333333333334991E-2</v>
      </c>
      <c r="U13" s="572" t="s">
        <v>892</v>
      </c>
      <c r="V13" s="572" t="e">
        <f t="array" aca="1" ref="V13:W13" ca="1">TRANSPOSE(DRegIdentity(B4:B13,C4:C13,2.5))</f>
        <v>#NAME?</v>
      </c>
      <c r="W13" s="572" t="e">
        <f ca="1"/>
        <v>#NAME?</v>
      </c>
      <c r="X13" s="572">
        <f>X12</f>
        <v>9</v>
      </c>
      <c r="Y13" s="572" t="e">
        <f ca="1">V13/W13</f>
        <v>#NAME?</v>
      </c>
      <c r="Z13" s="572" t="e">
        <f ca="1">TDIST(ABS(Y13),X13,2)</f>
        <v>#NAME?</v>
      </c>
      <c r="AA13" s="572" t="e">
        <f ca="1">V13-TINV(AA$10,X13)*W13</f>
        <v>#NAME?</v>
      </c>
      <c r="AB13" s="572" t="e">
        <f ca="1">V13+TINV(AA$10,X13)*W13</f>
        <v>#NAME?</v>
      </c>
    </row>
    <row r="14" spans="1:28">
      <c r="A14" s="577"/>
      <c r="B14" s="577"/>
      <c r="C14" s="577"/>
      <c r="E14">
        <f>AVERAGE(B4:B13)</f>
        <v>5.6000000000000005</v>
      </c>
      <c r="F14">
        <f>AVERAGE(C4:C13)</f>
        <v>5.5299999999999994</v>
      </c>
      <c r="G14" s="28"/>
    </row>
    <row r="15" spans="1:28">
      <c r="A15" s="68" t="s">
        <v>502</v>
      </c>
      <c r="B15" s="507">
        <v>2.5</v>
      </c>
      <c r="C15" s="577"/>
    </row>
    <row r="16" spans="1:28">
      <c r="A16" s="577"/>
      <c r="B16" s="577"/>
      <c r="C16" s="577"/>
      <c r="F16" s="596" t="s">
        <v>6</v>
      </c>
      <c r="G16" s="597">
        <f>DEVSQ(G4:G13)*(A13-1)</f>
        <v>0.17788888888888688</v>
      </c>
    </row>
    <row r="17" spans="6:7">
      <c r="F17" s="584" t="s">
        <v>337</v>
      </c>
      <c r="G17" s="572">
        <f>SQRT(G16/$A$13)</f>
        <v>0.1333749934916163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26"/>
  <dimension ref="A1:O17"/>
  <sheetViews>
    <sheetView workbookViewId="0"/>
  </sheetViews>
  <sheetFormatPr defaultRowHeight="15"/>
  <cols>
    <col min="1" max="1" width="7" customWidth="1"/>
    <col min="2" max="3" width="6.7109375" customWidth="1"/>
    <col min="4" max="4" width="3" customWidth="1"/>
    <col min="14" max="14" width="9.5703125" customWidth="1"/>
  </cols>
  <sheetData>
    <row r="1" spans="1:15">
      <c r="A1" s="1" t="s">
        <v>893</v>
      </c>
    </row>
    <row r="3" spans="1:15">
      <c r="A3" s="574" t="s">
        <v>24</v>
      </c>
      <c r="B3" s="574" t="s">
        <v>4</v>
      </c>
      <c r="C3" s="574" t="s">
        <v>65</v>
      </c>
      <c r="E3" s="574" t="s">
        <v>364</v>
      </c>
      <c r="F3" s="593" t="s">
        <v>874</v>
      </c>
      <c r="G3" s="559" t="s">
        <v>591</v>
      </c>
      <c r="H3" s="559" t="s">
        <v>645</v>
      </c>
      <c r="I3" s="559" t="s">
        <v>57</v>
      </c>
      <c r="J3" s="559" t="s">
        <v>303</v>
      </c>
      <c r="K3" s="559" t="s">
        <v>301</v>
      </c>
      <c r="L3" s="559" t="s">
        <v>52</v>
      </c>
      <c r="N3" t="e">
        <f t="array" aca="1" ref="N3:O6" ca="1">DRegPred(B17,B4:B13,C4:C13,B15,,TRUE)</f>
        <v>#NAME?</v>
      </c>
      <c r="O3" s="492" t="e">
        <f ca="1"/>
        <v>#NAME?</v>
      </c>
    </row>
    <row r="4" spans="1:15">
      <c r="A4" s="577">
        <v>1</v>
      </c>
      <c r="B4" s="162">
        <v>5.0999999999999996</v>
      </c>
      <c r="C4" s="162">
        <v>5.4</v>
      </c>
      <c r="E4">
        <f>($A$13*E$14-B4)/($A$13-1)</f>
        <v>5.6555555555555559</v>
      </c>
      <c r="F4">
        <f>($A$13*F$14-C4)/($A$13-1)</f>
        <v>5.5444444444444443</v>
      </c>
      <c r="G4">
        <f>G$14-$A$13*(E$14-B4)^2/($A$13-1)</f>
        <v>7.6422222222222205</v>
      </c>
      <c r="H4">
        <f>H$14-$A$13*(F$14-C4)^2/($A$13-1)</f>
        <v>7.4622222222222225</v>
      </c>
      <c r="I4">
        <f>I$14-$A$13*(E$14-B4)*(F$14-C4)/($A$13-1)</f>
        <v>6.8277777777777766</v>
      </c>
      <c r="J4">
        <f t="shared" ref="J4:J14" si="0">F4-K4*E4</f>
        <v>-0.29539655032818324</v>
      </c>
      <c r="K4">
        <f t="shared" ref="K4:K14" si="1">($B$15*H4-G4+SQRT(($B$15*H4-G4)^2+4*$B$15*I4^2))/(2*$B$15*I4)</f>
        <v>1.0325848517279694</v>
      </c>
      <c r="L4">
        <f>J4+$B$17*K4</f>
        <v>5.9001125600396334</v>
      </c>
      <c r="N4" t="e">
        <f ca="1"/>
        <v>#NAME?</v>
      </c>
      <c r="O4" s="293" t="e">
        <f ca="1"/>
        <v>#NAME?</v>
      </c>
    </row>
    <row r="5" spans="1:15">
      <c r="A5" s="577">
        <v>2</v>
      </c>
      <c r="B5" s="162">
        <v>5.6</v>
      </c>
      <c r="C5" s="162">
        <v>5.6</v>
      </c>
      <c r="E5">
        <f t="shared" ref="E5:F13" si="2">($A$13*E$14-B5)/($A$13-1)</f>
        <v>5.6000000000000005</v>
      </c>
      <c r="F5">
        <f t="shared" si="2"/>
        <v>5.5222222222222221</v>
      </c>
      <c r="G5">
        <f t="shared" ref="G5:H13" si="3">G$14-$A$13*(E$14-B5)^2/($A$13-1)</f>
        <v>7.919999999999999</v>
      </c>
      <c r="H5">
        <f t="shared" si="3"/>
        <v>7.4755555555555553</v>
      </c>
      <c r="I5">
        <f t="shared" ref="I5:I13" si="4">I$14-$A$13*(E$14-B5)*(F$14-C5)/($A$13-1)</f>
        <v>6.8999999999999986</v>
      </c>
      <c r="J5">
        <f t="shared" si="0"/>
        <v>-0.17538922712551042</v>
      </c>
      <c r="K5">
        <f t="shared" si="1"/>
        <v>1.0174306159549522</v>
      </c>
      <c r="L5">
        <f t="shared" ref="L5:L13" si="5">J5+$B$17*K5</f>
        <v>5.9291944686042033</v>
      </c>
      <c r="N5" t="e">
        <f ca="1"/>
        <v>#NAME?</v>
      </c>
      <c r="O5" s="293" t="e">
        <f ca="1"/>
        <v>#NAME?</v>
      </c>
    </row>
    <row r="6" spans="1:15">
      <c r="A6" s="577">
        <v>3</v>
      </c>
      <c r="B6" s="162">
        <v>6.8</v>
      </c>
      <c r="C6" s="162">
        <v>6.3</v>
      </c>
      <c r="E6">
        <f t="shared" si="2"/>
        <v>5.4666666666666677</v>
      </c>
      <c r="F6">
        <f t="shared" si="2"/>
        <v>5.4444444444444446</v>
      </c>
      <c r="G6">
        <f t="shared" si="3"/>
        <v>6.32</v>
      </c>
      <c r="H6">
        <f t="shared" si="3"/>
        <v>6.8222222222222211</v>
      </c>
      <c r="I6">
        <f t="shared" si="4"/>
        <v>5.8733333333333322</v>
      </c>
      <c r="J6">
        <f t="shared" si="0"/>
        <v>-0.54744201594324693</v>
      </c>
      <c r="K6">
        <f t="shared" si="1"/>
        <v>1.0960767915343337</v>
      </c>
      <c r="L6">
        <f t="shared" si="5"/>
        <v>6.0290187332627552</v>
      </c>
      <c r="N6" t="e">
        <f ca="1"/>
        <v>#NAME?</v>
      </c>
      <c r="O6" s="289" t="e">
        <f ca="1"/>
        <v>#NAME?</v>
      </c>
    </row>
    <row r="7" spans="1:15">
      <c r="A7" s="577">
        <v>4</v>
      </c>
      <c r="B7" s="162">
        <v>5.9</v>
      </c>
      <c r="C7" s="162">
        <v>6.1</v>
      </c>
      <c r="E7">
        <f t="shared" si="2"/>
        <v>5.5666666666666673</v>
      </c>
      <c r="F7">
        <f t="shared" si="2"/>
        <v>5.4666666666666659</v>
      </c>
      <c r="G7">
        <f t="shared" si="3"/>
        <v>7.8199999999999994</v>
      </c>
      <c r="H7">
        <f t="shared" si="3"/>
        <v>7.1199999999999992</v>
      </c>
      <c r="I7">
        <f t="shared" si="4"/>
        <v>6.7099999999999982</v>
      </c>
      <c r="J7">
        <f t="shared" si="0"/>
        <v>-7.9873254899644586E-2</v>
      </c>
      <c r="K7">
        <f t="shared" si="1"/>
        <v>0.99638441704784009</v>
      </c>
      <c r="L7">
        <f t="shared" si="5"/>
        <v>5.8984332473873957</v>
      </c>
    </row>
    <row r="8" spans="1:15">
      <c r="A8" s="577">
        <v>5</v>
      </c>
      <c r="B8" s="162">
        <v>4</v>
      </c>
      <c r="C8" s="162">
        <v>4.7</v>
      </c>
      <c r="E8">
        <f t="shared" si="2"/>
        <v>5.7777777777777786</v>
      </c>
      <c r="F8">
        <f t="shared" si="2"/>
        <v>5.6222222222222218</v>
      </c>
      <c r="G8">
        <f t="shared" si="3"/>
        <v>5.0755555555555523</v>
      </c>
      <c r="H8">
        <f t="shared" si="3"/>
        <v>6.7155555555555573</v>
      </c>
      <c r="I8">
        <f t="shared" si="4"/>
        <v>5.4244444444444442</v>
      </c>
      <c r="J8">
        <f t="shared" si="0"/>
        <v>-1.2979027152444429</v>
      </c>
      <c r="K8">
        <f t="shared" si="1"/>
        <v>1.1977139314846148</v>
      </c>
      <c r="L8">
        <f t="shared" si="5"/>
        <v>5.8883808736632455</v>
      </c>
    </row>
    <row r="9" spans="1:15">
      <c r="A9" s="577">
        <v>6</v>
      </c>
      <c r="B9" s="162">
        <v>5.6</v>
      </c>
      <c r="C9" s="162">
        <v>5.0999999999999996</v>
      </c>
      <c r="E9">
        <f t="shared" si="2"/>
        <v>5.6000000000000005</v>
      </c>
      <c r="F9">
        <f t="shared" si="2"/>
        <v>5.5777777777777775</v>
      </c>
      <c r="G9">
        <f t="shared" si="3"/>
        <v>7.919999999999999</v>
      </c>
      <c r="H9">
        <f t="shared" si="3"/>
        <v>7.275555555555556</v>
      </c>
      <c r="I9">
        <f t="shared" si="4"/>
        <v>6.8999999999999986</v>
      </c>
      <c r="J9">
        <f t="shared" si="0"/>
        <v>-3.4319233268451654E-3</v>
      </c>
      <c r="K9">
        <f t="shared" si="1"/>
        <v>0.9966445894829683</v>
      </c>
      <c r="L9">
        <f t="shared" si="5"/>
        <v>5.9764356135709651</v>
      </c>
    </row>
    <row r="10" spans="1:15">
      <c r="A10" s="577">
        <v>7</v>
      </c>
      <c r="B10" s="162">
        <v>6.6</v>
      </c>
      <c r="C10" s="162">
        <v>6.6</v>
      </c>
      <c r="E10">
        <f t="shared" si="2"/>
        <v>5.4888888888888898</v>
      </c>
      <c r="F10">
        <f t="shared" si="2"/>
        <v>5.4111111111111105</v>
      </c>
      <c r="G10">
        <f t="shared" si="3"/>
        <v>6.8088888888888901</v>
      </c>
      <c r="H10">
        <f t="shared" si="3"/>
        <v>6.2088888888888878</v>
      </c>
      <c r="I10">
        <f t="shared" si="4"/>
        <v>5.7111111111111104</v>
      </c>
      <c r="J10">
        <f t="shared" si="0"/>
        <v>-0.1181361696106924</v>
      </c>
      <c r="K10">
        <f t="shared" si="1"/>
        <v>1.0073527434513405</v>
      </c>
      <c r="L10">
        <f t="shared" si="5"/>
        <v>5.9259802910973507</v>
      </c>
    </row>
    <row r="11" spans="1:15">
      <c r="A11" s="577">
        <v>8</v>
      </c>
      <c r="B11" s="162">
        <v>6.7</v>
      </c>
      <c r="C11" s="162">
        <v>6.8</v>
      </c>
      <c r="E11">
        <f t="shared" si="2"/>
        <v>5.4777777777777779</v>
      </c>
      <c r="F11">
        <f t="shared" si="2"/>
        <v>5.3888888888888893</v>
      </c>
      <c r="G11">
        <f t="shared" si="3"/>
        <v>6.5755555555555549</v>
      </c>
      <c r="H11">
        <f t="shared" si="3"/>
        <v>5.6888888888888873</v>
      </c>
      <c r="I11">
        <f t="shared" si="4"/>
        <v>5.3477777777777762</v>
      </c>
      <c r="J11">
        <f t="shared" si="0"/>
        <v>2.0224906965791156E-2</v>
      </c>
      <c r="K11">
        <f t="shared" si="1"/>
        <v>0.98008064578717813</v>
      </c>
      <c r="L11">
        <f t="shared" si="5"/>
        <v>5.9007087816888601</v>
      </c>
    </row>
    <row r="12" spans="1:15">
      <c r="A12" s="577">
        <v>9</v>
      </c>
      <c r="B12" s="162">
        <v>5.2</v>
      </c>
      <c r="C12" s="162">
        <v>4.5999999999999996</v>
      </c>
      <c r="E12">
        <f t="shared" si="2"/>
        <v>5.6444444444444448</v>
      </c>
      <c r="F12">
        <f t="shared" si="2"/>
        <v>5.6333333333333329</v>
      </c>
      <c r="G12">
        <f t="shared" si="3"/>
        <v>7.742222222222221</v>
      </c>
      <c r="H12">
        <f t="shared" si="3"/>
        <v>6.5200000000000005</v>
      </c>
      <c r="I12">
        <f t="shared" si="4"/>
        <v>6.4866666666666646</v>
      </c>
      <c r="J12">
        <f t="shared" si="0"/>
        <v>0.27592971871613603</v>
      </c>
      <c r="K12">
        <f t="shared" si="1"/>
        <v>0.949146309676275</v>
      </c>
      <c r="L12">
        <f t="shared" si="5"/>
        <v>5.9708075767737858</v>
      </c>
    </row>
    <row r="13" spans="1:15">
      <c r="A13" s="584">
        <v>10</v>
      </c>
      <c r="B13" s="589">
        <v>4.5</v>
      </c>
      <c r="C13" s="589">
        <v>4.0999999999999996</v>
      </c>
      <c r="E13" s="572">
        <f t="shared" si="2"/>
        <v>5.7222222222222232</v>
      </c>
      <c r="F13" s="572">
        <f t="shared" si="2"/>
        <v>5.6888888888888882</v>
      </c>
      <c r="G13" s="572">
        <f t="shared" si="3"/>
        <v>6.5755555555555532</v>
      </c>
      <c r="H13" s="572">
        <f t="shared" si="3"/>
        <v>5.2088888888888896</v>
      </c>
      <c r="I13" s="572">
        <f t="shared" si="4"/>
        <v>5.1522222222222203</v>
      </c>
      <c r="J13" s="572">
        <f t="shared" si="0"/>
        <v>0.3648604423349795</v>
      </c>
      <c r="K13" s="572">
        <f t="shared" si="1"/>
        <v>0.93041273823272175</v>
      </c>
      <c r="L13" s="572">
        <f t="shared" si="5"/>
        <v>5.9473368717313102</v>
      </c>
    </row>
    <row r="14" spans="1:15">
      <c r="A14" s="578"/>
      <c r="B14" s="594"/>
      <c r="C14" s="594"/>
      <c r="E14">
        <f>AVERAGE(B4:B13)</f>
        <v>5.6000000000000005</v>
      </c>
      <c r="F14">
        <f>AVERAGE(C4:C13)</f>
        <v>5.5299999999999994</v>
      </c>
      <c r="G14">
        <f>DEVSQ(B4:B13)</f>
        <v>7.919999999999999</v>
      </c>
      <c r="H14">
        <f>DEVSQ(C4:C13)</f>
        <v>7.4809999999999999</v>
      </c>
      <c r="I14">
        <f>SUMPRODUCT(B4:B13-E14,C4:C13-F14)</f>
        <v>6.8999999999999986</v>
      </c>
      <c r="J14">
        <f t="shared" si="0"/>
        <v>-0.17079907964736751</v>
      </c>
      <c r="K14">
        <f t="shared" si="1"/>
        <v>1.0179998356513154</v>
      </c>
      <c r="L14">
        <f>J14+$B$17*K14</f>
        <v>5.9371999342605246</v>
      </c>
    </row>
    <row r="15" spans="1:15">
      <c r="A15" s="595" t="s">
        <v>502</v>
      </c>
      <c r="B15" s="507">
        <v>2.5</v>
      </c>
    </row>
    <row r="16" spans="1:15">
      <c r="K16" s="596" t="s">
        <v>6</v>
      </c>
      <c r="L16" s="597">
        <f>DEVSQ(L4:L13)*(A13-1)</f>
        <v>0.16184194604136873</v>
      </c>
    </row>
    <row r="17" spans="1:12">
      <c r="A17" s="574" t="s">
        <v>894</v>
      </c>
      <c r="B17" s="574">
        <v>6</v>
      </c>
      <c r="C17" s="496">
        <f>B17*K14+J14</f>
        <v>5.9371999342605246</v>
      </c>
      <c r="K17" s="584" t="s">
        <v>337</v>
      </c>
      <c r="L17" s="572">
        <f>SQRT(L16/$A$13)</f>
        <v>0.12721711600306332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27"/>
  <dimension ref="A1:M20"/>
  <sheetViews>
    <sheetView workbookViewId="0"/>
  </sheetViews>
  <sheetFormatPr defaultRowHeight="15"/>
  <cols>
    <col min="1" max="1" width="7.42578125" customWidth="1"/>
    <col min="2" max="3" width="8.7109375" customWidth="1"/>
    <col min="8" max="8" width="4" customWidth="1"/>
    <col min="9" max="9" width="7.85546875" customWidth="1"/>
  </cols>
  <sheetData>
    <row r="1" spans="1:13">
      <c r="A1" s="1" t="s">
        <v>895</v>
      </c>
    </row>
    <row r="3" spans="1:13">
      <c r="A3" s="740" t="s">
        <v>896</v>
      </c>
      <c r="B3" s="740"/>
      <c r="C3" s="740"/>
      <c r="D3" s="740"/>
      <c r="E3" s="740"/>
      <c r="F3" s="740"/>
      <c r="G3" s="740"/>
      <c r="I3" s="740" t="s">
        <v>897</v>
      </c>
      <c r="J3" s="740"/>
      <c r="K3" s="740"/>
      <c r="L3" s="740"/>
      <c r="M3" s="740"/>
    </row>
    <row r="5" spans="1:13">
      <c r="A5" s="491" t="s">
        <v>24</v>
      </c>
      <c r="B5" s="574" t="s">
        <v>4</v>
      </c>
      <c r="C5" s="574" t="s">
        <v>65</v>
      </c>
      <c r="D5" s="574" t="s">
        <v>720</v>
      </c>
      <c r="E5" s="574" t="s">
        <v>337</v>
      </c>
      <c r="F5" s="574" t="s">
        <v>13</v>
      </c>
      <c r="G5" s="574" t="s">
        <v>14</v>
      </c>
      <c r="I5" s="113" t="s">
        <v>4</v>
      </c>
      <c r="J5" s="577">
        <v>4</v>
      </c>
      <c r="K5" s="577">
        <v>5</v>
      </c>
      <c r="L5" s="577">
        <v>6</v>
      </c>
      <c r="M5" s="577">
        <v>7</v>
      </c>
    </row>
    <row r="6" spans="1:13">
      <c r="A6" s="577">
        <v>1</v>
      </c>
      <c r="B6" s="577">
        <v>5.0999999999999996</v>
      </c>
      <c r="C6" s="577">
        <v>5.4</v>
      </c>
      <c r="D6" t="e">
        <f t="array" aca="1" ref="D6:G6" ca="1">TRANSPOSE(DRegPred(B6,$B$6:$B$15,$C$6:$C$15,$B$17))</f>
        <v>#NAME?</v>
      </c>
      <c r="E6" t="e">
        <f ca="1"/>
        <v>#NAME?</v>
      </c>
      <c r="F6" t="e">
        <f ca="1"/>
        <v>#NAME?</v>
      </c>
      <c r="G6" t="e">
        <f ca="1"/>
        <v>#NAME?</v>
      </c>
      <c r="I6" t="e">
        <f t="array" aca="1" ref="I6:J9" ca="1">DRegPred(J5,B6:B15,C6:C15,B17,B18,TRUE)</f>
        <v>#NAME?</v>
      </c>
      <c r="J6" s="542" t="e">
        <f ca="1"/>
        <v>#NAME?</v>
      </c>
      <c r="K6" s="549" t="e">
        <f t="array" aca="1" ref="K6:K9" ca="1">DRegPred(K5,$B$6:$B$15,$C$6:$C$15,$B$17,$B$18)</f>
        <v>#NAME?</v>
      </c>
      <c r="L6" s="549" t="e">
        <f t="array" aca="1" ref="L6:L9" ca="1">DRegPred(L5,$B$6:$B$15,$C$6:$C$15,$B$17,$B$18)</f>
        <v>#NAME?</v>
      </c>
      <c r="M6" s="543" t="e">
        <f t="array" aca="1" ref="M6:M9" ca="1">DRegPred(M5,$B$6:$B$15,$C$6:$C$15,$B$17,$B$18)</f>
        <v>#NAME?</v>
      </c>
    </row>
    <row r="7" spans="1:13">
      <c r="A7" s="577">
        <v>2</v>
      </c>
      <c r="B7" s="577">
        <v>5.6</v>
      </c>
      <c r="C7" s="577">
        <v>5.6</v>
      </c>
      <c r="D7" t="e">
        <f t="array" aca="1" ref="D7:G7" ca="1">TRANSPOSE(DRegPred(B7,$B$6:$B$15,$C$6:$C$15,$B$17))</f>
        <v>#NAME?</v>
      </c>
      <c r="E7" t="e">
        <f ca="1"/>
        <v>#NAME?</v>
      </c>
      <c r="F7" t="e">
        <f ca="1"/>
        <v>#NAME?</v>
      </c>
      <c r="G7" t="e">
        <f ca="1"/>
        <v>#NAME?</v>
      </c>
      <c r="I7" t="e">
        <f ca="1"/>
        <v>#NAME?</v>
      </c>
      <c r="J7" s="294" t="e">
        <f ca="1"/>
        <v>#NAME?</v>
      </c>
      <c r="K7" s="5" t="e">
        <f ca="1"/>
        <v>#NAME?</v>
      </c>
      <c r="L7" s="5" t="e">
        <f ca="1"/>
        <v>#NAME?</v>
      </c>
      <c r="M7" s="295" t="e">
        <f ca="1"/>
        <v>#NAME?</v>
      </c>
    </row>
    <row r="8" spans="1:13">
      <c r="A8" s="577">
        <v>3</v>
      </c>
      <c r="B8" s="577">
        <v>6.8</v>
      </c>
      <c r="C8" s="577">
        <v>6.3</v>
      </c>
      <c r="D8" t="e">
        <f t="array" aca="1" ref="D8:G8" ca="1">TRANSPOSE(DRegPred(B8,$B$6:$B$15,$C$6:$C$15,$B$17))</f>
        <v>#NAME?</v>
      </c>
      <c r="E8" t="e">
        <f ca="1"/>
        <v>#NAME?</v>
      </c>
      <c r="F8" t="e">
        <f ca="1"/>
        <v>#NAME?</v>
      </c>
      <c r="G8" t="e">
        <f ca="1"/>
        <v>#NAME?</v>
      </c>
      <c r="I8" t="e">
        <f ca="1"/>
        <v>#NAME?</v>
      </c>
      <c r="J8" s="294" t="e">
        <f ca="1"/>
        <v>#NAME?</v>
      </c>
      <c r="K8" s="5" t="e">
        <f ca="1"/>
        <v>#NAME?</v>
      </c>
      <c r="L8" s="5" t="e">
        <f ca="1"/>
        <v>#NAME?</v>
      </c>
      <c r="M8" s="295" t="e">
        <f ca="1"/>
        <v>#NAME?</v>
      </c>
    </row>
    <row r="9" spans="1:13">
      <c r="A9" s="577">
        <v>4</v>
      </c>
      <c r="B9" s="577">
        <v>5.9</v>
      </c>
      <c r="C9" s="577">
        <v>6.1</v>
      </c>
      <c r="D9" t="e">
        <f t="array" aca="1" ref="D9:G9" ca="1">TRANSPOSE(DRegPred(B9,$B$6:$B$15,$C$6:$C$15,$B$17))</f>
        <v>#NAME?</v>
      </c>
      <c r="E9" t="e">
        <f ca="1"/>
        <v>#NAME?</v>
      </c>
      <c r="F9" t="e">
        <f ca="1"/>
        <v>#NAME?</v>
      </c>
      <c r="G9" t="e">
        <f ca="1"/>
        <v>#NAME?</v>
      </c>
      <c r="I9" t="e">
        <f ca="1"/>
        <v>#NAME?</v>
      </c>
      <c r="J9" s="284" t="e">
        <f ca="1"/>
        <v>#NAME?</v>
      </c>
      <c r="K9" s="572" t="e">
        <f ca="1"/>
        <v>#NAME?</v>
      </c>
      <c r="L9" s="572" t="e">
        <f ca="1"/>
        <v>#NAME?</v>
      </c>
      <c r="M9" s="288" t="e">
        <f ca="1"/>
        <v>#NAME?</v>
      </c>
    </row>
    <row r="10" spans="1:13">
      <c r="A10" s="577">
        <v>5</v>
      </c>
      <c r="B10" s="577">
        <v>4</v>
      </c>
      <c r="C10" s="577">
        <v>4.7</v>
      </c>
      <c r="D10" t="e">
        <f t="array" aca="1" ref="D10:G10" ca="1">TRANSPOSE(DRegPred(B10,$B$6:$B$15,$C$6:$C$15,$B$17))</f>
        <v>#NAME?</v>
      </c>
      <c r="E10" t="e">
        <f ca="1"/>
        <v>#NAME?</v>
      </c>
      <c r="F10" t="e">
        <f ca="1"/>
        <v>#NAME?</v>
      </c>
      <c r="G10" t="e">
        <f ca="1"/>
        <v>#NAME?</v>
      </c>
    </row>
    <row r="11" spans="1:13">
      <c r="A11" s="577">
        <v>6</v>
      </c>
      <c r="B11" s="577">
        <v>5.6</v>
      </c>
      <c r="C11" s="577">
        <v>5.0999999999999996</v>
      </c>
      <c r="D11" t="e">
        <f t="array" aca="1" ref="D11:G11" ca="1">TRANSPOSE(DRegPred(B11,$B$6:$B$15,$C$6:$C$15,$B$17))</f>
        <v>#NAME?</v>
      </c>
      <c r="E11" t="e">
        <f ca="1"/>
        <v>#NAME?</v>
      </c>
      <c r="F11" t="e">
        <f ca="1"/>
        <v>#NAME?</v>
      </c>
      <c r="G11" t="e">
        <f ca="1"/>
        <v>#NAME?</v>
      </c>
    </row>
    <row r="12" spans="1:13">
      <c r="A12" s="577">
        <v>7</v>
      </c>
      <c r="B12" s="577">
        <v>6.6</v>
      </c>
      <c r="C12" s="577">
        <v>6.6</v>
      </c>
      <c r="D12" t="e">
        <f t="array" aca="1" ref="D12:G12" ca="1">TRANSPOSE(DRegPred(B12,$B$6:$B$15,$C$6:$C$15,$B$17))</f>
        <v>#NAME?</v>
      </c>
      <c r="E12" t="e">
        <f ca="1"/>
        <v>#NAME?</v>
      </c>
      <c r="F12" t="e">
        <f ca="1"/>
        <v>#NAME?</v>
      </c>
      <c r="G12" t="e">
        <f ca="1"/>
        <v>#NAME?</v>
      </c>
    </row>
    <row r="13" spans="1:13">
      <c r="A13" s="577">
        <v>8</v>
      </c>
      <c r="B13" s="577">
        <v>6.7</v>
      </c>
      <c r="C13" s="577">
        <v>6.8</v>
      </c>
      <c r="D13" t="e">
        <f t="array" aca="1" ref="D13:G13" ca="1">TRANSPOSE(DRegPred(B13,$B$6:$B$15,$C$6:$C$15,$B$17))</f>
        <v>#NAME?</v>
      </c>
      <c r="E13" t="e">
        <f ca="1"/>
        <v>#NAME?</v>
      </c>
      <c r="F13" t="e">
        <f ca="1"/>
        <v>#NAME?</v>
      </c>
      <c r="G13" t="e">
        <f ca="1"/>
        <v>#NAME?</v>
      </c>
    </row>
    <row r="14" spans="1:13">
      <c r="A14" s="577">
        <v>9</v>
      </c>
      <c r="B14" s="577">
        <v>5.2</v>
      </c>
      <c r="C14" s="577">
        <v>4.5999999999999996</v>
      </c>
      <c r="D14" t="e">
        <f t="array" aca="1" ref="D14:G14" ca="1">TRANSPOSE(DRegPred(B14,$B$6:$B$15,$C$6:$C$15,$B$17))</f>
        <v>#NAME?</v>
      </c>
      <c r="E14" t="e">
        <f ca="1"/>
        <v>#NAME?</v>
      </c>
      <c r="F14" t="e">
        <f ca="1"/>
        <v>#NAME?</v>
      </c>
      <c r="G14" t="e">
        <f ca="1"/>
        <v>#NAME?</v>
      </c>
    </row>
    <row r="15" spans="1:13">
      <c r="A15" s="584">
        <v>10</v>
      </c>
      <c r="B15" s="584">
        <v>4.5</v>
      </c>
      <c r="C15" s="584">
        <v>4.0999999999999996</v>
      </c>
      <c r="D15" s="572" t="e">
        <f t="array" aca="1" ref="D15:G15" ca="1">TRANSPOSE(DRegPred(B15,$B$6:$B$15,$C$6:$C$15,$B$17))</f>
        <v>#NAME?</v>
      </c>
      <c r="E15" s="572" t="e">
        <f ca="1"/>
        <v>#NAME?</v>
      </c>
      <c r="F15" s="572" t="e">
        <f ca="1"/>
        <v>#NAME?</v>
      </c>
      <c r="G15" s="572" t="e">
        <f ca="1"/>
        <v>#NAME?</v>
      </c>
    </row>
    <row r="17" spans="1:2">
      <c r="A17" t="s">
        <v>853</v>
      </c>
      <c r="B17" s="492">
        <v>2.5</v>
      </c>
    </row>
    <row r="18" spans="1:2">
      <c r="A18" t="s">
        <v>53</v>
      </c>
      <c r="B18" s="293">
        <v>0.05</v>
      </c>
    </row>
    <row r="19" spans="1:2">
      <c r="A19" t="s">
        <v>26</v>
      </c>
      <c r="B19" s="293">
        <f>A15-1</f>
        <v>9</v>
      </c>
    </row>
    <row r="20" spans="1:2">
      <c r="A20" t="s">
        <v>506</v>
      </c>
      <c r="B20" s="289">
        <f>TINV(B18,B19)</f>
        <v>2.2621571627982053</v>
      </c>
    </row>
  </sheetData>
  <mergeCells count="2">
    <mergeCell ref="A3:G3"/>
    <mergeCell ref="I3:M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90"/>
  <dimension ref="A1:L28"/>
  <sheetViews>
    <sheetView workbookViewId="0"/>
  </sheetViews>
  <sheetFormatPr defaultRowHeight="15"/>
  <cols>
    <col min="1" max="3" width="8.28515625" customWidth="1"/>
    <col min="5" max="5" width="4" customWidth="1"/>
    <col min="6" max="6" width="10.5703125" customWidth="1"/>
    <col min="7" max="8" width="9.140625" customWidth="1"/>
  </cols>
  <sheetData>
    <row r="1" spans="1:12">
      <c r="A1" s="1" t="s">
        <v>289</v>
      </c>
    </row>
    <row r="3" spans="1:12">
      <c r="A3" s="112" t="s">
        <v>296</v>
      </c>
      <c r="B3" s="112" t="s">
        <v>297</v>
      </c>
      <c r="C3" s="112" t="s">
        <v>290</v>
      </c>
      <c r="F3" s="113" t="s">
        <v>300</v>
      </c>
      <c r="L3" s="75"/>
    </row>
    <row r="4" spans="1:12">
      <c r="A4" s="75">
        <v>7</v>
      </c>
      <c r="B4" s="75">
        <v>5</v>
      </c>
      <c r="C4" s="75">
        <v>65</v>
      </c>
    </row>
    <row r="5" spans="1:12">
      <c r="A5" s="75">
        <v>3</v>
      </c>
      <c r="B5" s="75">
        <v>7</v>
      </c>
      <c r="C5" s="75">
        <v>38</v>
      </c>
      <c r="G5" s="111" t="s">
        <v>296</v>
      </c>
      <c r="H5" s="111" t="s">
        <v>297</v>
      </c>
      <c r="I5" s="111" t="s">
        <v>290</v>
      </c>
    </row>
    <row r="6" spans="1:12">
      <c r="A6" s="75">
        <v>5</v>
      </c>
      <c r="B6" s="75">
        <v>8</v>
      </c>
      <c r="C6" s="75">
        <v>51</v>
      </c>
      <c r="F6" t="s">
        <v>296</v>
      </c>
      <c r="G6" s="77">
        <f t="array" ref="G6:I8">MMULT(TRANSPOSE(A4:C14-A15:C15),A4:C14-A15:C15)/(B17-1)</f>
        <v>5.8</v>
      </c>
      <c r="H6" s="79">
        <v>-2.0999999999999996</v>
      </c>
      <c r="I6" s="78">
        <v>20.500000000000004</v>
      </c>
    </row>
    <row r="7" spans="1:12">
      <c r="A7" s="75">
        <v>8</v>
      </c>
      <c r="B7" s="75">
        <v>1</v>
      </c>
      <c r="C7" s="75">
        <v>38</v>
      </c>
      <c r="F7" t="s">
        <v>297</v>
      </c>
      <c r="G7" s="4">
        <v>-2.0999999999999996</v>
      </c>
      <c r="H7" s="5">
        <v>6.8181818181818183</v>
      </c>
      <c r="I7" s="6">
        <v>15.345454545454547</v>
      </c>
    </row>
    <row r="8" spans="1:12">
      <c r="A8" s="75">
        <v>9</v>
      </c>
      <c r="B8" s="75">
        <v>3</v>
      </c>
      <c r="C8" s="75">
        <v>55</v>
      </c>
      <c r="F8" t="s">
        <v>290</v>
      </c>
      <c r="G8" s="115">
        <v>20.500000000000004</v>
      </c>
      <c r="H8" s="116">
        <v>15.345454545454547</v>
      </c>
      <c r="I8" s="117">
        <v>185.76363636363632</v>
      </c>
    </row>
    <row r="9" spans="1:12">
      <c r="A9" s="75">
        <v>5</v>
      </c>
      <c r="B9" s="75">
        <v>4</v>
      </c>
      <c r="C9" s="75">
        <v>43</v>
      </c>
    </row>
    <row r="10" spans="1:12">
      <c r="A10" s="75">
        <v>4</v>
      </c>
      <c r="B10" s="75">
        <v>0</v>
      </c>
      <c r="C10" s="75">
        <v>25</v>
      </c>
      <c r="F10" t="s">
        <v>299</v>
      </c>
    </row>
    <row r="11" spans="1:12">
      <c r="A11" s="75">
        <v>2</v>
      </c>
      <c r="B11" s="75">
        <v>6</v>
      </c>
      <c r="C11" s="75">
        <v>33</v>
      </c>
      <c r="G11" s="11" t="s">
        <v>301</v>
      </c>
      <c r="H11" s="11" t="s">
        <v>302</v>
      </c>
      <c r="I11" s="11" t="s">
        <v>293</v>
      </c>
    </row>
    <row r="12" spans="1:12">
      <c r="A12" s="75">
        <v>8</v>
      </c>
      <c r="B12" s="75">
        <v>7</v>
      </c>
      <c r="C12" s="75">
        <v>71</v>
      </c>
      <c r="G12" s="77">
        <f t="shared" ref="G12:I13" si="0">G6</f>
        <v>5.8</v>
      </c>
      <c r="H12" s="118">
        <f t="shared" si="0"/>
        <v>-2.0999999999999996</v>
      </c>
      <c r="I12" s="119">
        <f t="shared" si="0"/>
        <v>20.500000000000004</v>
      </c>
    </row>
    <row r="13" spans="1:12">
      <c r="A13" s="75">
        <v>6</v>
      </c>
      <c r="B13" s="75">
        <v>4</v>
      </c>
      <c r="C13" s="75">
        <v>51</v>
      </c>
      <c r="G13" s="115">
        <f t="shared" si="0"/>
        <v>-2.0999999999999996</v>
      </c>
      <c r="H13" s="116">
        <f t="shared" si="0"/>
        <v>6.8181818181818183</v>
      </c>
      <c r="I13" s="117">
        <f t="shared" si="0"/>
        <v>15.345454545454547</v>
      </c>
    </row>
    <row r="14" spans="1:12">
      <c r="A14" s="111">
        <v>9</v>
      </c>
      <c r="B14" s="111">
        <v>2</v>
      </c>
      <c r="C14" s="111">
        <v>49</v>
      </c>
    </row>
    <row r="15" spans="1:12" ht="17.25">
      <c r="A15" s="75">
        <f>AVERAGE(A4:A14)</f>
        <v>6</v>
      </c>
      <c r="B15" s="75">
        <f>AVERAGE(B4:B14)</f>
        <v>4.2727272727272725</v>
      </c>
      <c r="C15" s="75">
        <f>AVERAGE(C4:C14)</f>
        <v>47.18181818181818</v>
      </c>
      <c r="D15" s="75" t="s">
        <v>5</v>
      </c>
      <c r="F15" t="s">
        <v>133</v>
      </c>
      <c r="I15" t="s">
        <v>61</v>
      </c>
      <c r="K15" t="s">
        <v>295</v>
      </c>
    </row>
    <row r="16" spans="1:12">
      <c r="D16" s="75"/>
      <c r="E16" s="75"/>
      <c r="F16" s="77">
        <f>G12</f>
        <v>5.8</v>
      </c>
      <c r="G16" s="78">
        <f>H12</f>
        <v>-2.0999999999999996</v>
      </c>
      <c r="I16" s="95">
        <f>I12</f>
        <v>20.500000000000004</v>
      </c>
      <c r="K16" s="95">
        <f t="array" ref="K16:K17">MMULT(MINVERSE(F16:G17),I16:I17)</f>
        <v>4.8952883645113729</v>
      </c>
    </row>
    <row r="17" spans="1:11">
      <c r="A17" s="75" t="s">
        <v>15</v>
      </c>
      <c r="B17" s="75">
        <f>COUNT(A4:A14)</f>
        <v>11</v>
      </c>
      <c r="F17" s="69">
        <f>G13</f>
        <v>-2.0999999999999996</v>
      </c>
      <c r="G17" s="71">
        <f>H13</f>
        <v>6.8181818181818183</v>
      </c>
      <c r="I17" s="74">
        <f>I13</f>
        <v>15.345454545454547</v>
      </c>
      <c r="K17" s="74">
        <v>3.7584154829361696</v>
      </c>
    </row>
    <row r="19" spans="1:11">
      <c r="F19" t="s">
        <v>303</v>
      </c>
      <c r="G19" s="122">
        <f>C15-MMULT(A15:B15,G20:G21)</f>
        <v>1.7514036585681296</v>
      </c>
    </row>
    <row r="20" spans="1:11">
      <c r="F20" t="s">
        <v>301</v>
      </c>
      <c r="G20" s="120">
        <f t="array" ref="G20:G21">MMULT(MINVERSE(G12:H13),I12:I13)</f>
        <v>4.8952883645113729</v>
      </c>
    </row>
    <row r="21" spans="1:11">
      <c r="F21" t="s">
        <v>302</v>
      </c>
      <c r="G21" s="114">
        <v>3.7584154829361696</v>
      </c>
    </row>
    <row r="23" spans="1:11">
      <c r="F23" s="113" t="s">
        <v>304</v>
      </c>
    </row>
    <row r="25" spans="1:11">
      <c r="G25" s="111" t="s">
        <v>296</v>
      </c>
      <c r="H25" s="111" t="s">
        <v>297</v>
      </c>
      <c r="I25" s="111" t="s">
        <v>290</v>
      </c>
    </row>
    <row r="26" spans="1:11">
      <c r="F26" t="s">
        <v>296</v>
      </c>
      <c r="G26" s="77" t="e">
        <f t="array" aca="1" ref="G26:I28" ca="1">COV(A4:C14)</f>
        <v>#NAME?</v>
      </c>
      <c r="H26" s="79" t="e">
        <f ca="1"/>
        <v>#NAME?</v>
      </c>
      <c r="I26" s="78" t="e">
        <f ca="1"/>
        <v>#NAME?</v>
      </c>
    </row>
    <row r="27" spans="1:11">
      <c r="F27" t="s">
        <v>297</v>
      </c>
      <c r="G27" s="4" t="e">
        <f ca="1"/>
        <v>#NAME?</v>
      </c>
      <c r="H27" s="5" t="e">
        <f ca="1"/>
        <v>#NAME?</v>
      </c>
      <c r="I27" s="6" t="e">
        <f ca="1"/>
        <v>#NAME?</v>
      </c>
    </row>
    <row r="28" spans="1:11">
      <c r="F28" t="s">
        <v>290</v>
      </c>
      <c r="G28" s="115" t="e">
        <f ca="1"/>
        <v>#NAME?</v>
      </c>
      <c r="H28" s="116" t="e">
        <f ca="1"/>
        <v>#NAME?</v>
      </c>
      <c r="I28" s="117" t="e">
        <f ca="1"/>
        <v>#NAME?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91"/>
  <dimension ref="A1:AC58"/>
  <sheetViews>
    <sheetView workbookViewId="0"/>
  </sheetViews>
  <sheetFormatPr defaultRowHeight="15"/>
  <cols>
    <col min="1" max="3" width="8.28515625" customWidth="1"/>
    <col min="4" max="4" width="5.5703125" customWidth="1"/>
    <col min="5" max="10" width="5.85546875" customWidth="1"/>
    <col min="11" max="11" width="6.5703125" customWidth="1"/>
    <col min="12" max="12" width="5.42578125" customWidth="1"/>
    <col min="14" max="14" width="5.7109375" customWidth="1"/>
    <col min="16" max="16" width="5.85546875" customWidth="1"/>
  </cols>
  <sheetData>
    <row r="1" spans="1:29">
      <c r="A1" s="1" t="s">
        <v>289</v>
      </c>
    </row>
    <row r="3" spans="1:29" ht="17.25">
      <c r="A3" s="112" t="s">
        <v>296</v>
      </c>
      <c r="B3" s="112" t="s">
        <v>297</v>
      </c>
      <c r="C3" s="112" t="s">
        <v>290</v>
      </c>
      <c r="E3" s="735" t="s">
        <v>291</v>
      </c>
      <c r="F3" s="735"/>
      <c r="G3" s="735"/>
      <c r="I3" s="75" t="s">
        <v>292</v>
      </c>
      <c r="K3" s="75" t="s">
        <v>60</v>
      </c>
      <c r="M3" s="68" t="s">
        <v>305</v>
      </c>
      <c r="N3" s="75"/>
      <c r="O3" s="68" t="s">
        <v>62</v>
      </c>
      <c r="Q3" t="s">
        <v>445</v>
      </c>
      <c r="AC3" s="232" t="s">
        <v>458</v>
      </c>
    </row>
    <row r="4" spans="1:29">
      <c r="A4" s="75">
        <v>7</v>
      </c>
      <c r="B4" s="75">
        <v>5</v>
      </c>
      <c r="C4" s="75">
        <v>65</v>
      </c>
      <c r="E4" s="121">
        <v>1</v>
      </c>
      <c r="F4" s="110">
        <f t="shared" ref="F4:F14" si="0">A4</f>
        <v>7</v>
      </c>
      <c r="G4" s="85">
        <f t="shared" ref="G4:G14" si="1">B4</f>
        <v>5</v>
      </c>
      <c r="I4" s="107">
        <f t="shared" ref="I4:I14" si="2">C4</f>
        <v>65</v>
      </c>
      <c r="K4" s="95">
        <f t="array" ref="K4:K6">MMULT(E17:G19,MMULT(TRANSPOSE(E4:G14),I4:I14))</f>
        <v>1.7514036585681367</v>
      </c>
      <c r="M4" s="153">
        <f t="array" ref="M4:M14">MMULT(E4:G14,K4:K6)</f>
        <v>54.810499624828537</v>
      </c>
      <c r="O4" s="145">
        <f>I4-M4</f>
        <v>10.189500375171463</v>
      </c>
      <c r="Q4" s="235">
        <f t="array" ref="Q4:AA14">MMULT(MMULT(E4:G14,E17:G19),TRANSPOSE(E4:G14))</f>
        <v>0.12773939817330332</v>
      </c>
      <c r="R4" s="236">
        <v>6.8695179694170633E-2</v>
      </c>
      <c r="S4" s="236">
        <v>0.13418199694688096</v>
      </c>
      <c r="T4" s="236">
        <v>7.9562213770084489E-2</v>
      </c>
      <c r="U4" s="236">
        <v>0.13927915340629765</v>
      </c>
      <c r="V4" s="236">
        <v>6.2252580920592965E-2</v>
      </c>
      <c r="W4" s="236">
        <v>-3.3429066728764195E-2</v>
      </c>
      <c r="X4" s="236">
        <v>2.6960594064529456E-2</v>
      </c>
      <c r="Y4" s="236">
        <v>0.18745633780951648</v>
      </c>
      <c r="Z4" s="236">
        <v>8.6004812543662157E-2</v>
      </c>
      <c r="AA4" s="237">
        <v>0.12129679939972565</v>
      </c>
      <c r="AB4">
        <v>1</v>
      </c>
      <c r="AC4" s="251">
        <f t="array" ref="AC4:AC14">O4:O14/SQRT(O19*(1-INDEX(Q4:AA14,AB4:AB14,AB4:AB14)))</f>
        <v>1.8529159932154711</v>
      </c>
    </row>
    <row r="5" spans="1:29">
      <c r="A5" s="75">
        <v>3</v>
      </c>
      <c r="B5" s="75">
        <v>7</v>
      </c>
      <c r="C5" s="75">
        <v>38</v>
      </c>
      <c r="E5" s="29">
        <v>1</v>
      </c>
      <c r="F5" s="40">
        <f t="shared" si="0"/>
        <v>3</v>
      </c>
      <c r="G5" s="30">
        <f t="shared" si="1"/>
        <v>7</v>
      </c>
      <c r="I5" s="105">
        <f t="shared" si="2"/>
        <v>38</v>
      </c>
      <c r="K5" s="20">
        <v>4.8952883645113623</v>
      </c>
      <c r="M5" s="154">
        <v>42.746177132655433</v>
      </c>
      <c r="O5" s="20">
        <f t="shared" ref="O5:O14" si="3">I5-M5</f>
        <v>-4.7461771326554327</v>
      </c>
      <c r="Q5" s="201">
        <v>6.8695179694170494E-2</v>
      </c>
      <c r="R5" s="5">
        <v>0.29053791818675778</v>
      </c>
      <c r="S5" s="5">
        <v>0.23379647597609252</v>
      </c>
      <c r="T5" s="5">
        <v>-8.1580377241325941E-2</v>
      </c>
      <c r="U5" s="5">
        <v>-6.9316153069937325E-2</v>
      </c>
      <c r="V5" s="5">
        <v>0.12543662190483582</v>
      </c>
      <c r="W5" s="5">
        <v>5.899247069781885E-2</v>
      </c>
      <c r="X5" s="5">
        <v>0.3053636575331834</v>
      </c>
      <c r="Y5" s="5">
        <v>8.095940386555911E-2</v>
      </c>
      <c r="Z5" s="5">
        <v>8.3520919040596053E-2</v>
      </c>
      <c r="AA5" s="6">
        <v>-9.64061165877515E-2</v>
      </c>
      <c r="AB5">
        <f>AB4+1</f>
        <v>2</v>
      </c>
      <c r="AC5" s="200">
        <v>-0.95698541007981308</v>
      </c>
    </row>
    <row r="6" spans="1:29">
      <c r="A6" s="75">
        <v>5</v>
      </c>
      <c r="B6" s="75">
        <v>8</v>
      </c>
      <c r="C6" s="75">
        <v>51</v>
      </c>
      <c r="E6" s="29">
        <v>1</v>
      </c>
      <c r="F6" s="40">
        <f t="shared" si="0"/>
        <v>5</v>
      </c>
      <c r="G6" s="30">
        <f t="shared" si="1"/>
        <v>8</v>
      </c>
      <c r="I6" s="105">
        <f t="shared" si="2"/>
        <v>51</v>
      </c>
      <c r="K6" s="74">
        <v>3.7584154829361722</v>
      </c>
      <c r="M6" s="154">
        <v>56.295169344614322</v>
      </c>
      <c r="O6" s="20">
        <f t="shared" si="3"/>
        <v>-5.2951693446143224</v>
      </c>
      <c r="Q6" s="4">
        <v>0.13418199694688102</v>
      </c>
      <c r="R6" s="5">
        <v>0.23379647597609252</v>
      </c>
      <c r="S6" s="5">
        <v>0.29509172294237895</v>
      </c>
      <c r="T6" s="5">
        <v>-8.5150974151983277E-2</v>
      </c>
      <c r="U6" s="5">
        <v>2.8823514191829103E-2</v>
      </c>
      <c r="V6" s="5">
        <v>7.2886749980594551E-2</v>
      </c>
      <c r="W6" s="5">
        <v>-0.15219022484411004</v>
      </c>
      <c r="X6" s="5">
        <v>0.17537323087272627</v>
      </c>
      <c r="Y6" s="5">
        <v>0.24815648529069334</v>
      </c>
      <c r="Z6" s="5">
        <v>7.5758751843514716E-2</v>
      </c>
      <c r="AA6" s="6">
        <v>-2.6727729048617005E-2</v>
      </c>
      <c r="AB6">
        <f t="shared" ref="AB6:AB14" si="4">AB5+1</f>
        <v>3</v>
      </c>
      <c r="AC6" s="200">
        <v>-1.0711234253885886</v>
      </c>
    </row>
    <row r="7" spans="1:29">
      <c r="A7" s="75">
        <v>8</v>
      </c>
      <c r="B7" s="75">
        <v>1</v>
      </c>
      <c r="C7" s="75">
        <v>38</v>
      </c>
      <c r="E7" s="29">
        <v>1</v>
      </c>
      <c r="F7" s="40">
        <f t="shared" si="0"/>
        <v>8</v>
      </c>
      <c r="G7" s="30">
        <f t="shared" si="1"/>
        <v>1</v>
      </c>
      <c r="I7" s="105">
        <f t="shared" si="2"/>
        <v>38</v>
      </c>
      <c r="M7" s="154">
        <v>44.672126057595207</v>
      </c>
      <c r="O7" s="20">
        <f t="shared" si="3"/>
        <v>-6.6721260575952073</v>
      </c>
      <c r="Q7" s="4">
        <v>7.9562213770084517E-2</v>
      </c>
      <c r="R7" s="5">
        <v>-8.1580377241325747E-2</v>
      </c>
      <c r="S7" s="5">
        <v>-8.515097415198325E-2</v>
      </c>
      <c r="T7" s="5">
        <v>0.26709617325157176</v>
      </c>
      <c r="U7" s="5">
        <v>0.20220445548397095</v>
      </c>
      <c r="V7" s="5">
        <v>8.3132810680742075E-2</v>
      </c>
      <c r="W7" s="5">
        <v>0.23216642086470549</v>
      </c>
      <c r="X7" s="5">
        <v>-5.8759605681906302E-2</v>
      </c>
      <c r="Y7" s="5">
        <v>1.4670496002483713E-2</v>
      </c>
      <c r="Z7" s="5">
        <v>0.10238298532950396</v>
      </c>
      <c r="AA7" s="6">
        <v>0.24427540169215228</v>
      </c>
      <c r="AB7">
        <f t="shared" si="4"/>
        <v>4</v>
      </c>
      <c r="AC7" s="200">
        <v>-1.3236303505689102</v>
      </c>
    </row>
    <row r="8" spans="1:29">
      <c r="A8" s="75">
        <v>9</v>
      </c>
      <c r="B8" s="75">
        <v>3</v>
      </c>
      <c r="C8" s="75">
        <v>55</v>
      </c>
      <c r="E8" s="29">
        <v>1</v>
      </c>
      <c r="F8" s="40">
        <f t="shared" si="0"/>
        <v>9</v>
      </c>
      <c r="G8" s="30">
        <f t="shared" si="1"/>
        <v>3</v>
      </c>
      <c r="I8" s="105">
        <f t="shared" si="2"/>
        <v>55</v>
      </c>
      <c r="K8" s="76" t="s">
        <v>337</v>
      </c>
      <c r="M8" s="154">
        <v>57.08424538797891</v>
      </c>
      <c r="O8" s="20">
        <f t="shared" si="3"/>
        <v>-2.0842453879789105</v>
      </c>
      <c r="Q8" s="4">
        <v>0.13927915340629782</v>
      </c>
      <c r="R8" s="5">
        <v>-6.9316153069937117E-2</v>
      </c>
      <c r="S8" s="5">
        <v>2.8823514191829103E-2</v>
      </c>
      <c r="T8" s="5">
        <v>0.2022044554839712</v>
      </c>
      <c r="U8" s="5">
        <v>0.24665579963259088</v>
      </c>
      <c r="V8" s="5">
        <v>4.1139486144531556E-2</v>
      </c>
      <c r="W8" s="5">
        <v>2.8461279722631072E-3</v>
      </c>
      <c r="X8" s="5">
        <v>-0.11684649020673242</v>
      </c>
      <c r="Y8" s="5">
        <v>0.18373049755491749</v>
      </c>
      <c r="Z8" s="5">
        <v>9.1748816269502487E-2</v>
      </c>
      <c r="AA8" s="6">
        <v>0.2497347926207665</v>
      </c>
      <c r="AB8">
        <f t="shared" si="4"/>
        <v>5</v>
      </c>
      <c r="AC8" s="200">
        <v>-0.40782898942708506</v>
      </c>
    </row>
    <row r="9" spans="1:29">
      <c r="A9" s="75">
        <v>5</v>
      </c>
      <c r="B9" s="75">
        <v>4</v>
      </c>
      <c r="C9" s="75">
        <v>43</v>
      </c>
      <c r="E9" s="29">
        <v>1</v>
      </c>
      <c r="F9" s="40">
        <f t="shared" si="0"/>
        <v>5</v>
      </c>
      <c r="G9" s="30">
        <f t="shared" si="1"/>
        <v>4</v>
      </c>
      <c r="I9" s="105">
        <f t="shared" si="2"/>
        <v>43</v>
      </c>
      <c r="K9" s="150">
        <f>SQRT(I17)</f>
        <v>6.9602026710152911</v>
      </c>
      <c r="M9" s="154">
        <v>41.261507412869634</v>
      </c>
      <c r="O9" s="20">
        <f t="shared" si="3"/>
        <v>1.7384925871303665</v>
      </c>
      <c r="Q9" s="4">
        <v>6.2252580920593034E-2</v>
      </c>
      <c r="R9" s="5">
        <v>0.12543662190483601</v>
      </c>
      <c r="S9" s="5">
        <v>7.2886749980594689E-2</v>
      </c>
      <c r="T9" s="5">
        <v>8.3132810680742006E-2</v>
      </c>
      <c r="U9" s="5">
        <v>4.1139486144531459E-2</v>
      </c>
      <c r="V9" s="5">
        <v>0.11480245284483437</v>
      </c>
      <c r="W9" s="5">
        <v>0.17775362881316475</v>
      </c>
      <c r="X9" s="5">
        <v>0.15695102072498665</v>
      </c>
      <c r="Y9" s="5">
        <v>2.0259256384382487E-2</v>
      </c>
      <c r="Z9" s="5">
        <v>9.3766979740743661E-2</v>
      </c>
      <c r="AA9" s="6">
        <v>5.1618411860591379E-2</v>
      </c>
      <c r="AB9">
        <f t="shared" si="4"/>
        <v>6</v>
      </c>
      <c r="AC9" s="200">
        <v>0.31381862189921916</v>
      </c>
    </row>
    <row r="10" spans="1:29">
      <c r="A10" s="75">
        <v>4</v>
      </c>
      <c r="B10" s="75">
        <v>0</v>
      </c>
      <c r="C10" s="75">
        <v>25</v>
      </c>
      <c r="E10" s="29">
        <v>1</v>
      </c>
      <c r="F10" s="40">
        <f t="shared" si="0"/>
        <v>4</v>
      </c>
      <c r="G10" s="30">
        <f t="shared" si="1"/>
        <v>0</v>
      </c>
      <c r="I10" s="105">
        <f t="shared" si="2"/>
        <v>25</v>
      </c>
      <c r="K10" s="151">
        <f>SQRT(J18)</f>
        <v>0.82022977846272849</v>
      </c>
      <c r="M10" s="154">
        <v>21.332557116613586</v>
      </c>
      <c r="O10" s="20">
        <f t="shared" si="3"/>
        <v>3.6674428833864141</v>
      </c>
      <c r="Q10" s="4">
        <v>-3.3429066728764167E-2</v>
      </c>
      <c r="R10" s="5">
        <v>5.8992470697819321E-2</v>
      </c>
      <c r="S10" s="5">
        <v>-0.15219022484410982</v>
      </c>
      <c r="T10" s="5">
        <v>0.23216642086470532</v>
      </c>
      <c r="U10" s="5">
        <v>2.8461279722628852E-3</v>
      </c>
      <c r="V10" s="5">
        <v>0.17775362881316481</v>
      </c>
      <c r="W10" s="5">
        <v>0.57204584853424467</v>
      </c>
      <c r="X10" s="5">
        <v>0.20582680017594307</v>
      </c>
      <c r="Y10" s="5">
        <v>-0.2627493596212066</v>
      </c>
      <c r="Z10" s="5">
        <v>0.11340526274935969</v>
      </c>
      <c r="AA10" s="6">
        <v>8.5332091386581543E-2</v>
      </c>
      <c r="AB10">
        <f t="shared" si="4"/>
        <v>7</v>
      </c>
      <c r="AC10" s="200">
        <v>0.95211784652177578</v>
      </c>
    </row>
    <row r="11" spans="1:29">
      <c r="A11" s="75">
        <v>2</v>
      </c>
      <c r="B11" s="75">
        <v>6</v>
      </c>
      <c r="C11" s="75">
        <v>33</v>
      </c>
      <c r="E11" s="29">
        <v>1</v>
      </c>
      <c r="F11" s="40">
        <f t="shared" si="0"/>
        <v>2</v>
      </c>
      <c r="G11" s="30">
        <f t="shared" si="1"/>
        <v>6</v>
      </c>
      <c r="I11" s="105">
        <f t="shared" si="2"/>
        <v>33</v>
      </c>
      <c r="K11" s="152">
        <f>SQRT(K19)</f>
        <v>0.75651098735033706</v>
      </c>
      <c r="M11" s="154">
        <v>34.092473285207895</v>
      </c>
      <c r="O11" s="20">
        <f t="shared" si="3"/>
        <v>-1.0924732852078947</v>
      </c>
      <c r="Q11" s="4">
        <v>2.6960594064529331E-2</v>
      </c>
      <c r="R11" s="5">
        <v>0.3053636575331834</v>
      </c>
      <c r="S11" s="5">
        <v>0.17537323087272627</v>
      </c>
      <c r="T11" s="5">
        <v>-5.8759605681906524E-2</v>
      </c>
      <c r="U11" s="5">
        <v>-0.11684649020673266</v>
      </c>
      <c r="V11" s="5">
        <v>0.15695102072498646</v>
      </c>
      <c r="W11" s="5">
        <v>0.20582680017594268</v>
      </c>
      <c r="X11" s="5">
        <v>0.36805609459494448</v>
      </c>
      <c r="Y11" s="5">
        <v>-3.1126290460296802E-2</v>
      </c>
      <c r="Z11" s="5">
        <v>8.9653031126290417E-2</v>
      </c>
      <c r="AA11" s="6">
        <v>-0.12145204274366761</v>
      </c>
      <c r="AB11">
        <f t="shared" si="4"/>
        <v>8</v>
      </c>
      <c r="AC11" s="200">
        <v>-0.23339821457085794</v>
      </c>
    </row>
    <row r="12" spans="1:29">
      <c r="A12" s="75">
        <v>8</v>
      </c>
      <c r="B12" s="75">
        <v>7</v>
      </c>
      <c r="C12" s="75">
        <v>71</v>
      </c>
      <c r="E12" s="29">
        <v>1</v>
      </c>
      <c r="F12" s="40">
        <f t="shared" si="0"/>
        <v>8</v>
      </c>
      <c r="G12" s="30">
        <f t="shared" si="1"/>
        <v>7</v>
      </c>
      <c r="I12" s="105">
        <f t="shared" si="2"/>
        <v>71</v>
      </c>
      <c r="M12" s="154">
        <v>67.222618955212241</v>
      </c>
      <c r="O12" s="20">
        <f t="shared" si="3"/>
        <v>3.7773810447877594</v>
      </c>
      <c r="Q12" s="4">
        <v>0.18745633780951643</v>
      </c>
      <c r="R12" s="5">
        <v>8.0959403865559054E-2</v>
      </c>
      <c r="S12" s="5">
        <v>0.24815648529069312</v>
      </c>
      <c r="T12" s="5">
        <v>1.4670496002483775E-2</v>
      </c>
      <c r="U12" s="5">
        <v>0.18373049755491741</v>
      </c>
      <c r="V12" s="5">
        <v>2.0259256384382279E-2</v>
      </c>
      <c r="W12" s="5">
        <v>-0.26274935962120671</v>
      </c>
      <c r="X12" s="5">
        <v>-3.1126290460296857E-2</v>
      </c>
      <c r="Y12" s="5">
        <v>0.35651633936195004</v>
      </c>
      <c r="Z12" s="5">
        <v>7.5370643483660488E-2</v>
      </c>
      <c r="AA12" s="6">
        <v>0.12675619032833968</v>
      </c>
      <c r="AB12">
        <f t="shared" si="4"/>
        <v>9</v>
      </c>
      <c r="AC12" s="200">
        <v>0.79973849933219099</v>
      </c>
    </row>
    <row r="13" spans="1:29">
      <c r="A13" s="75">
        <v>6</v>
      </c>
      <c r="B13" s="75">
        <v>4</v>
      </c>
      <c r="C13" s="75">
        <v>51</v>
      </c>
      <c r="E13" s="29">
        <v>1</v>
      </c>
      <c r="F13" s="40">
        <f t="shared" si="0"/>
        <v>6</v>
      </c>
      <c r="G13" s="30">
        <f t="shared" si="1"/>
        <v>4</v>
      </c>
      <c r="I13" s="105">
        <f t="shared" si="2"/>
        <v>51</v>
      </c>
      <c r="M13" s="154">
        <v>46.156795777380999</v>
      </c>
      <c r="O13" s="20">
        <f t="shared" si="3"/>
        <v>4.8432042226190006</v>
      </c>
      <c r="Q13" s="4">
        <v>8.6004812543662199E-2</v>
      </c>
      <c r="R13" s="5">
        <v>8.3520919040596261E-2</v>
      </c>
      <c r="S13" s="5">
        <v>7.5758751843514785E-2</v>
      </c>
      <c r="T13" s="5">
        <v>0.10238298532950396</v>
      </c>
      <c r="U13" s="5">
        <v>9.174881626950239E-2</v>
      </c>
      <c r="V13" s="5">
        <v>9.3766979740743675E-2</v>
      </c>
      <c r="W13" s="5">
        <v>0.11340526274935969</v>
      </c>
      <c r="X13" s="5">
        <v>8.9653031126290611E-2</v>
      </c>
      <c r="Y13" s="5">
        <v>7.5370643483660626E-2</v>
      </c>
      <c r="Z13" s="5">
        <v>9.2136924629356548E-2</v>
      </c>
      <c r="AA13" s="6">
        <v>9.6250873243809612E-2</v>
      </c>
      <c r="AB13">
        <f t="shared" si="4"/>
        <v>10</v>
      </c>
      <c r="AC13" s="200">
        <v>0.86327382787517848</v>
      </c>
    </row>
    <row r="14" spans="1:29">
      <c r="A14" s="111">
        <v>9</v>
      </c>
      <c r="B14" s="111">
        <v>2</v>
      </c>
      <c r="C14" s="111">
        <v>49</v>
      </c>
      <c r="E14" s="87">
        <v>1</v>
      </c>
      <c r="F14" s="111">
        <f t="shared" si="0"/>
        <v>9</v>
      </c>
      <c r="G14" s="88">
        <f t="shared" si="1"/>
        <v>2</v>
      </c>
      <c r="I14" s="106">
        <f t="shared" si="2"/>
        <v>49</v>
      </c>
      <c r="M14" s="155">
        <v>53.325829905042738</v>
      </c>
      <c r="O14" s="146">
        <f t="shared" si="3"/>
        <v>-4.3258299050427382</v>
      </c>
      <c r="Q14" s="7">
        <v>0.12129679939972585</v>
      </c>
      <c r="R14" s="8">
        <v>-9.6406116587751223E-2</v>
      </c>
      <c r="S14" s="8">
        <v>-2.6727729048616949E-2</v>
      </c>
      <c r="T14" s="8">
        <v>0.24427540169215248</v>
      </c>
      <c r="U14" s="8">
        <v>0.24973479262076642</v>
      </c>
      <c r="V14" s="8">
        <v>5.1618411860591518E-2</v>
      </c>
      <c r="W14" s="8">
        <v>8.5332091386581793E-2</v>
      </c>
      <c r="X14" s="8">
        <v>-0.12145204274366732</v>
      </c>
      <c r="Y14" s="8">
        <v>0.12675619032833976</v>
      </c>
      <c r="Z14" s="8">
        <v>9.6250873243809765E-2</v>
      </c>
      <c r="AA14" s="9">
        <v>0.26932132784806856</v>
      </c>
      <c r="AB14">
        <f t="shared" si="4"/>
        <v>11</v>
      </c>
      <c r="AC14" s="146">
        <v>-0.85947290855377767</v>
      </c>
    </row>
    <row r="15" spans="1:29">
      <c r="A15" s="40"/>
      <c r="B15" s="40"/>
      <c r="C15" s="40"/>
    </row>
    <row r="16" spans="1:29" ht="18.75">
      <c r="A16" s="75"/>
      <c r="B16" s="75"/>
      <c r="C16" s="75"/>
      <c r="D16" s="75"/>
      <c r="E16" s="741" t="s">
        <v>294</v>
      </c>
      <c r="F16" s="741"/>
      <c r="G16" s="741"/>
      <c r="I16" s="735" t="s">
        <v>336</v>
      </c>
      <c r="J16" s="735"/>
      <c r="K16" s="735"/>
    </row>
    <row r="17" spans="1:21" ht="18">
      <c r="D17" s="75"/>
      <c r="E17" s="77">
        <f t="array" ref="E17:G19">MINVERSE(MMULT(TRANSPOSE(E4:G14),E4:G14))</f>
        <v>1.3973194649279432</v>
      </c>
      <c r="F17" s="79">
        <v>-0.14197003803461952</v>
      </c>
      <c r="G17" s="78">
        <v>-0.10639343838132949</v>
      </c>
      <c r="I17" s="147">
        <f t="array" ref="I17:K19">O19*E17:G19</f>
        <v>48.444421221608387</v>
      </c>
      <c r="J17" s="148">
        <v>-4.9220357234138561</v>
      </c>
      <c r="K17" s="149">
        <v>-3.6886114260393215</v>
      </c>
      <c r="N17" t="s">
        <v>205</v>
      </c>
      <c r="O17" s="145">
        <f>DEVSQ(O4:O14)</f>
        <v>277.35630934823661</v>
      </c>
    </row>
    <row r="18" spans="1:21" ht="18">
      <c r="E18" s="4">
        <v>-0.14197003803461947</v>
      </c>
      <c r="F18" s="5">
        <v>1.9405417992703587E-2</v>
      </c>
      <c r="G18" s="6">
        <v>5.9768687417527068E-3</v>
      </c>
      <c r="I18" s="4">
        <v>-4.9220357234138543</v>
      </c>
      <c r="J18" s="5">
        <v>0.67277688947701664</v>
      </c>
      <c r="K18" s="6">
        <v>0.20721528195892117</v>
      </c>
      <c r="N18" t="s">
        <v>203</v>
      </c>
      <c r="O18" s="20">
        <f>COUNT(A4:A14)-COUNT(A4:B4)-1</f>
        <v>8</v>
      </c>
    </row>
    <row r="19" spans="1:21" ht="18">
      <c r="E19" s="69">
        <v>-0.10639343838132957</v>
      </c>
      <c r="F19" s="70">
        <v>5.976868741752718E-3</v>
      </c>
      <c r="G19" s="71">
        <v>1.6507542239126507E-2</v>
      </c>
      <c r="I19" s="115">
        <v>-3.6886114260393241</v>
      </c>
      <c r="J19" s="116">
        <v>0.20721528195892158</v>
      </c>
      <c r="K19" s="117">
        <v>0.57230887398178176</v>
      </c>
      <c r="N19" t="s">
        <v>335</v>
      </c>
      <c r="O19" s="146">
        <f>O17/O18</f>
        <v>34.669538668529576</v>
      </c>
    </row>
    <row r="21" spans="1:21">
      <c r="A21" s="1" t="s">
        <v>452</v>
      </c>
    </row>
    <row r="23" spans="1:21">
      <c r="A23" t="s">
        <v>460</v>
      </c>
      <c r="R23" t="s">
        <v>459</v>
      </c>
    </row>
    <row r="25" spans="1:21">
      <c r="A25" t="s">
        <v>11</v>
      </c>
      <c r="B25">
        <f>COUNT(AC4:AC14)</f>
        <v>11</v>
      </c>
      <c r="C25">
        <f>2*B25</f>
        <v>22</v>
      </c>
      <c r="R25" t="s">
        <v>11</v>
      </c>
      <c r="S25">
        <f>COUNT(I4:I14)</f>
        <v>11</v>
      </c>
      <c r="T25">
        <f>2*S25</f>
        <v>22</v>
      </c>
    </row>
    <row r="26" spans="1:21">
      <c r="A26" t="s">
        <v>8</v>
      </c>
      <c r="B26">
        <f>AVERAGE(AC4:AC14)</f>
        <v>-6.4158645222906537E-3</v>
      </c>
      <c r="R26" t="s">
        <v>8</v>
      </c>
      <c r="S26">
        <f>AVERAGE(I4:I14)</f>
        <v>47.18181818181818</v>
      </c>
    </row>
    <row r="27" spans="1:21">
      <c r="A27" t="s">
        <v>25</v>
      </c>
      <c r="B27">
        <f>STDEV(AC4:AC14)</f>
        <v>1.029431660477452</v>
      </c>
      <c r="R27" t="s">
        <v>25</v>
      </c>
      <c r="S27">
        <f>STDEV(I4:I14)</f>
        <v>13.629513430920284</v>
      </c>
    </row>
    <row r="29" spans="1:21">
      <c r="A29" t="s">
        <v>33</v>
      </c>
      <c r="B29" t="s">
        <v>34</v>
      </c>
      <c r="C29" t="s">
        <v>135</v>
      </c>
      <c r="D29" t="s">
        <v>35</v>
      </c>
      <c r="R29" t="s">
        <v>33</v>
      </c>
      <c r="S29" t="s">
        <v>34</v>
      </c>
      <c r="T29" t="s">
        <v>135</v>
      </c>
      <c r="U29" t="s">
        <v>35</v>
      </c>
    </row>
    <row r="30" spans="1:21">
      <c r="A30">
        <v>1</v>
      </c>
      <c r="B30">
        <v>-1.3236303505689102</v>
      </c>
      <c r="C30">
        <f>NORMSINV(A30/C$25)</f>
        <v>-1.6906216295848977</v>
      </c>
      <c r="D30">
        <f>STANDARDIZE(B30,B$26,B$27)</f>
        <v>-1.2795550560740412</v>
      </c>
      <c r="R30">
        <v>1</v>
      </c>
      <c r="S30">
        <v>25</v>
      </c>
      <c r="T30">
        <f>NORMSINV(R30/T$25)</f>
        <v>-1.6906216295848977</v>
      </c>
      <c r="U30">
        <f>STANDARDIZE(S30,S$26,S$27)</f>
        <v>-1.6274842307646806</v>
      </c>
    </row>
    <row r="31" spans="1:21">
      <c r="A31">
        <f>A30+2</f>
        <v>3</v>
      </c>
      <c r="B31">
        <v>-1.0711234253885886</v>
      </c>
      <c r="C31">
        <f t="shared" ref="C31:C40" si="5">NORMSINV(A31/C$25)</f>
        <v>-1.096803562093513</v>
      </c>
      <c r="D31">
        <f t="shared" ref="D31:D40" si="6">STANDARDIZE(B31,B$26,B$27)</f>
        <v>-1.0342673552244206</v>
      </c>
      <c r="R31">
        <f>R30+2</f>
        <v>3</v>
      </c>
      <c r="S31">
        <v>33</v>
      </c>
      <c r="T31">
        <f t="shared" ref="T31:T40" si="7">NORMSINV(R31/T$25)</f>
        <v>-1.096803562093513</v>
      </c>
      <c r="U31">
        <f t="shared" ref="U31:U40" si="8">STANDARDIZE(S31,S$26,S$27)</f>
        <v>-1.0405227049151236</v>
      </c>
    </row>
    <row r="32" spans="1:21">
      <c r="A32">
        <f t="shared" ref="A32:A40" si="9">A31+2</f>
        <v>5</v>
      </c>
      <c r="B32">
        <v>-0.95698541007981308</v>
      </c>
      <c r="C32">
        <f t="shared" si="5"/>
        <v>-0.74785859476330196</v>
      </c>
      <c r="D32">
        <f t="shared" si="6"/>
        <v>-0.92339256897990363</v>
      </c>
      <c r="R32">
        <f t="shared" ref="R32:R40" si="10">R31+2</f>
        <v>5</v>
      </c>
      <c r="S32">
        <v>38</v>
      </c>
      <c r="T32">
        <f t="shared" si="7"/>
        <v>-0.74785859476330196</v>
      </c>
      <c r="U32">
        <f t="shared" si="8"/>
        <v>-0.67367175125915046</v>
      </c>
    </row>
    <row r="33" spans="1:21">
      <c r="A33">
        <f t="shared" si="9"/>
        <v>7</v>
      </c>
      <c r="B33">
        <v>-0.85947290855377767</v>
      </c>
      <c r="C33">
        <f t="shared" si="5"/>
        <v>-0.47278912099226744</v>
      </c>
      <c r="D33">
        <f t="shared" si="6"/>
        <v>-0.8286679696987731</v>
      </c>
      <c r="R33">
        <f t="shared" si="10"/>
        <v>7</v>
      </c>
      <c r="S33">
        <v>38</v>
      </c>
      <c r="T33">
        <f t="shared" si="7"/>
        <v>-0.47278912099226744</v>
      </c>
      <c r="U33">
        <f t="shared" si="8"/>
        <v>-0.67367175125915046</v>
      </c>
    </row>
    <row r="34" spans="1:21">
      <c r="A34">
        <f t="shared" si="9"/>
        <v>9</v>
      </c>
      <c r="B34">
        <v>-0.40782898942708506</v>
      </c>
      <c r="C34">
        <f t="shared" si="5"/>
        <v>-0.22988411757923208</v>
      </c>
      <c r="D34">
        <f t="shared" si="6"/>
        <v>-0.3899366420483108</v>
      </c>
      <c r="R34">
        <f t="shared" si="10"/>
        <v>9</v>
      </c>
      <c r="S34">
        <v>43</v>
      </c>
      <c r="T34">
        <f t="shared" si="7"/>
        <v>-0.22988411757923208</v>
      </c>
      <c r="U34">
        <f t="shared" si="8"/>
        <v>-0.30682079760317738</v>
      </c>
    </row>
    <row r="35" spans="1:21">
      <c r="A35">
        <f t="shared" si="9"/>
        <v>11</v>
      </c>
      <c r="B35">
        <v>-0.23339821457085794</v>
      </c>
      <c r="C35">
        <f t="shared" si="5"/>
        <v>0</v>
      </c>
      <c r="D35">
        <f t="shared" si="6"/>
        <v>-0.22049287851054875</v>
      </c>
      <c r="R35">
        <f t="shared" si="10"/>
        <v>11</v>
      </c>
      <c r="S35">
        <v>49</v>
      </c>
      <c r="T35">
        <f t="shared" si="7"/>
        <v>0</v>
      </c>
      <c r="U35">
        <f t="shared" si="8"/>
        <v>0.13340034678399038</v>
      </c>
    </row>
    <row r="36" spans="1:21">
      <c r="A36">
        <f t="shared" si="9"/>
        <v>13</v>
      </c>
      <c r="B36">
        <v>0.31381862189921916</v>
      </c>
      <c r="C36">
        <f t="shared" si="5"/>
        <v>0.22988411757923222</v>
      </c>
      <c r="D36">
        <f t="shared" si="6"/>
        <v>0.31107891734453219</v>
      </c>
      <c r="R36">
        <f t="shared" si="10"/>
        <v>13</v>
      </c>
      <c r="S36">
        <v>51</v>
      </c>
      <c r="T36">
        <f t="shared" si="7"/>
        <v>0.22988411757923222</v>
      </c>
      <c r="U36">
        <f t="shared" si="8"/>
        <v>0.28014072824637959</v>
      </c>
    </row>
    <row r="37" spans="1:21">
      <c r="A37">
        <f t="shared" si="9"/>
        <v>15</v>
      </c>
      <c r="B37">
        <v>0.79973849933219099</v>
      </c>
      <c r="C37">
        <f t="shared" si="5"/>
        <v>0.47278912099226728</v>
      </c>
      <c r="D37">
        <f t="shared" si="6"/>
        <v>0.78310624668429762</v>
      </c>
      <c r="R37">
        <f t="shared" si="10"/>
        <v>15</v>
      </c>
      <c r="S37">
        <v>51</v>
      </c>
      <c r="T37">
        <f t="shared" si="7"/>
        <v>0.47278912099226728</v>
      </c>
      <c r="U37">
        <f t="shared" si="8"/>
        <v>0.28014072824637959</v>
      </c>
    </row>
    <row r="38" spans="1:21">
      <c r="A38">
        <f t="shared" si="9"/>
        <v>17</v>
      </c>
      <c r="B38">
        <v>0.86327382787517848</v>
      </c>
      <c r="C38">
        <f t="shared" si="5"/>
        <v>0.74785859476330196</v>
      </c>
      <c r="D38">
        <f t="shared" si="6"/>
        <v>0.84482508726621608</v>
      </c>
      <c r="R38">
        <f t="shared" si="10"/>
        <v>17</v>
      </c>
      <c r="S38">
        <v>55</v>
      </c>
      <c r="T38">
        <f t="shared" si="7"/>
        <v>0.74785859476330196</v>
      </c>
      <c r="U38">
        <f t="shared" si="8"/>
        <v>0.57362149117115813</v>
      </c>
    </row>
    <row r="39" spans="1:21">
      <c r="A39">
        <f t="shared" si="9"/>
        <v>19</v>
      </c>
      <c r="B39">
        <v>0.95211784652177578</v>
      </c>
      <c r="C39">
        <f t="shared" si="5"/>
        <v>1.096803562093513</v>
      </c>
      <c r="D39">
        <f t="shared" si="6"/>
        <v>0.93112903735591057</v>
      </c>
      <c r="R39">
        <f t="shared" si="10"/>
        <v>19</v>
      </c>
      <c r="S39">
        <v>65</v>
      </c>
      <c r="T39">
        <f t="shared" si="7"/>
        <v>1.096803562093513</v>
      </c>
      <c r="U39">
        <f t="shared" si="8"/>
        <v>1.3073233984831043</v>
      </c>
    </row>
    <row r="40" spans="1:21">
      <c r="A40">
        <f t="shared" si="9"/>
        <v>21</v>
      </c>
      <c r="B40">
        <v>1.8529159932154711</v>
      </c>
      <c r="C40">
        <f t="shared" si="5"/>
        <v>1.6906216295848984</v>
      </c>
      <c r="D40">
        <f t="shared" si="6"/>
        <v>1.8061731818850419</v>
      </c>
      <c r="R40">
        <f t="shared" si="10"/>
        <v>21</v>
      </c>
      <c r="S40">
        <v>71</v>
      </c>
      <c r="T40">
        <f t="shared" si="7"/>
        <v>1.6906216295848984</v>
      </c>
      <c r="U40">
        <f t="shared" si="8"/>
        <v>1.7475445428702721</v>
      </c>
    </row>
    <row r="45" spans="1:21">
      <c r="A45" s="1" t="s">
        <v>461</v>
      </c>
    </row>
    <row r="47" spans="1:21">
      <c r="A47" s="68" t="s">
        <v>305</v>
      </c>
      <c r="B47" s="232" t="s">
        <v>462</v>
      </c>
    </row>
    <row r="48" spans="1:21">
      <c r="A48" s="252">
        <f>M4</f>
        <v>54.810499624828537</v>
      </c>
      <c r="B48" s="250">
        <f>AC4</f>
        <v>1.8529159932154711</v>
      </c>
    </row>
    <row r="49" spans="1:2">
      <c r="A49" s="253">
        <f t="shared" ref="A49:A58" si="11">M5</f>
        <v>42.746177132655433</v>
      </c>
      <c r="B49" s="6">
        <f t="shared" ref="B49:B58" si="12">AC5</f>
        <v>-0.95698541007981308</v>
      </c>
    </row>
    <row r="50" spans="1:2">
      <c r="A50" s="253">
        <f t="shared" si="11"/>
        <v>56.295169344614322</v>
      </c>
      <c r="B50" s="6">
        <f t="shared" si="12"/>
        <v>-1.0711234253885886</v>
      </c>
    </row>
    <row r="51" spans="1:2">
      <c r="A51" s="253">
        <f t="shared" si="11"/>
        <v>44.672126057595207</v>
      </c>
      <c r="B51" s="6">
        <f t="shared" si="12"/>
        <v>-1.3236303505689102</v>
      </c>
    </row>
    <row r="52" spans="1:2">
      <c r="A52" s="253">
        <f t="shared" si="11"/>
        <v>57.08424538797891</v>
      </c>
      <c r="B52" s="6">
        <f t="shared" si="12"/>
        <v>-0.40782898942708506</v>
      </c>
    </row>
    <row r="53" spans="1:2">
      <c r="A53" s="253">
        <f t="shared" si="11"/>
        <v>41.261507412869634</v>
      </c>
      <c r="B53" s="6">
        <f t="shared" si="12"/>
        <v>0.31381862189921916</v>
      </c>
    </row>
    <row r="54" spans="1:2">
      <c r="A54" s="253">
        <f t="shared" si="11"/>
        <v>21.332557116613586</v>
      </c>
      <c r="B54" s="6">
        <f t="shared" si="12"/>
        <v>0.95211784652177578</v>
      </c>
    </row>
    <row r="55" spans="1:2">
      <c r="A55" s="253">
        <f t="shared" si="11"/>
        <v>34.092473285207895</v>
      </c>
      <c r="B55" s="6">
        <f t="shared" si="12"/>
        <v>-0.23339821457085794</v>
      </c>
    </row>
    <row r="56" spans="1:2">
      <c r="A56" s="253">
        <f t="shared" si="11"/>
        <v>67.222618955212241</v>
      </c>
      <c r="B56" s="6">
        <f t="shared" si="12"/>
        <v>0.79973849933219099</v>
      </c>
    </row>
    <row r="57" spans="1:2">
      <c r="A57" s="253">
        <f t="shared" si="11"/>
        <v>46.156795777380999</v>
      </c>
      <c r="B57" s="6">
        <f t="shared" si="12"/>
        <v>0.86327382787517848</v>
      </c>
    </row>
    <row r="58" spans="1:2">
      <c r="A58" s="254">
        <f t="shared" si="11"/>
        <v>53.325829905042738</v>
      </c>
      <c r="B58" s="9">
        <f t="shared" si="12"/>
        <v>-0.85947290855377767</v>
      </c>
    </row>
  </sheetData>
  <mergeCells count="3">
    <mergeCell ref="E3:G3"/>
    <mergeCell ref="E16:G16"/>
    <mergeCell ref="I16:K16"/>
  </mergeCells>
  <pageMargins left="0.7" right="0.7" top="0.75" bottom="0.75" header="0.3" footer="0.3"/>
  <pageSetup paperSize="9" orientation="portrait" horizontalDpi="300" verticalDpi="300" r:id="rId1"/>
  <ignoredErrors>
    <ignoredError sqref="O18" formulaRange="1"/>
  </ignoredError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06"/>
  <dimension ref="A1:AC19"/>
  <sheetViews>
    <sheetView workbookViewId="0"/>
  </sheetViews>
  <sheetFormatPr defaultRowHeight="15"/>
  <cols>
    <col min="1" max="3" width="8.28515625" customWidth="1"/>
    <col min="4" max="4" width="5.5703125" customWidth="1"/>
    <col min="5" max="8" width="5.85546875" customWidth="1"/>
    <col min="9" max="11" width="7" customWidth="1"/>
    <col min="12" max="12" width="5.42578125" customWidth="1"/>
    <col min="14" max="14" width="5.7109375" customWidth="1"/>
    <col min="16" max="16" width="5.85546875" customWidth="1"/>
  </cols>
  <sheetData>
    <row r="1" spans="1:29">
      <c r="A1" s="1" t="s">
        <v>706</v>
      </c>
    </row>
    <row r="3" spans="1:29" ht="17.25">
      <c r="A3" s="112" t="s">
        <v>296</v>
      </c>
      <c r="B3" s="112" t="s">
        <v>297</v>
      </c>
      <c r="C3" s="112" t="s">
        <v>290</v>
      </c>
      <c r="E3" s="735" t="s">
        <v>291</v>
      </c>
      <c r="F3" s="735"/>
      <c r="G3" s="735"/>
      <c r="I3" s="297" t="s">
        <v>292</v>
      </c>
      <c r="K3" s="297" t="s">
        <v>60</v>
      </c>
      <c r="M3" s="68" t="s">
        <v>305</v>
      </c>
      <c r="N3" s="297"/>
      <c r="O3" s="68" t="s">
        <v>62</v>
      </c>
      <c r="Q3" t="s">
        <v>445</v>
      </c>
      <c r="AC3" s="297" t="s">
        <v>458</v>
      </c>
    </row>
    <row r="4" spans="1:29">
      <c r="A4" s="297">
        <v>7</v>
      </c>
      <c r="B4" s="297">
        <v>5</v>
      </c>
      <c r="C4" s="297">
        <v>65</v>
      </c>
      <c r="E4" s="121" t="e">
        <f t="array" aca="1" ref="E4:G14" ca="1">DESIGN(A4:B14)</f>
        <v>#NAME?</v>
      </c>
      <c r="F4" s="110" t="e">
        <f ca="1"/>
        <v>#NAME?</v>
      </c>
      <c r="G4" s="85" t="e">
        <f ca="1"/>
        <v>#NAME?</v>
      </c>
      <c r="I4" s="107">
        <f t="shared" ref="I4:I14" si="0">C4</f>
        <v>65</v>
      </c>
      <c r="K4" s="95" t="e">
        <f t="array" aca="1" ref="K4:K6" ca="1">RegCoeff(A4:B14,C4:C14)</f>
        <v>#NAME?</v>
      </c>
      <c r="M4" s="153" t="e">
        <f t="array" aca="1" ref="M4:M14" ca="1">RegY(A4:B14,C4:C14)</f>
        <v>#NAME?</v>
      </c>
      <c r="O4" s="145" t="e">
        <f t="array" aca="1" ref="O4:O14" ca="1">RegE(A4:B14,C4:C14)</f>
        <v>#NAME?</v>
      </c>
      <c r="Q4" s="235" t="e">
        <f t="array" aca="1" ref="Q4:AA14" ca="1">HAT(A4:B14)</f>
        <v>#NAME?</v>
      </c>
      <c r="R4" s="236" t="e">
        <f ca="1"/>
        <v>#NAME?</v>
      </c>
      <c r="S4" s="236" t="e">
        <f ca="1"/>
        <v>#NAME?</v>
      </c>
      <c r="T4" s="236" t="e">
        <f ca="1"/>
        <v>#NAME?</v>
      </c>
      <c r="U4" s="236" t="e">
        <f ca="1"/>
        <v>#NAME?</v>
      </c>
      <c r="V4" s="236" t="e">
        <f ca="1"/>
        <v>#NAME?</v>
      </c>
      <c r="W4" s="236" t="e">
        <f ca="1"/>
        <v>#NAME?</v>
      </c>
      <c r="X4" s="236" t="e">
        <f ca="1"/>
        <v>#NAME?</v>
      </c>
      <c r="Y4" s="236" t="e">
        <f ca="1"/>
        <v>#NAME?</v>
      </c>
      <c r="Z4" s="236" t="e">
        <f ca="1"/>
        <v>#NAME?</v>
      </c>
      <c r="AA4" s="237" t="e">
        <f ca="1"/>
        <v>#NAME?</v>
      </c>
      <c r="AB4">
        <v>1</v>
      </c>
      <c r="AC4" s="251" t="e">
        <f t="array" aca="1" ref="AC4:AC14" ca="1">RegStudE(A4:B14,C4:C14)</f>
        <v>#NAME?</v>
      </c>
    </row>
    <row r="5" spans="1:29">
      <c r="A5" s="297">
        <v>3</v>
      </c>
      <c r="B5" s="297">
        <v>7</v>
      </c>
      <c r="C5" s="297">
        <v>38</v>
      </c>
      <c r="E5" s="29" t="e">
        <f ca="1"/>
        <v>#NAME?</v>
      </c>
      <c r="F5" s="40" t="e">
        <f ca="1"/>
        <v>#NAME?</v>
      </c>
      <c r="G5" s="30" t="e">
        <f ca="1"/>
        <v>#NAME?</v>
      </c>
      <c r="I5" s="105">
        <f t="shared" si="0"/>
        <v>38</v>
      </c>
      <c r="K5" s="20" t="e">
        <f ca="1"/>
        <v>#NAME?</v>
      </c>
      <c r="M5" s="154" t="e">
        <f ca="1"/>
        <v>#NAME?</v>
      </c>
      <c r="O5" s="20" t="e">
        <f ca="1"/>
        <v>#NAME?</v>
      </c>
      <c r="Q5" s="201" t="e">
        <f ca="1"/>
        <v>#NAME?</v>
      </c>
      <c r="R5" s="5" t="e">
        <f ca="1"/>
        <v>#NAME?</v>
      </c>
      <c r="S5" s="5" t="e">
        <f ca="1"/>
        <v>#NAME?</v>
      </c>
      <c r="T5" s="5" t="e">
        <f ca="1"/>
        <v>#NAME?</v>
      </c>
      <c r="U5" s="5" t="e">
        <f ca="1"/>
        <v>#NAME?</v>
      </c>
      <c r="V5" s="5" t="e">
        <f ca="1"/>
        <v>#NAME?</v>
      </c>
      <c r="W5" s="5" t="e">
        <f ca="1"/>
        <v>#NAME?</v>
      </c>
      <c r="X5" s="5" t="e">
        <f ca="1"/>
        <v>#NAME?</v>
      </c>
      <c r="Y5" s="5" t="e">
        <f ca="1"/>
        <v>#NAME?</v>
      </c>
      <c r="Z5" s="5" t="e">
        <f ca="1"/>
        <v>#NAME?</v>
      </c>
      <c r="AA5" s="6" t="e">
        <f ca="1"/>
        <v>#NAME?</v>
      </c>
      <c r="AB5">
        <f>AB4+1</f>
        <v>2</v>
      </c>
      <c r="AC5" s="200" t="e">
        <f ca="1"/>
        <v>#NAME?</v>
      </c>
    </row>
    <row r="6" spans="1:29">
      <c r="A6" s="297">
        <v>5</v>
      </c>
      <c r="B6" s="297">
        <v>8</v>
      </c>
      <c r="C6" s="297">
        <v>51</v>
      </c>
      <c r="E6" s="29" t="e">
        <f ca="1"/>
        <v>#NAME?</v>
      </c>
      <c r="F6" s="40" t="e">
        <f ca="1"/>
        <v>#NAME?</v>
      </c>
      <c r="G6" s="30" t="e">
        <f ca="1"/>
        <v>#NAME?</v>
      </c>
      <c r="I6" s="105">
        <f t="shared" si="0"/>
        <v>51</v>
      </c>
      <c r="K6" s="74" t="e">
        <f ca="1"/>
        <v>#NAME?</v>
      </c>
      <c r="M6" s="154" t="e">
        <f ca="1"/>
        <v>#NAME?</v>
      </c>
      <c r="O6" s="20" t="e">
        <f ca="1"/>
        <v>#NAME?</v>
      </c>
      <c r="Q6" s="4" t="e">
        <f ca="1"/>
        <v>#NAME?</v>
      </c>
      <c r="R6" s="5" t="e">
        <f ca="1"/>
        <v>#NAME?</v>
      </c>
      <c r="S6" s="5" t="e">
        <f ca="1"/>
        <v>#NAME?</v>
      </c>
      <c r="T6" s="5" t="e">
        <f ca="1"/>
        <v>#NAME?</v>
      </c>
      <c r="U6" s="5" t="e">
        <f ca="1"/>
        <v>#NAME?</v>
      </c>
      <c r="V6" s="5" t="e">
        <f ca="1"/>
        <v>#NAME?</v>
      </c>
      <c r="W6" s="5" t="e">
        <f ca="1"/>
        <v>#NAME?</v>
      </c>
      <c r="X6" s="5" t="e">
        <f ca="1"/>
        <v>#NAME?</v>
      </c>
      <c r="Y6" s="5" t="e">
        <f ca="1"/>
        <v>#NAME?</v>
      </c>
      <c r="Z6" s="5" t="e">
        <f ca="1"/>
        <v>#NAME?</v>
      </c>
      <c r="AA6" s="6" t="e">
        <f ca="1"/>
        <v>#NAME?</v>
      </c>
      <c r="AB6">
        <f t="shared" ref="AB6:AB14" si="1">AB5+1</f>
        <v>3</v>
      </c>
      <c r="AC6" s="200" t="e">
        <f ca="1"/>
        <v>#NAME?</v>
      </c>
    </row>
    <row r="7" spans="1:29">
      <c r="A7" s="297">
        <v>8</v>
      </c>
      <c r="B7" s="297">
        <v>1</v>
      </c>
      <c r="C7" s="297">
        <v>38</v>
      </c>
      <c r="E7" s="29" t="e">
        <f ca="1"/>
        <v>#NAME?</v>
      </c>
      <c r="F7" s="40" t="e">
        <f ca="1"/>
        <v>#NAME?</v>
      </c>
      <c r="G7" s="30" t="e">
        <f ca="1"/>
        <v>#NAME?</v>
      </c>
      <c r="I7" s="105">
        <f t="shared" si="0"/>
        <v>38</v>
      </c>
      <c r="M7" s="154" t="e">
        <f ca="1"/>
        <v>#NAME?</v>
      </c>
      <c r="O7" s="20" t="e">
        <f ca="1"/>
        <v>#NAME?</v>
      </c>
      <c r="Q7" s="4" t="e">
        <f ca="1"/>
        <v>#NAME?</v>
      </c>
      <c r="R7" s="5" t="e">
        <f ca="1"/>
        <v>#NAME?</v>
      </c>
      <c r="S7" s="5" t="e">
        <f ca="1"/>
        <v>#NAME?</v>
      </c>
      <c r="T7" s="5" t="e">
        <f ca="1"/>
        <v>#NAME?</v>
      </c>
      <c r="U7" s="5" t="e">
        <f ca="1"/>
        <v>#NAME?</v>
      </c>
      <c r="V7" s="5" t="e">
        <f ca="1"/>
        <v>#NAME?</v>
      </c>
      <c r="W7" s="5" t="e">
        <f ca="1"/>
        <v>#NAME?</v>
      </c>
      <c r="X7" s="5" t="e">
        <f ca="1"/>
        <v>#NAME?</v>
      </c>
      <c r="Y7" s="5" t="e">
        <f ca="1"/>
        <v>#NAME?</v>
      </c>
      <c r="Z7" s="5" t="e">
        <f ca="1"/>
        <v>#NAME?</v>
      </c>
      <c r="AA7" s="6" t="e">
        <f ca="1"/>
        <v>#NAME?</v>
      </c>
      <c r="AB7">
        <f t="shared" si="1"/>
        <v>4</v>
      </c>
      <c r="AC7" s="200" t="e">
        <f ca="1"/>
        <v>#NAME?</v>
      </c>
    </row>
    <row r="8" spans="1:29">
      <c r="A8" s="297">
        <v>9</v>
      </c>
      <c r="B8" s="297">
        <v>3</v>
      </c>
      <c r="C8" s="297">
        <v>55</v>
      </c>
      <c r="E8" s="29" t="e">
        <f ca="1"/>
        <v>#NAME?</v>
      </c>
      <c r="F8" s="40" t="e">
        <f ca="1"/>
        <v>#NAME?</v>
      </c>
      <c r="G8" s="30" t="e">
        <f ca="1"/>
        <v>#NAME?</v>
      </c>
      <c r="I8" s="105">
        <f t="shared" si="0"/>
        <v>55</v>
      </c>
      <c r="K8" s="297" t="s">
        <v>337</v>
      </c>
      <c r="M8" s="154" t="e">
        <f ca="1"/>
        <v>#NAME?</v>
      </c>
      <c r="O8" s="20" t="e">
        <f ca="1"/>
        <v>#NAME?</v>
      </c>
      <c r="Q8" s="4" t="e">
        <f ca="1"/>
        <v>#NAME?</v>
      </c>
      <c r="R8" s="5" t="e">
        <f ca="1"/>
        <v>#NAME?</v>
      </c>
      <c r="S8" s="5" t="e">
        <f ca="1"/>
        <v>#NAME?</v>
      </c>
      <c r="T8" s="5" t="e">
        <f ca="1"/>
        <v>#NAME?</v>
      </c>
      <c r="U8" s="5" t="e">
        <f ca="1"/>
        <v>#NAME?</v>
      </c>
      <c r="V8" s="5" t="e">
        <f ca="1"/>
        <v>#NAME?</v>
      </c>
      <c r="W8" s="5" t="e">
        <f ca="1"/>
        <v>#NAME?</v>
      </c>
      <c r="X8" s="5" t="e">
        <f ca="1"/>
        <v>#NAME?</v>
      </c>
      <c r="Y8" s="5" t="e">
        <f ca="1"/>
        <v>#NAME?</v>
      </c>
      <c r="Z8" s="5" t="e">
        <f ca="1"/>
        <v>#NAME?</v>
      </c>
      <c r="AA8" s="6" t="e">
        <f ca="1"/>
        <v>#NAME?</v>
      </c>
      <c r="AB8">
        <f t="shared" si="1"/>
        <v>5</v>
      </c>
      <c r="AC8" s="200" t="e">
        <f ca="1"/>
        <v>#NAME?</v>
      </c>
    </row>
    <row r="9" spans="1:29">
      <c r="A9" s="297">
        <v>5</v>
      </c>
      <c r="B9" s="297">
        <v>4</v>
      </c>
      <c r="C9" s="297">
        <v>43</v>
      </c>
      <c r="E9" s="29" t="e">
        <f ca="1"/>
        <v>#NAME?</v>
      </c>
      <c r="F9" s="40" t="e">
        <f ca="1"/>
        <v>#NAME?</v>
      </c>
      <c r="G9" s="30" t="e">
        <f ca="1"/>
        <v>#NAME?</v>
      </c>
      <c r="I9" s="105">
        <f t="shared" si="0"/>
        <v>43</v>
      </c>
      <c r="K9" s="150" t="e">
        <f t="array" aca="1" ref="K9:K11" ca="1">RegCoeffSE(A4:B14,C4:C14)</f>
        <v>#NAME?</v>
      </c>
      <c r="M9" s="154" t="e">
        <f ca="1"/>
        <v>#NAME?</v>
      </c>
      <c r="O9" s="20" t="e">
        <f ca="1"/>
        <v>#NAME?</v>
      </c>
      <c r="Q9" s="4" t="e">
        <f ca="1"/>
        <v>#NAME?</v>
      </c>
      <c r="R9" s="5" t="e">
        <f ca="1"/>
        <v>#NAME?</v>
      </c>
      <c r="S9" s="5" t="e">
        <f ca="1"/>
        <v>#NAME?</v>
      </c>
      <c r="T9" s="5" t="e">
        <f ca="1"/>
        <v>#NAME?</v>
      </c>
      <c r="U9" s="5" t="e">
        <f ca="1"/>
        <v>#NAME?</v>
      </c>
      <c r="V9" s="5" t="e">
        <f ca="1"/>
        <v>#NAME?</v>
      </c>
      <c r="W9" s="5" t="e">
        <f ca="1"/>
        <v>#NAME?</v>
      </c>
      <c r="X9" s="5" t="e">
        <f ca="1"/>
        <v>#NAME?</v>
      </c>
      <c r="Y9" s="5" t="e">
        <f ca="1"/>
        <v>#NAME?</v>
      </c>
      <c r="Z9" s="5" t="e">
        <f ca="1"/>
        <v>#NAME?</v>
      </c>
      <c r="AA9" s="6" t="e">
        <f ca="1"/>
        <v>#NAME?</v>
      </c>
      <c r="AB9">
        <f t="shared" si="1"/>
        <v>6</v>
      </c>
      <c r="AC9" s="200" t="e">
        <f ca="1"/>
        <v>#NAME?</v>
      </c>
    </row>
    <row r="10" spans="1:29">
      <c r="A10" s="297">
        <v>4</v>
      </c>
      <c r="B10" s="297">
        <v>0</v>
      </c>
      <c r="C10" s="297">
        <v>25</v>
      </c>
      <c r="E10" s="29" t="e">
        <f ca="1"/>
        <v>#NAME?</v>
      </c>
      <c r="F10" s="40" t="e">
        <f ca="1"/>
        <v>#NAME?</v>
      </c>
      <c r="G10" s="30" t="e">
        <f ca="1"/>
        <v>#NAME?</v>
      </c>
      <c r="I10" s="105">
        <f t="shared" si="0"/>
        <v>25</v>
      </c>
      <c r="K10" s="151" t="e">
        <f ca="1"/>
        <v>#NAME?</v>
      </c>
      <c r="M10" s="154" t="e">
        <f ca="1"/>
        <v>#NAME?</v>
      </c>
      <c r="O10" s="20" t="e">
        <f ca="1"/>
        <v>#NAME?</v>
      </c>
      <c r="Q10" s="4" t="e">
        <f ca="1"/>
        <v>#NAME?</v>
      </c>
      <c r="R10" s="5" t="e">
        <f ca="1"/>
        <v>#NAME?</v>
      </c>
      <c r="S10" s="5" t="e">
        <f ca="1"/>
        <v>#NAME?</v>
      </c>
      <c r="T10" s="5" t="e">
        <f ca="1"/>
        <v>#NAME?</v>
      </c>
      <c r="U10" s="5" t="e">
        <f ca="1"/>
        <v>#NAME?</v>
      </c>
      <c r="V10" s="5" t="e">
        <f ca="1"/>
        <v>#NAME?</v>
      </c>
      <c r="W10" s="5" t="e">
        <f ca="1"/>
        <v>#NAME?</v>
      </c>
      <c r="X10" s="5" t="e">
        <f ca="1"/>
        <v>#NAME?</v>
      </c>
      <c r="Y10" s="5" t="e">
        <f ca="1"/>
        <v>#NAME?</v>
      </c>
      <c r="Z10" s="5" t="e">
        <f ca="1"/>
        <v>#NAME?</v>
      </c>
      <c r="AA10" s="6" t="e">
        <f ca="1"/>
        <v>#NAME?</v>
      </c>
      <c r="AB10">
        <f t="shared" si="1"/>
        <v>7</v>
      </c>
      <c r="AC10" s="200" t="e">
        <f ca="1"/>
        <v>#NAME?</v>
      </c>
    </row>
    <row r="11" spans="1:29">
      <c r="A11" s="297">
        <v>2</v>
      </c>
      <c r="B11" s="297">
        <v>6</v>
      </c>
      <c r="C11" s="297">
        <v>33</v>
      </c>
      <c r="E11" s="29" t="e">
        <f ca="1"/>
        <v>#NAME?</v>
      </c>
      <c r="F11" s="40" t="e">
        <f ca="1"/>
        <v>#NAME?</v>
      </c>
      <c r="G11" s="30" t="e">
        <f ca="1"/>
        <v>#NAME?</v>
      </c>
      <c r="I11" s="105">
        <f t="shared" si="0"/>
        <v>33</v>
      </c>
      <c r="K11" s="152" t="e">
        <f ca="1"/>
        <v>#NAME?</v>
      </c>
      <c r="M11" s="154" t="e">
        <f ca="1"/>
        <v>#NAME?</v>
      </c>
      <c r="O11" s="20" t="e">
        <f ca="1"/>
        <v>#NAME?</v>
      </c>
      <c r="Q11" s="4" t="e">
        <f ca="1"/>
        <v>#NAME?</v>
      </c>
      <c r="R11" s="5" t="e">
        <f ca="1"/>
        <v>#NAME?</v>
      </c>
      <c r="S11" s="5" t="e">
        <f ca="1"/>
        <v>#NAME?</v>
      </c>
      <c r="T11" s="5" t="e">
        <f ca="1"/>
        <v>#NAME?</v>
      </c>
      <c r="U11" s="5" t="e">
        <f ca="1"/>
        <v>#NAME?</v>
      </c>
      <c r="V11" s="5" t="e">
        <f ca="1"/>
        <v>#NAME?</v>
      </c>
      <c r="W11" s="5" t="e">
        <f ca="1"/>
        <v>#NAME?</v>
      </c>
      <c r="X11" s="5" t="e">
        <f ca="1"/>
        <v>#NAME?</v>
      </c>
      <c r="Y11" s="5" t="e">
        <f ca="1"/>
        <v>#NAME?</v>
      </c>
      <c r="Z11" s="5" t="e">
        <f ca="1"/>
        <v>#NAME?</v>
      </c>
      <c r="AA11" s="6" t="e">
        <f ca="1"/>
        <v>#NAME?</v>
      </c>
      <c r="AB11">
        <f t="shared" si="1"/>
        <v>8</v>
      </c>
      <c r="AC11" s="200" t="e">
        <f ca="1"/>
        <v>#NAME?</v>
      </c>
    </row>
    <row r="12" spans="1:29">
      <c r="A12" s="297">
        <v>8</v>
      </c>
      <c r="B12" s="297">
        <v>7</v>
      </c>
      <c r="C12" s="297">
        <v>71</v>
      </c>
      <c r="E12" s="29" t="e">
        <f ca="1"/>
        <v>#NAME?</v>
      </c>
      <c r="F12" s="40" t="e">
        <f ca="1"/>
        <v>#NAME?</v>
      </c>
      <c r="G12" s="30" t="e">
        <f ca="1"/>
        <v>#NAME?</v>
      </c>
      <c r="I12" s="105">
        <f t="shared" si="0"/>
        <v>71</v>
      </c>
      <c r="M12" s="154" t="e">
        <f ca="1"/>
        <v>#NAME?</v>
      </c>
      <c r="O12" s="20" t="e">
        <f ca="1"/>
        <v>#NAME?</v>
      </c>
      <c r="Q12" s="4" t="e">
        <f ca="1"/>
        <v>#NAME?</v>
      </c>
      <c r="R12" s="5" t="e">
        <f ca="1"/>
        <v>#NAME?</v>
      </c>
      <c r="S12" s="5" t="e">
        <f ca="1"/>
        <v>#NAME?</v>
      </c>
      <c r="T12" s="5" t="e">
        <f ca="1"/>
        <v>#NAME?</v>
      </c>
      <c r="U12" s="5" t="e">
        <f ca="1"/>
        <v>#NAME?</v>
      </c>
      <c r="V12" s="5" t="e">
        <f ca="1"/>
        <v>#NAME?</v>
      </c>
      <c r="W12" s="5" t="e">
        <f ca="1"/>
        <v>#NAME?</v>
      </c>
      <c r="X12" s="5" t="e">
        <f ca="1"/>
        <v>#NAME?</v>
      </c>
      <c r="Y12" s="5" t="e">
        <f ca="1"/>
        <v>#NAME?</v>
      </c>
      <c r="Z12" s="5" t="e">
        <f ca="1"/>
        <v>#NAME?</v>
      </c>
      <c r="AA12" s="6" t="e">
        <f ca="1"/>
        <v>#NAME?</v>
      </c>
      <c r="AB12">
        <f t="shared" si="1"/>
        <v>9</v>
      </c>
      <c r="AC12" s="200" t="e">
        <f ca="1"/>
        <v>#NAME?</v>
      </c>
    </row>
    <row r="13" spans="1:29">
      <c r="A13" s="297">
        <v>6</v>
      </c>
      <c r="B13" s="297">
        <v>4</v>
      </c>
      <c r="C13" s="297">
        <v>51</v>
      </c>
      <c r="E13" s="29" t="e">
        <f ca="1"/>
        <v>#NAME?</v>
      </c>
      <c r="F13" s="40" t="e">
        <f ca="1"/>
        <v>#NAME?</v>
      </c>
      <c r="G13" s="30" t="e">
        <f ca="1"/>
        <v>#NAME?</v>
      </c>
      <c r="I13" s="105">
        <f t="shared" si="0"/>
        <v>51</v>
      </c>
      <c r="M13" s="154" t="e">
        <f ca="1"/>
        <v>#NAME?</v>
      </c>
      <c r="O13" s="20" t="e">
        <f ca="1"/>
        <v>#NAME?</v>
      </c>
      <c r="Q13" s="4" t="e">
        <f ca="1"/>
        <v>#NAME?</v>
      </c>
      <c r="R13" s="5" t="e">
        <f ca="1"/>
        <v>#NAME?</v>
      </c>
      <c r="S13" s="5" t="e">
        <f ca="1"/>
        <v>#NAME?</v>
      </c>
      <c r="T13" s="5" t="e">
        <f ca="1"/>
        <v>#NAME?</v>
      </c>
      <c r="U13" s="5" t="e">
        <f ca="1"/>
        <v>#NAME?</v>
      </c>
      <c r="V13" s="5" t="e">
        <f ca="1"/>
        <v>#NAME?</v>
      </c>
      <c r="W13" s="5" t="e">
        <f ca="1"/>
        <v>#NAME?</v>
      </c>
      <c r="X13" s="5" t="e">
        <f ca="1"/>
        <v>#NAME?</v>
      </c>
      <c r="Y13" s="5" t="e">
        <f ca="1"/>
        <v>#NAME?</v>
      </c>
      <c r="Z13" s="5" t="e">
        <f ca="1"/>
        <v>#NAME?</v>
      </c>
      <c r="AA13" s="6" t="e">
        <f ca="1"/>
        <v>#NAME?</v>
      </c>
      <c r="AB13">
        <f t="shared" si="1"/>
        <v>10</v>
      </c>
      <c r="AC13" s="200" t="e">
        <f ca="1"/>
        <v>#NAME?</v>
      </c>
    </row>
    <row r="14" spans="1:29">
      <c r="A14" s="298">
        <v>9</v>
      </c>
      <c r="B14" s="298">
        <v>2</v>
      </c>
      <c r="C14" s="298">
        <v>49</v>
      </c>
      <c r="E14" s="87" t="e">
        <f ca="1"/>
        <v>#NAME?</v>
      </c>
      <c r="F14" s="298" t="e">
        <f ca="1"/>
        <v>#NAME?</v>
      </c>
      <c r="G14" s="88" t="e">
        <f ca="1"/>
        <v>#NAME?</v>
      </c>
      <c r="I14" s="106">
        <f t="shared" si="0"/>
        <v>49</v>
      </c>
      <c r="M14" s="155" t="e">
        <f ca="1"/>
        <v>#NAME?</v>
      </c>
      <c r="O14" s="146" t="e">
        <f ca="1"/>
        <v>#NAME?</v>
      </c>
      <c r="Q14" s="7" t="e">
        <f ca="1"/>
        <v>#NAME?</v>
      </c>
      <c r="R14" s="8" t="e">
        <f ca="1"/>
        <v>#NAME?</v>
      </c>
      <c r="S14" s="8" t="e">
        <f ca="1"/>
        <v>#NAME?</v>
      </c>
      <c r="T14" s="8" t="e">
        <f ca="1"/>
        <v>#NAME?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 t="e">
        <f ca="1"/>
        <v>#NAME?</v>
      </c>
      <c r="Y14" s="8" t="e">
        <f ca="1"/>
        <v>#NAME?</v>
      </c>
      <c r="Z14" s="8" t="e">
        <f ca="1"/>
        <v>#NAME?</v>
      </c>
      <c r="AA14" s="9" t="e">
        <f ca="1"/>
        <v>#NAME?</v>
      </c>
      <c r="AB14">
        <f t="shared" si="1"/>
        <v>11</v>
      </c>
      <c r="AC14" s="146" t="e">
        <f ca="1"/>
        <v>#NAME?</v>
      </c>
    </row>
    <row r="15" spans="1:29">
      <c r="A15" s="40"/>
      <c r="B15" s="40"/>
      <c r="C15" s="40"/>
    </row>
    <row r="16" spans="1:29" ht="18.75">
      <c r="A16" s="297"/>
      <c r="B16" s="297"/>
      <c r="C16" s="297"/>
      <c r="D16" s="297"/>
      <c r="E16" s="741" t="s">
        <v>294</v>
      </c>
      <c r="F16" s="741"/>
      <c r="G16" s="741"/>
      <c r="I16" s="735" t="s">
        <v>336</v>
      </c>
      <c r="J16" s="735"/>
      <c r="K16" s="735"/>
    </row>
    <row r="17" spans="4:18" ht="18">
      <c r="D17" s="297"/>
      <c r="E17" s="77" t="e">
        <f t="array" aca="1" ref="E17:G19" ca="1">CORE(A4:B14)</f>
        <v>#NAME?</v>
      </c>
      <c r="F17" s="79" t="e">
        <f ca="1"/>
        <v>#NAME?</v>
      </c>
      <c r="G17" s="78" t="e">
        <f ca="1"/>
        <v>#NAME?</v>
      </c>
      <c r="I17" s="147" t="e">
        <f t="array" aca="1" ref="I17:K19" ca="1">RegCov(A4:B14,C4:C14)</f>
        <v>#NAME?</v>
      </c>
      <c r="J17" s="148" t="e">
        <f ca="1"/>
        <v>#NAME?</v>
      </c>
      <c r="K17" s="149" t="e">
        <f ca="1"/>
        <v>#NAME?</v>
      </c>
      <c r="N17" t="s">
        <v>205</v>
      </c>
      <c r="O17" s="145" t="e">
        <f ca="1">SSRes(A4:B14,C4:C14)</f>
        <v>#NAME?</v>
      </c>
      <c r="Q17" s="303" t="e">
        <f t="array" aca="1" ref="Q17" ca="1">MMULT(TRANSPOSE(I4:I14-M4:M14),I4:I14-M4:M14)</f>
        <v>#NAME?</v>
      </c>
      <c r="R17" s="13" t="s">
        <v>659</v>
      </c>
    </row>
    <row r="18" spans="4:18" ht="18">
      <c r="E18" s="4" t="e">
        <f ca="1"/>
        <v>#NAME?</v>
      </c>
      <c r="F18" s="5" t="e">
        <f ca="1"/>
        <v>#NAME?</v>
      </c>
      <c r="G18" s="6" t="e">
        <f ca="1"/>
        <v>#NAME?</v>
      </c>
      <c r="I18" s="4" t="e">
        <f ca="1"/>
        <v>#NAME?</v>
      </c>
      <c r="J18" s="5" t="e">
        <f ca="1"/>
        <v>#NAME?</v>
      </c>
      <c r="K18" s="6" t="e">
        <f ca="1"/>
        <v>#NAME?</v>
      </c>
      <c r="N18" t="s">
        <v>203</v>
      </c>
      <c r="O18" s="20" t="e">
        <f t="array" aca="1" ref="O18" ca="1">dfRes(A4:B14)</f>
        <v>#NAME?</v>
      </c>
    </row>
    <row r="19" spans="4:18" ht="18">
      <c r="E19" s="69" t="e">
        <f ca="1"/>
        <v>#NAME?</v>
      </c>
      <c r="F19" s="70" t="e">
        <f ca="1"/>
        <v>#NAME?</v>
      </c>
      <c r="G19" s="71" t="e">
        <f ca="1"/>
        <v>#NAME?</v>
      </c>
      <c r="I19" s="115" t="e">
        <f ca="1"/>
        <v>#NAME?</v>
      </c>
      <c r="J19" s="116" t="e">
        <f ca="1"/>
        <v>#NAME?</v>
      </c>
      <c r="K19" s="117" t="e">
        <f ca="1"/>
        <v>#NAME?</v>
      </c>
      <c r="N19" t="s">
        <v>335</v>
      </c>
      <c r="O19" s="146" t="e">
        <f ca="1">MSRes(A4:B14,C4:C14)</f>
        <v>#NAME?</v>
      </c>
    </row>
  </sheetData>
  <mergeCells count="3">
    <mergeCell ref="E3:G3"/>
    <mergeCell ref="E16:G16"/>
    <mergeCell ref="I16:K1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60"/>
  <dimension ref="A1:J14"/>
  <sheetViews>
    <sheetView workbookViewId="0"/>
  </sheetViews>
  <sheetFormatPr defaultRowHeight="15"/>
  <cols>
    <col min="7" max="7" width="5.5703125" customWidth="1"/>
    <col min="9" max="9" width="5.7109375" customWidth="1"/>
  </cols>
  <sheetData>
    <row r="1" spans="1:10">
      <c r="A1" s="1" t="s">
        <v>529</v>
      </c>
    </row>
    <row r="3" spans="1:10">
      <c r="A3" s="112" t="s">
        <v>296</v>
      </c>
      <c r="B3" s="112" t="s">
        <v>297</v>
      </c>
      <c r="C3" s="112" t="s">
        <v>479</v>
      </c>
      <c r="D3" s="331"/>
      <c r="F3" s="330" t="s">
        <v>60</v>
      </c>
      <c r="H3" s="68" t="s">
        <v>305</v>
      </c>
      <c r="J3" s="330" t="s">
        <v>62</v>
      </c>
    </row>
    <row r="4" spans="1:10">
      <c r="A4" s="330">
        <v>7</v>
      </c>
      <c r="B4" s="330">
        <v>5</v>
      </c>
      <c r="C4" s="330">
        <v>65</v>
      </c>
      <c r="D4" s="330"/>
      <c r="E4" t="s">
        <v>314</v>
      </c>
      <c r="F4" s="95">
        <v>1.751632038762762</v>
      </c>
      <c r="H4" s="315">
        <f>A4*$F$5+B4*$F$6+$F$4</f>
        <v>54.810483602128372</v>
      </c>
      <c r="J4" s="315">
        <f>C4-H4</f>
        <v>10.189516397871628</v>
      </c>
    </row>
    <row r="5" spans="1:10">
      <c r="A5" s="330">
        <v>3</v>
      </c>
      <c r="B5" s="330">
        <v>7</v>
      </c>
      <c r="C5" s="330">
        <v>38</v>
      </c>
      <c r="D5" s="330"/>
      <c r="E5" t="s">
        <v>527</v>
      </c>
      <c r="F5" s="20">
        <v>4.8952632583756195</v>
      </c>
      <c r="H5" s="293">
        <f t="shared" ref="H5:H14" si="0">A5*$F$5+B5*$F$6+$F$4</f>
        <v>42.746234070520401</v>
      </c>
      <c r="J5" s="293">
        <f t="shared" ref="J5:J14" si="1">C5-H5</f>
        <v>-4.7462340705204014</v>
      </c>
    </row>
    <row r="6" spans="1:10">
      <c r="A6" s="330">
        <v>5</v>
      </c>
      <c r="B6" s="330">
        <v>8</v>
      </c>
      <c r="C6" s="330">
        <v>51</v>
      </c>
      <c r="D6" s="330"/>
      <c r="E6" t="s">
        <v>528</v>
      </c>
      <c r="F6" s="74">
        <v>3.7584017509472538</v>
      </c>
      <c r="H6" s="293">
        <f t="shared" si="0"/>
        <v>56.295162338218894</v>
      </c>
      <c r="J6" s="293">
        <f t="shared" si="1"/>
        <v>-5.2951623382188941</v>
      </c>
    </row>
    <row r="7" spans="1:10">
      <c r="A7" s="330">
        <v>8</v>
      </c>
      <c r="B7" s="330">
        <v>1</v>
      </c>
      <c r="C7" s="330">
        <v>38</v>
      </c>
      <c r="D7" s="330"/>
      <c r="H7" s="293">
        <f t="shared" si="0"/>
        <v>44.672139856714978</v>
      </c>
      <c r="J7" s="293">
        <f t="shared" si="1"/>
        <v>-6.6721398567149777</v>
      </c>
    </row>
    <row r="8" spans="1:10">
      <c r="A8" s="330">
        <v>9</v>
      </c>
      <c r="B8" s="330">
        <v>3</v>
      </c>
      <c r="C8" s="330">
        <v>55</v>
      </c>
      <c r="D8" s="330"/>
      <c r="E8" t="s">
        <v>482</v>
      </c>
      <c r="F8" s="303">
        <f>SUMSQ(J4:J14)</f>
        <v>277.35630938717281</v>
      </c>
      <c r="H8" s="293">
        <f t="shared" si="0"/>
        <v>57.084206616985099</v>
      </c>
      <c r="J8" s="293">
        <f t="shared" si="1"/>
        <v>-2.0842066169850995</v>
      </c>
    </row>
    <row r="9" spans="1:10">
      <c r="A9" s="330">
        <v>5</v>
      </c>
      <c r="B9" s="330">
        <v>4</v>
      </c>
      <c r="C9" s="330">
        <v>43</v>
      </c>
      <c r="D9" s="330"/>
      <c r="H9" s="293">
        <f t="shared" si="0"/>
        <v>41.261555334429879</v>
      </c>
      <c r="J9" s="293">
        <f t="shared" si="1"/>
        <v>1.7384446655701211</v>
      </c>
    </row>
    <row r="10" spans="1:10">
      <c r="A10" s="330">
        <v>4</v>
      </c>
      <c r="B10" s="330">
        <v>0</v>
      </c>
      <c r="C10" s="330">
        <v>25</v>
      </c>
      <c r="D10" s="330"/>
      <c r="H10" s="293">
        <f t="shared" si="0"/>
        <v>21.332685072265239</v>
      </c>
      <c r="J10" s="293">
        <f t="shared" si="1"/>
        <v>3.6673149277347612</v>
      </c>
    </row>
    <row r="11" spans="1:10">
      <c r="A11" s="330">
        <v>2</v>
      </c>
      <c r="B11" s="330">
        <v>6</v>
      </c>
      <c r="C11" s="330">
        <v>33</v>
      </c>
      <c r="D11" s="330"/>
      <c r="H11" s="293">
        <f t="shared" si="0"/>
        <v>34.092569061197523</v>
      </c>
      <c r="J11" s="293">
        <f t="shared" si="1"/>
        <v>-1.0925690611975227</v>
      </c>
    </row>
    <row r="12" spans="1:10">
      <c r="A12" s="330">
        <v>8</v>
      </c>
      <c r="B12" s="330">
        <v>7</v>
      </c>
      <c r="C12" s="330">
        <v>71</v>
      </c>
      <c r="D12" s="330"/>
      <c r="H12" s="293">
        <f t="shared" si="0"/>
        <v>67.222550362398493</v>
      </c>
      <c r="J12" s="293">
        <f t="shared" si="1"/>
        <v>3.7774496376015065</v>
      </c>
    </row>
    <row r="13" spans="1:10">
      <c r="A13" s="330">
        <v>6</v>
      </c>
      <c r="B13" s="330">
        <v>4</v>
      </c>
      <c r="C13" s="330">
        <v>51</v>
      </c>
      <c r="D13" s="330"/>
      <c r="H13" s="293">
        <f t="shared" si="0"/>
        <v>46.156818592805493</v>
      </c>
      <c r="J13" s="293">
        <f t="shared" si="1"/>
        <v>4.843181407194507</v>
      </c>
    </row>
    <row r="14" spans="1:10">
      <c r="A14" s="332">
        <v>9</v>
      </c>
      <c r="B14" s="332">
        <v>2</v>
      </c>
      <c r="C14" s="332">
        <v>49</v>
      </c>
      <c r="D14" s="331"/>
      <c r="H14" s="289">
        <f t="shared" si="0"/>
        <v>53.325804866037849</v>
      </c>
      <c r="J14" s="289">
        <f t="shared" si="1"/>
        <v>-4.3258048660378492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92"/>
  <dimension ref="A1:J13"/>
  <sheetViews>
    <sheetView workbookViewId="0"/>
  </sheetViews>
  <sheetFormatPr defaultRowHeight="15"/>
  <cols>
    <col min="1" max="1" width="8" customWidth="1"/>
    <col min="6" max="6" width="8" customWidth="1"/>
  </cols>
  <sheetData>
    <row r="1" spans="1:10">
      <c r="A1" s="1" t="s">
        <v>306</v>
      </c>
    </row>
    <row r="2" spans="1:10">
      <c r="A2" s="1"/>
    </row>
    <row r="3" spans="1:10">
      <c r="B3" s="735" t="s">
        <v>307</v>
      </c>
      <c r="C3" s="735"/>
      <c r="D3" s="735"/>
      <c r="E3" s="735"/>
      <c r="G3" s="735" t="s">
        <v>308</v>
      </c>
      <c r="H3" s="735"/>
      <c r="I3" s="735"/>
      <c r="J3" s="735"/>
    </row>
    <row r="4" spans="1:10">
      <c r="A4" s="11" t="s">
        <v>23</v>
      </c>
      <c r="B4" s="123">
        <v>2</v>
      </c>
      <c r="C4" s="124">
        <v>5</v>
      </c>
      <c r="D4" s="124">
        <v>10</v>
      </c>
      <c r="E4" s="125">
        <v>20</v>
      </c>
      <c r="G4" s="123">
        <v>2</v>
      </c>
      <c r="H4" s="124">
        <v>5</v>
      </c>
      <c r="I4" s="124">
        <v>10</v>
      </c>
      <c r="J4" s="125">
        <v>20</v>
      </c>
    </row>
    <row r="5" spans="1:10">
      <c r="A5">
        <v>20</v>
      </c>
      <c r="B5" s="126">
        <v>0.45</v>
      </c>
      <c r="C5" s="127">
        <v>0.56000000000000005</v>
      </c>
      <c r="D5" s="127">
        <v>0.71</v>
      </c>
      <c r="E5" s="128" t="s">
        <v>309</v>
      </c>
      <c r="G5" s="126">
        <v>0.39</v>
      </c>
      <c r="H5" s="127">
        <v>0.48</v>
      </c>
      <c r="I5" s="127">
        <v>0.64</v>
      </c>
      <c r="J5" s="129" t="s">
        <v>309</v>
      </c>
    </row>
    <row r="6" spans="1:10">
      <c r="A6">
        <v>50</v>
      </c>
      <c r="B6" s="35">
        <v>0.23</v>
      </c>
      <c r="C6" s="36">
        <v>0.28999999999999998</v>
      </c>
      <c r="D6" s="36">
        <v>0.36</v>
      </c>
      <c r="E6" s="129">
        <v>0.49</v>
      </c>
      <c r="G6" s="35">
        <v>0.19</v>
      </c>
      <c r="H6" s="36">
        <v>0.23</v>
      </c>
      <c r="I6" s="36">
        <v>0.28999999999999998</v>
      </c>
      <c r="J6" s="12">
        <v>0.42</v>
      </c>
    </row>
    <row r="7" spans="1:10">
      <c r="A7">
        <v>100</v>
      </c>
      <c r="B7" s="35">
        <v>0.13</v>
      </c>
      <c r="C7" s="36">
        <v>0.16</v>
      </c>
      <c r="D7" s="36">
        <v>0.2</v>
      </c>
      <c r="E7" s="12">
        <v>0.26</v>
      </c>
      <c r="G7" s="35">
        <v>0.1</v>
      </c>
      <c r="H7" s="36">
        <v>0.12</v>
      </c>
      <c r="I7" s="36">
        <v>0.15</v>
      </c>
      <c r="J7" s="12">
        <v>0.21</v>
      </c>
    </row>
    <row r="8" spans="1:10">
      <c r="A8">
        <v>250</v>
      </c>
      <c r="B8" s="35">
        <v>0.05</v>
      </c>
      <c r="C8" s="36">
        <v>7.0000000000000007E-2</v>
      </c>
      <c r="D8" s="36">
        <v>0.08</v>
      </c>
      <c r="E8" s="12">
        <v>0.11</v>
      </c>
      <c r="G8" s="35">
        <v>0.04</v>
      </c>
      <c r="H8" s="36">
        <v>0.05</v>
      </c>
      <c r="I8" s="36">
        <v>0.06</v>
      </c>
      <c r="J8" s="12">
        <v>0.09</v>
      </c>
    </row>
    <row r="9" spans="1:10">
      <c r="A9">
        <v>500</v>
      </c>
      <c r="B9" s="35">
        <v>0.03</v>
      </c>
      <c r="C9" s="36">
        <v>0.03</v>
      </c>
      <c r="D9" s="36">
        <v>0.04</v>
      </c>
      <c r="E9" s="12">
        <v>0.06</v>
      </c>
      <c r="G9" s="35">
        <v>0.03</v>
      </c>
      <c r="H9" s="36">
        <v>0.04</v>
      </c>
      <c r="I9" s="36">
        <v>0.05</v>
      </c>
      <c r="J9" s="12">
        <v>0.08</v>
      </c>
    </row>
    <row r="10" spans="1:10">
      <c r="A10">
        <v>1000</v>
      </c>
      <c r="B10" s="130">
        <v>0.01</v>
      </c>
      <c r="C10" s="131">
        <v>0.02</v>
      </c>
      <c r="D10" s="131">
        <v>0.02</v>
      </c>
      <c r="E10" s="132">
        <v>0.03</v>
      </c>
      <c r="G10" s="130">
        <v>0.01</v>
      </c>
      <c r="H10" s="131">
        <v>0.01</v>
      </c>
      <c r="I10" s="131">
        <v>0.02</v>
      </c>
      <c r="J10" s="132">
        <v>0.02</v>
      </c>
    </row>
    <row r="12" spans="1:10" ht="17.25">
      <c r="A12" t="s">
        <v>311</v>
      </c>
    </row>
    <row r="13" spans="1:10">
      <c r="A13" t="s">
        <v>310</v>
      </c>
    </row>
  </sheetData>
  <mergeCells count="2">
    <mergeCell ref="B3:E3"/>
    <mergeCell ref="G3:J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93"/>
  <dimension ref="A1:AL58"/>
  <sheetViews>
    <sheetView workbookViewId="0"/>
  </sheetViews>
  <sheetFormatPr defaultRowHeight="15"/>
  <cols>
    <col min="1" max="1" width="13.140625" customWidth="1"/>
    <col min="2" max="5" width="10.28515625" customWidth="1"/>
    <col min="6" max="6" width="6.7109375" customWidth="1"/>
    <col min="7" max="11" width="13.5703125" customWidth="1"/>
    <col min="12" max="12" width="18" customWidth="1"/>
    <col min="13" max="13" width="17.140625" customWidth="1"/>
    <col min="14" max="19" width="13.42578125" customWidth="1"/>
    <col min="20" max="20" width="9.140625" customWidth="1"/>
    <col min="21" max="21" width="17.85546875" customWidth="1"/>
    <col min="22" max="27" width="14.28515625" customWidth="1"/>
    <col min="28" max="28" width="9.140625" customWidth="1"/>
    <col min="30" max="32" width="10.140625" customWidth="1"/>
    <col min="33" max="33" width="3" customWidth="1"/>
    <col min="34" max="34" width="27.42578125" customWidth="1"/>
  </cols>
  <sheetData>
    <row r="1" spans="1:38">
      <c r="A1" s="1" t="s">
        <v>312</v>
      </c>
      <c r="M1" t="s">
        <v>324</v>
      </c>
      <c r="U1" t="s">
        <v>325</v>
      </c>
      <c r="AC1" t="s">
        <v>480</v>
      </c>
      <c r="AJ1" t="s">
        <v>775</v>
      </c>
    </row>
    <row r="2" spans="1:38" ht="15.75" customHeight="1"/>
    <row r="3" spans="1:38" ht="15.75" customHeight="1">
      <c r="A3" s="45"/>
      <c r="B3" s="46" t="s">
        <v>66</v>
      </c>
      <c r="C3" s="46" t="s">
        <v>67</v>
      </c>
      <c r="D3" s="46" t="s">
        <v>68</v>
      </c>
      <c r="E3" s="46" t="s">
        <v>69</v>
      </c>
      <c r="G3" s="133" t="s">
        <v>313</v>
      </c>
      <c r="M3" t="s">
        <v>206</v>
      </c>
      <c r="U3" t="s">
        <v>206</v>
      </c>
      <c r="AD3" s="265" t="s">
        <v>484</v>
      </c>
      <c r="AE3" s="265" t="s">
        <v>485</v>
      </c>
      <c r="AF3" s="265" t="s">
        <v>486</v>
      </c>
      <c r="AK3" s="265" t="s">
        <v>484</v>
      </c>
      <c r="AL3" s="265" t="s">
        <v>485</v>
      </c>
    </row>
    <row r="4" spans="1:38" ht="15.75" customHeight="1" thickBot="1">
      <c r="A4" s="44" t="s">
        <v>74</v>
      </c>
      <c r="B4" s="47">
        <v>15.7</v>
      </c>
      <c r="C4" s="48">
        <v>9</v>
      </c>
      <c r="D4" s="49">
        <v>71.027177760140717</v>
      </c>
      <c r="E4" s="50">
        <v>448</v>
      </c>
      <c r="AC4" s="282" t="s">
        <v>482</v>
      </c>
      <c r="AD4" s="267">
        <f>O15</f>
        <v>280.69844043360786</v>
      </c>
      <c r="AE4" s="270">
        <f>W15</f>
        <v>288.40988529461998</v>
      </c>
      <c r="AF4" s="271">
        <f>AE4-AD4</f>
        <v>7.7114448610121258</v>
      </c>
      <c r="AH4" s="13" t="s">
        <v>487</v>
      </c>
      <c r="AJ4" s="282" t="s">
        <v>15</v>
      </c>
      <c r="AK4" s="267">
        <f>N10</f>
        <v>50</v>
      </c>
      <c r="AL4" s="271">
        <f>AK4</f>
        <v>50</v>
      </c>
    </row>
    <row r="5" spans="1:38" ht="15.75" customHeight="1">
      <c r="A5" s="44" t="s">
        <v>75</v>
      </c>
      <c r="B5" s="47">
        <v>8.4</v>
      </c>
      <c r="C5" s="48">
        <v>6.9</v>
      </c>
      <c r="D5" s="49">
        <v>70.62318863808899</v>
      </c>
      <c r="E5" s="50">
        <v>661.2</v>
      </c>
      <c r="G5" s="46" t="s">
        <v>67</v>
      </c>
      <c r="H5" s="46" t="s">
        <v>68</v>
      </c>
      <c r="I5" s="46" t="s">
        <v>69</v>
      </c>
      <c r="J5" s="46" t="s">
        <v>66</v>
      </c>
      <c r="M5" s="18" t="s">
        <v>207</v>
      </c>
      <c r="N5" s="18"/>
      <c r="U5" s="18" t="s">
        <v>207</v>
      </c>
      <c r="V5" s="18"/>
      <c r="AC5" t="s">
        <v>481</v>
      </c>
      <c r="AD5" s="4">
        <f>N15</f>
        <v>46</v>
      </c>
      <c r="AE5" s="5">
        <f>V15</f>
        <v>48</v>
      </c>
      <c r="AF5" s="200">
        <f>AE5-AD5</f>
        <v>2</v>
      </c>
      <c r="AH5" s="13" t="s">
        <v>488</v>
      </c>
      <c r="AJ5" t="s">
        <v>23</v>
      </c>
      <c r="AK5" s="4">
        <f>N14</f>
        <v>3</v>
      </c>
      <c r="AL5" s="200">
        <f>V14</f>
        <v>1</v>
      </c>
    </row>
    <row r="6" spans="1:38" ht="15.75" customHeight="1">
      <c r="A6" s="44" t="s">
        <v>76</v>
      </c>
      <c r="B6" s="47">
        <v>14.7</v>
      </c>
      <c r="C6" s="48">
        <v>6.4</v>
      </c>
      <c r="D6" s="49">
        <v>86.505696765320337</v>
      </c>
      <c r="E6" s="50">
        <v>482.7</v>
      </c>
      <c r="G6" s="26">
        <v>7</v>
      </c>
      <c r="H6">
        <v>80</v>
      </c>
      <c r="I6">
        <v>400</v>
      </c>
      <c r="J6" s="47">
        <f t="array" ref="J6:J8">TREND(B4:B53,C4:E53,G6:I8)</f>
        <v>12.867466231009725</v>
      </c>
      <c r="M6" s="16" t="s">
        <v>208</v>
      </c>
      <c r="N6" s="16">
        <v>0.58034505841999007</v>
      </c>
      <c r="U6" s="16" t="s">
        <v>208</v>
      </c>
      <c r="V6" s="16">
        <v>0.56442956793415189</v>
      </c>
      <c r="AC6" t="s">
        <v>483</v>
      </c>
      <c r="AD6" s="7">
        <f>AD4/AD5</f>
        <v>6.1021400094262574</v>
      </c>
      <c r="AE6" s="8"/>
      <c r="AF6" s="146">
        <f>AF4/AF5</f>
        <v>3.8557224305060629</v>
      </c>
      <c r="AH6" s="13" t="s">
        <v>489</v>
      </c>
      <c r="AJ6" t="s">
        <v>482</v>
      </c>
      <c r="AK6" s="4">
        <f>O15</f>
        <v>280.69844043360786</v>
      </c>
      <c r="AL6" s="20">
        <f>W15</f>
        <v>288.40988529461998</v>
      </c>
    </row>
    <row r="7" spans="1:38" ht="15.75" customHeight="1">
      <c r="A7" s="44" t="s">
        <v>77</v>
      </c>
      <c r="B7" s="47">
        <v>17.3</v>
      </c>
      <c r="C7" s="48">
        <v>8.5</v>
      </c>
      <c r="D7" s="49">
        <v>80.783955956979611</v>
      </c>
      <c r="E7" s="50">
        <v>529.4</v>
      </c>
      <c r="G7" s="26">
        <v>7.5</v>
      </c>
      <c r="H7">
        <v>70</v>
      </c>
      <c r="I7">
        <v>500</v>
      </c>
      <c r="J7" s="47">
        <v>13.286031725599845</v>
      </c>
      <c r="M7" s="16" t="s">
        <v>201</v>
      </c>
      <c r="N7" s="16">
        <v>0.33680038683250163</v>
      </c>
      <c r="U7" s="16" t="s">
        <v>201</v>
      </c>
      <c r="V7" s="16">
        <v>0.31858073715833335</v>
      </c>
      <c r="AC7" t="s">
        <v>63</v>
      </c>
      <c r="AF7" s="200">
        <f>AF6/AD6</f>
        <v>0.63186397305698494</v>
      </c>
      <c r="AH7" s="13" t="s">
        <v>490</v>
      </c>
      <c r="AJ7" t="s">
        <v>498</v>
      </c>
      <c r="AK7" s="505">
        <f>AK4*LN(AK6/AK4)+2*(AK5+1)</f>
        <v>94.262896096712964</v>
      </c>
      <c r="AL7" s="492">
        <f>AL4*LN(AL6/AL4)+2*(AL5+1)</f>
        <v>91.617983786443077</v>
      </c>
    </row>
    <row r="8" spans="1:38" ht="15.75" customHeight="1">
      <c r="A8" s="44" t="s">
        <v>78</v>
      </c>
      <c r="B8" s="47">
        <v>13.3</v>
      </c>
      <c r="C8" s="48">
        <v>5</v>
      </c>
      <c r="D8" s="49">
        <v>76.640052174481781</v>
      </c>
      <c r="E8" s="50">
        <v>522.6</v>
      </c>
      <c r="G8" s="134">
        <v>8</v>
      </c>
      <c r="H8" s="116">
        <v>75</v>
      </c>
      <c r="I8" s="116">
        <v>450</v>
      </c>
      <c r="J8" s="135">
        <v>14.036276218092199</v>
      </c>
      <c r="M8" s="16" t="s">
        <v>209</v>
      </c>
      <c r="N8" s="16">
        <v>0.29354823814766479</v>
      </c>
      <c r="U8" s="16" t="s">
        <v>209</v>
      </c>
      <c r="V8" s="16">
        <v>0.30438450251579863</v>
      </c>
      <c r="AC8" s="27" t="s">
        <v>21</v>
      </c>
      <c r="AF8" s="200">
        <v>0.05</v>
      </c>
      <c r="AJ8" t="s">
        <v>499</v>
      </c>
      <c r="AK8" s="4">
        <f>AK7+2*(AK5+2)*(AK5+3)/(AK4-AK5-3)</f>
        <v>95.626532460349324</v>
      </c>
      <c r="AL8" s="20">
        <f>AL7+2*(AL5+2)*(AL5+3)/(AL4-AL5-3)</f>
        <v>92.139722916877858</v>
      </c>
    </row>
    <row r="9" spans="1:38" ht="15.75" customHeight="1">
      <c r="A9" s="44" t="s">
        <v>79</v>
      </c>
      <c r="B9" s="47">
        <v>11.4</v>
      </c>
      <c r="C9" s="48">
        <v>5.7</v>
      </c>
      <c r="D9" s="49">
        <v>89.734092175332663</v>
      </c>
      <c r="E9" s="50">
        <v>347.8</v>
      </c>
      <c r="M9" s="16" t="s">
        <v>9</v>
      </c>
      <c r="N9" s="16">
        <v>2.4702510013005274</v>
      </c>
      <c r="U9" s="16" t="s">
        <v>9</v>
      </c>
      <c r="V9" s="16">
        <v>2.4512321956459466</v>
      </c>
      <c r="AC9" s="282" t="s">
        <v>30</v>
      </c>
      <c r="AF9" s="200">
        <f>FDIST(AF7,AF5,AD5)</f>
        <v>0.53615051955111592</v>
      </c>
      <c r="AH9" s="13" t="s">
        <v>491</v>
      </c>
      <c r="AJ9" t="s">
        <v>762</v>
      </c>
      <c r="AK9" s="284">
        <f>AK4*LN(AK6/AK4)+LN(AK4)*(AK5+1)</f>
        <v>101.91098811842555</v>
      </c>
      <c r="AL9" s="289">
        <f>AL4*LN(AL6/AL4)+LN(AL4)*(AL5+1)</f>
        <v>95.442029797299369</v>
      </c>
    </row>
    <row r="10" spans="1:38" ht="15.75" customHeight="1" thickBot="1">
      <c r="A10" s="44" t="s">
        <v>80</v>
      </c>
      <c r="B10" s="47">
        <v>9.3000000000000007</v>
      </c>
      <c r="C10" s="48">
        <v>6.2</v>
      </c>
      <c r="D10" s="49">
        <v>84.278652322083644</v>
      </c>
      <c r="E10" s="50">
        <v>256</v>
      </c>
      <c r="G10" s="136" t="s">
        <v>316</v>
      </c>
      <c r="H10" s="136"/>
      <c r="I10" s="136"/>
      <c r="J10" s="136"/>
      <c r="K10" s="136"/>
      <c r="L10" s="136"/>
      <c r="M10" s="17" t="s">
        <v>42</v>
      </c>
      <c r="N10" s="17">
        <v>50</v>
      </c>
      <c r="U10" s="17" t="s">
        <v>42</v>
      </c>
      <c r="V10" s="17">
        <v>50</v>
      </c>
      <c r="AC10" s="283" t="s">
        <v>374</v>
      </c>
      <c r="AF10" s="144" t="str">
        <f>IF(AF9&lt;AF8,"yes","no")</f>
        <v>no</v>
      </c>
      <c r="AH10" s="13" t="s">
        <v>492</v>
      </c>
    </row>
    <row r="11" spans="1:38" ht="15.75" customHeight="1">
      <c r="A11" s="44" t="s">
        <v>81</v>
      </c>
      <c r="B11" s="56">
        <v>10</v>
      </c>
      <c r="C11" s="48">
        <v>8.3000000000000007</v>
      </c>
      <c r="D11" s="49">
        <v>74.266056727126113</v>
      </c>
      <c r="E11" s="50">
        <v>689.2</v>
      </c>
      <c r="G11" s="136"/>
      <c r="H11" s="136"/>
      <c r="I11" s="136"/>
      <c r="J11" s="136"/>
      <c r="K11" s="136"/>
      <c r="L11" s="136"/>
      <c r="AJ11" t="s">
        <v>776</v>
      </c>
    </row>
    <row r="12" spans="1:38" ht="15.75" customHeight="1" thickBot="1">
      <c r="A12" s="44" t="s">
        <v>82</v>
      </c>
      <c r="B12" s="47">
        <v>13.2</v>
      </c>
      <c r="C12" s="48">
        <v>7.3</v>
      </c>
      <c r="D12" s="49">
        <v>79.811068541941054</v>
      </c>
      <c r="E12" s="50">
        <v>722.6</v>
      </c>
      <c r="G12" s="136"/>
      <c r="H12" s="137" t="s">
        <v>315</v>
      </c>
      <c r="I12" s="137" t="s">
        <v>302</v>
      </c>
      <c r="J12" s="137" t="s">
        <v>301</v>
      </c>
      <c r="K12" s="137" t="s">
        <v>314</v>
      </c>
      <c r="L12" s="136"/>
      <c r="M12" t="s">
        <v>210</v>
      </c>
      <c r="U12" t="s">
        <v>210</v>
      </c>
    </row>
    <row r="13" spans="1:38" ht="15.75" customHeight="1">
      <c r="A13" s="44" t="s">
        <v>83</v>
      </c>
      <c r="B13" s="47">
        <v>14.7</v>
      </c>
      <c r="C13" s="48">
        <v>8.1</v>
      </c>
      <c r="D13" s="49">
        <v>65.387718279566343</v>
      </c>
      <c r="E13" s="50">
        <v>493.2</v>
      </c>
      <c r="G13" s="136" t="s">
        <v>197</v>
      </c>
      <c r="H13" s="138">
        <f t="array" ref="H13:K17">LINEST(B4:B53,C4:E53,TRUE,TRUE)</f>
        <v>1.4214989878583481E-3</v>
      </c>
      <c r="I13" s="138">
        <v>3.6326923072065739E-2</v>
      </c>
      <c r="J13" s="138">
        <v>1.279369653049887</v>
      </c>
      <c r="K13" s="138">
        <v>0.43712521875191612</v>
      </c>
      <c r="L13" s="136" t="s">
        <v>198</v>
      </c>
      <c r="M13" s="15"/>
      <c r="N13" s="15" t="s">
        <v>26</v>
      </c>
      <c r="O13" s="15" t="s">
        <v>137</v>
      </c>
      <c r="P13" s="15" t="s">
        <v>156</v>
      </c>
      <c r="Q13" s="15" t="s">
        <v>63</v>
      </c>
      <c r="R13" s="15" t="s">
        <v>213</v>
      </c>
      <c r="U13" s="15"/>
      <c r="V13" s="15" t="s">
        <v>26</v>
      </c>
      <c r="W13" s="15" t="s">
        <v>137</v>
      </c>
      <c r="X13" s="15" t="s">
        <v>156</v>
      </c>
      <c r="Y13" s="15" t="s">
        <v>63</v>
      </c>
      <c r="Z13" s="15" t="s">
        <v>213</v>
      </c>
      <c r="AD13" s="265" t="s">
        <v>484</v>
      </c>
      <c r="AE13" s="265" t="s">
        <v>485</v>
      </c>
      <c r="AF13" s="265" t="s">
        <v>486</v>
      </c>
      <c r="AJ13" t="s">
        <v>498</v>
      </c>
      <c r="AK13" s="505" t="e">
        <f ca="1">RegAIC(C4:E53,B4:B53)</f>
        <v>#NAME?</v>
      </c>
      <c r="AL13" s="515" t="e">
        <f ca="1">RegAIC(C4:C53,B4:B53)</f>
        <v>#NAME?</v>
      </c>
    </row>
    <row r="14" spans="1:38" ht="15.75" customHeight="1">
      <c r="A14" s="44" t="s">
        <v>84</v>
      </c>
      <c r="B14" s="47">
        <v>9.1</v>
      </c>
      <c r="C14" s="48">
        <v>5.6</v>
      </c>
      <c r="D14" s="49">
        <v>29.667333748383395</v>
      </c>
      <c r="E14" s="50">
        <v>272.8</v>
      </c>
      <c r="G14" s="136" t="s">
        <v>317</v>
      </c>
      <c r="H14" s="138">
        <v>2.2421016620427178E-3</v>
      </c>
      <c r="I14" s="138">
        <v>3.3602531929280269E-2</v>
      </c>
      <c r="J14" s="138">
        <v>0.3006729090126502</v>
      </c>
      <c r="K14" s="138">
        <v>3.9875336904973384</v>
      </c>
      <c r="L14" s="136" t="s">
        <v>318</v>
      </c>
      <c r="M14" s="16" t="s">
        <v>138</v>
      </c>
      <c r="N14" s="16">
        <v>3</v>
      </c>
      <c r="O14" s="16">
        <v>142.5503595663921</v>
      </c>
      <c r="P14" s="16">
        <v>47.516786522130701</v>
      </c>
      <c r="Q14" s="16">
        <v>7.7869053231701217</v>
      </c>
      <c r="R14" s="16">
        <v>2.6221319906024227E-4</v>
      </c>
      <c r="U14" s="16" t="s">
        <v>138</v>
      </c>
      <c r="V14" s="16">
        <v>1</v>
      </c>
      <c r="W14" s="16">
        <v>134.83891470537998</v>
      </c>
      <c r="X14" s="16">
        <v>134.83891470537998</v>
      </c>
      <c r="Y14" s="16">
        <v>22.441213827489335</v>
      </c>
      <c r="Z14" s="16">
        <v>1.9607327286956678E-5</v>
      </c>
      <c r="AC14" s="282" t="s">
        <v>493</v>
      </c>
      <c r="AD14" s="267">
        <f>N7</f>
        <v>0.33680038683250163</v>
      </c>
      <c r="AE14" s="270">
        <f>V7</f>
        <v>0.31858073715833335</v>
      </c>
      <c r="AF14" s="271">
        <f>AD14-AE14</f>
        <v>1.8219649674168281E-2</v>
      </c>
      <c r="AH14" s="13" t="s">
        <v>494</v>
      </c>
      <c r="AJ14" t="s">
        <v>499</v>
      </c>
      <c r="AK14" s="4" t="e">
        <f ca="1">RegAICc(C4:E53,B4:B53)</f>
        <v>#NAME?</v>
      </c>
      <c r="AL14" s="295" t="e">
        <f ca="1">RegAICc(C4:C53,B4:B53)</f>
        <v>#NAME?</v>
      </c>
    </row>
    <row r="15" spans="1:38" ht="15.75" customHeight="1">
      <c r="A15" s="44" t="s">
        <v>85</v>
      </c>
      <c r="B15" s="47">
        <v>12.6</v>
      </c>
      <c r="C15" s="48">
        <v>6.8</v>
      </c>
      <c r="D15" s="49">
        <v>94.600660447193093</v>
      </c>
      <c r="E15" s="50">
        <v>239.4</v>
      </c>
      <c r="G15" s="136" t="s">
        <v>201</v>
      </c>
      <c r="H15" s="138">
        <v>0.33680038683250163</v>
      </c>
      <c r="I15" s="138">
        <v>2.4702510013005274</v>
      </c>
      <c r="J15" s="138" t="e">
        <v>#N/A</v>
      </c>
      <c r="K15" s="138" t="e">
        <v>#N/A</v>
      </c>
      <c r="L15" s="136" t="s">
        <v>319</v>
      </c>
      <c r="M15" s="16" t="s">
        <v>211</v>
      </c>
      <c r="N15" s="16">
        <v>46</v>
      </c>
      <c r="O15" s="16">
        <v>280.69844043360786</v>
      </c>
      <c r="P15" s="16">
        <v>6.1021400094262574</v>
      </c>
      <c r="Q15" s="16"/>
      <c r="R15" s="16"/>
      <c r="U15" s="16" t="s">
        <v>211</v>
      </c>
      <c r="V15" s="16">
        <v>48</v>
      </c>
      <c r="W15" s="16">
        <v>288.40988529461998</v>
      </c>
      <c r="X15" s="16">
        <v>6.0085392769712493</v>
      </c>
      <c r="Y15" s="16"/>
      <c r="Z15" s="16"/>
      <c r="AC15" t="s">
        <v>481</v>
      </c>
      <c r="AD15" s="7">
        <f>N15</f>
        <v>46</v>
      </c>
      <c r="AE15" s="8">
        <f>V15</f>
        <v>48</v>
      </c>
      <c r="AF15" s="146">
        <f>AE15-AD15</f>
        <v>2</v>
      </c>
      <c r="AH15" s="13" t="s">
        <v>495</v>
      </c>
      <c r="AJ15" t="s">
        <v>762</v>
      </c>
      <c r="AK15" s="284" t="e">
        <f ca="1">RegSBC(C4:E53,B4:B53)</f>
        <v>#NAME?</v>
      </c>
      <c r="AL15" s="288" t="e">
        <f ca="1">RegSBC(C4:C53,B4:B53)</f>
        <v>#NAME?</v>
      </c>
    </row>
    <row r="16" spans="1:38" ht="15.75" customHeight="1" thickBot="1">
      <c r="A16" s="44" t="s">
        <v>86</v>
      </c>
      <c r="B16" s="47">
        <v>12.2</v>
      </c>
      <c r="C16" s="48">
        <v>7.3</v>
      </c>
      <c r="D16" s="49">
        <v>79.13310968601246</v>
      </c>
      <c r="E16" s="50">
        <v>533.20000000000005</v>
      </c>
      <c r="G16" s="136" t="s">
        <v>63</v>
      </c>
      <c r="H16" s="138">
        <v>7.7869053231701217</v>
      </c>
      <c r="I16" s="138">
        <v>46</v>
      </c>
      <c r="J16" s="138" t="e">
        <v>#N/A</v>
      </c>
      <c r="K16" s="138" t="e">
        <v>#N/A</v>
      </c>
      <c r="L16" s="136" t="s">
        <v>320</v>
      </c>
      <c r="M16" s="17" t="s">
        <v>1</v>
      </c>
      <c r="N16" s="17">
        <v>49</v>
      </c>
      <c r="O16" s="17">
        <v>423.24879999999996</v>
      </c>
      <c r="P16" s="17"/>
      <c r="Q16" s="17"/>
      <c r="R16" s="17"/>
      <c r="U16" s="17" t="s">
        <v>1</v>
      </c>
      <c r="V16" s="17">
        <v>49</v>
      </c>
      <c r="W16" s="17">
        <v>423.24879999999996</v>
      </c>
      <c r="X16" s="17"/>
      <c r="Y16" s="17"/>
      <c r="Z16" s="17"/>
      <c r="AC16" t="s">
        <v>63</v>
      </c>
      <c r="AF16" s="200">
        <f>AF14*AD15/(AF15*(1-AD14))</f>
        <v>0.63186397305698405</v>
      </c>
      <c r="AH16" s="13" t="s">
        <v>518</v>
      </c>
    </row>
    <row r="17" spans="1:38" ht="15.75" customHeight="1" thickBot="1">
      <c r="A17" s="44" t="s">
        <v>87</v>
      </c>
      <c r="B17" s="47">
        <v>13.1</v>
      </c>
      <c r="C17" s="48">
        <v>8</v>
      </c>
      <c r="D17" s="49">
        <v>88.000000627274659</v>
      </c>
      <c r="E17" s="50">
        <v>333.6</v>
      </c>
      <c r="G17" s="136" t="s">
        <v>321</v>
      </c>
      <c r="H17" s="138">
        <v>142.5503595663921</v>
      </c>
      <c r="I17" s="138">
        <v>280.69844043360786</v>
      </c>
      <c r="J17" s="138" t="e">
        <v>#N/A</v>
      </c>
      <c r="K17" s="138" t="e">
        <v>#N/A</v>
      </c>
      <c r="L17" s="136" t="s">
        <v>322</v>
      </c>
      <c r="AC17" s="27" t="s">
        <v>21</v>
      </c>
      <c r="AF17" s="200">
        <v>0.05</v>
      </c>
      <c r="AJ17" t="s">
        <v>777</v>
      </c>
    </row>
    <row r="18" spans="1:38" ht="15.75" customHeight="1">
      <c r="A18" s="44" t="s">
        <v>88</v>
      </c>
      <c r="B18" s="47">
        <v>11.5</v>
      </c>
      <c r="C18" s="48">
        <v>5.0999999999999996</v>
      </c>
      <c r="D18" s="49">
        <v>94.170464820794294</v>
      </c>
      <c r="E18" s="50">
        <v>294.7</v>
      </c>
      <c r="M18" s="15"/>
      <c r="N18" s="15" t="s">
        <v>214</v>
      </c>
      <c r="O18" s="15" t="s">
        <v>9</v>
      </c>
      <c r="P18" s="15" t="s">
        <v>45</v>
      </c>
      <c r="Q18" s="15" t="s">
        <v>56</v>
      </c>
      <c r="R18" s="15" t="s">
        <v>215</v>
      </c>
      <c r="S18" s="15" t="s">
        <v>216</v>
      </c>
      <c r="U18" s="15"/>
      <c r="V18" s="15" t="s">
        <v>214</v>
      </c>
      <c r="W18" s="15" t="s">
        <v>9</v>
      </c>
      <c r="X18" s="15" t="s">
        <v>45</v>
      </c>
      <c r="Y18" s="15" t="s">
        <v>56</v>
      </c>
      <c r="Z18" s="15" t="s">
        <v>215</v>
      </c>
      <c r="AA18" s="15" t="s">
        <v>216</v>
      </c>
      <c r="AC18" s="282" t="s">
        <v>30</v>
      </c>
      <c r="AF18" s="200">
        <f>FDIST(AF16,AF15,AD15)</f>
        <v>0.53615051955111637</v>
      </c>
      <c r="AH18" s="13" t="s">
        <v>496</v>
      </c>
    </row>
    <row r="19" spans="1:38" ht="15.75" customHeight="1">
      <c r="A19" s="44" t="s">
        <v>89</v>
      </c>
      <c r="B19" s="47">
        <v>11.3</v>
      </c>
      <c r="C19" s="48">
        <v>7.1</v>
      </c>
      <c r="D19" s="49">
        <v>88.703716524620162</v>
      </c>
      <c r="E19" s="50">
        <v>452.7</v>
      </c>
      <c r="M19" s="16" t="s">
        <v>212</v>
      </c>
      <c r="N19" s="16">
        <v>0.43712521875191612</v>
      </c>
      <c r="O19" s="16">
        <v>3.9875336904973384</v>
      </c>
      <c r="P19" s="16">
        <v>0.10962295310347495</v>
      </c>
      <c r="Q19" s="16">
        <v>0.91318525331884337</v>
      </c>
      <c r="R19" s="16">
        <v>-7.5893637973931281</v>
      </c>
      <c r="S19" s="16">
        <v>8.4636142348969603</v>
      </c>
      <c r="U19" s="16" t="s">
        <v>212</v>
      </c>
      <c r="V19" s="16">
        <v>4.2690992314261393</v>
      </c>
      <c r="W19" s="16">
        <v>1.8197942130118463</v>
      </c>
      <c r="X19" s="16">
        <v>2.3459241714812227</v>
      </c>
      <c r="Y19" s="16">
        <v>2.3158321935178951E-2</v>
      </c>
      <c r="Z19" s="16">
        <v>0.61015773502108672</v>
      </c>
      <c r="AA19" s="16">
        <v>7.928040727831192</v>
      </c>
      <c r="AC19" s="283" t="s">
        <v>374</v>
      </c>
      <c r="AF19" s="144" t="str">
        <f>IF(AF18&lt;AF17,"yes","no")</f>
        <v>no</v>
      </c>
      <c r="AH19" s="13" t="s">
        <v>497</v>
      </c>
      <c r="AJ19" t="s">
        <v>498</v>
      </c>
      <c r="AK19" s="505" t="e">
        <f ca="1">RegAIC(C4:E53,B4:B53,,TRUE)</f>
        <v>#NAME?</v>
      </c>
      <c r="AL19" s="515" t="e">
        <f ca="1">RegAIC(C4:C53,B4:B53,,TRUE)</f>
        <v>#NAME?</v>
      </c>
    </row>
    <row r="20" spans="1:38" ht="15.75" customHeight="1" thickBot="1">
      <c r="A20" s="44" t="s">
        <v>90</v>
      </c>
      <c r="B20" s="47">
        <v>17.3</v>
      </c>
      <c r="C20" s="48">
        <v>7.5</v>
      </c>
      <c r="D20" s="49">
        <v>89.904327345935869</v>
      </c>
      <c r="E20" s="50">
        <v>295</v>
      </c>
      <c r="M20" s="16" t="s">
        <v>67</v>
      </c>
      <c r="N20" s="16">
        <v>1.279369653049887</v>
      </c>
      <c r="O20" s="16">
        <v>0.3006729090126502</v>
      </c>
      <c r="P20" s="16">
        <v>4.255021369404651</v>
      </c>
      <c r="Q20" s="16">
        <v>1.0162763056825428E-4</v>
      </c>
      <c r="R20" s="16">
        <v>0.67414647778402126</v>
      </c>
      <c r="S20" s="16">
        <v>1.8845928283157529</v>
      </c>
      <c r="U20" s="17" t="s">
        <v>67</v>
      </c>
      <c r="V20" s="17">
        <v>1.2390777113578131</v>
      </c>
      <c r="W20" s="17">
        <v>0.26156243574638349</v>
      </c>
      <c r="X20" s="17">
        <v>4.7372158307902028</v>
      </c>
      <c r="Y20" s="17">
        <v>1.9607327286956929E-5</v>
      </c>
      <c r="Z20" s="17">
        <v>0.71317118675727975</v>
      </c>
      <c r="AA20" s="17">
        <v>1.7649842359583463</v>
      </c>
      <c r="AJ20" t="s">
        <v>499</v>
      </c>
      <c r="AK20" s="4" t="e">
        <f ca="1">RegAICc(C4:E53,B4:B53,,TRUE)</f>
        <v>#NAME?</v>
      </c>
      <c r="AL20" s="295" t="e">
        <f ca="1">RegAICc(C4:C53,B4:B53,, TRUE)</f>
        <v>#NAME?</v>
      </c>
    </row>
    <row r="21" spans="1:38" ht="15.75" customHeight="1">
      <c r="A21" s="44" t="s">
        <v>91</v>
      </c>
      <c r="B21" s="47">
        <v>17.3</v>
      </c>
      <c r="C21" s="48">
        <v>9.9</v>
      </c>
      <c r="D21" s="49">
        <v>64.839543701408999</v>
      </c>
      <c r="E21" s="50">
        <v>729.5</v>
      </c>
      <c r="M21" s="16" t="s">
        <v>68</v>
      </c>
      <c r="N21" s="16">
        <v>3.6326923072065739E-2</v>
      </c>
      <c r="O21" s="16">
        <v>3.3602531929280269E-2</v>
      </c>
      <c r="P21" s="16">
        <v>1.0810769601683352</v>
      </c>
      <c r="Q21" s="16">
        <v>0.28529815262504604</v>
      </c>
      <c r="R21" s="16">
        <v>-3.1311465560932131E-2</v>
      </c>
      <c r="S21" s="16">
        <v>0.10396531170506361</v>
      </c>
      <c r="AC21" t="s">
        <v>516</v>
      </c>
      <c r="AF21" s="303" t="e">
        <f ca="1">RSquareTest(C4:E53,C4:C53,B4:B53)</f>
        <v>#NAME?</v>
      </c>
      <c r="AH21" s="13" t="s">
        <v>517</v>
      </c>
      <c r="AJ21" t="s">
        <v>762</v>
      </c>
      <c r="AK21" s="284" t="e">
        <f ca="1">RegSBC(C4:E53,B4:B53,,TRUE)</f>
        <v>#NAME?</v>
      </c>
      <c r="AL21" s="288" t="e">
        <f ca="1">RegSBC(C4:C53,B4:B53,,TRUE)</f>
        <v>#NAME?</v>
      </c>
    </row>
    <row r="22" spans="1:38" ht="15.75" customHeight="1" thickBot="1">
      <c r="A22" s="44" t="s">
        <v>92</v>
      </c>
      <c r="B22" s="47">
        <v>12.3</v>
      </c>
      <c r="C22" s="48">
        <v>6.3</v>
      </c>
      <c r="D22" s="49">
        <v>96.389852756187835</v>
      </c>
      <c r="E22" s="50">
        <v>118</v>
      </c>
      <c r="M22" s="17" t="s">
        <v>69</v>
      </c>
      <c r="N22" s="17">
        <v>1.4214989878583481E-3</v>
      </c>
      <c r="O22" s="17">
        <v>2.2421016620427178E-3</v>
      </c>
      <c r="P22" s="17">
        <v>0.63400291428501021</v>
      </c>
      <c r="Q22" s="17">
        <v>0.52921921764794777</v>
      </c>
      <c r="R22" s="17">
        <v>-3.091617579997377E-3</v>
      </c>
      <c r="S22" s="17">
        <v>5.9346155557140736E-3</v>
      </c>
    </row>
    <row r="23" spans="1:38" ht="15.75" customHeight="1">
      <c r="A23" s="44" t="s">
        <v>93</v>
      </c>
      <c r="B23" s="47">
        <v>8.1</v>
      </c>
      <c r="C23" s="48">
        <v>8</v>
      </c>
      <c r="D23" s="49">
        <v>63.398020838196281</v>
      </c>
      <c r="E23" s="50">
        <v>641.9</v>
      </c>
      <c r="AC23" t="s">
        <v>515</v>
      </c>
    </row>
    <row r="24" spans="1:38" ht="15.75" customHeight="1">
      <c r="A24" s="44" t="s">
        <v>94</v>
      </c>
      <c r="B24" s="56">
        <v>10</v>
      </c>
      <c r="C24" s="48">
        <v>4.8</v>
      </c>
      <c r="D24" s="49">
        <v>86.203669547721617</v>
      </c>
      <c r="E24" s="50">
        <v>431.5</v>
      </c>
    </row>
    <row r="25" spans="1:38" ht="15.75" customHeight="1">
      <c r="A25" s="44" t="s">
        <v>95</v>
      </c>
      <c r="B25" s="47">
        <v>14.4</v>
      </c>
      <c r="C25" s="48">
        <v>7.4</v>
      </c>
      <c r="D25" s="49">
        <v>81.183409037427396</v>
      </c>
      <c r="E25" s="50">
        <v>536</v>
      </c>
      <c r="AD25" s="265" t="s">
        <v>484</v>
      </c>
      <c r="AE25" s="265" t="s">
        <v>485</v>
      </c>
      <c r="AF25" s="265" t="s">
        <v>486</v>
      </c>
    </row>
    <row r="26" spans="1:38" ht="15.75" customHeight="1">
      <c r="A26" s="44" t="s">
        <v>96</v>
      </c>
      <c r="B26" s="47">
        <v>9.6</v>
      </c>
      <c r="C26" s="48">
        <v>5.2</v>
      </c>
      <c r="D26" s="49">
        <v>89.045556531854984</v>
      </c>
      <c r="E26" s="50">
        <v>288.7</v>
      </c>
      <c r="AC26" s="282" t="s">
        <v>441</v>
      </c>
      <c r="AD26" s="267">
        <f>O14</f>
        <v>142.5503595663921</v>
      </c>
      <c r="AE26" s="270">
        <f>W14</f>
        <v>134.83891470537998</v>
      </c>
      <c r="AF26" s="271">
        <f>AD26-AE26</f>
        <v>7.7114448610121258</v>
      </c>
    </row>
    <row r="27" spans="1:38" ht="15.75" customHeight="1">
      <c r="A27" s="44" t="s">
        <v>97</v>
      </c>
      <c r="B27" s="47">
        <v>21.2</v>
      </c>
      <c r="C27" s="48">
        <v>10.6</v>
      </c>
      <c r="D27" s="49">
        <v>60.598179144073846</v>
      </c>
      <c r="E27" s="50">
        <v>291.3</v>
      </c>
      <c r="AC27" t="s">
        <v>442</v>
      </c>
      <c r="AD27" s="4">
        <f>N14</f>
        <v>3</v>
      </c>
      <c r="AE27" s="5">
        <f>V14</f>
        <v>1</v>
      </c>
      <c r="AF27" s="200">
        <f>AD27-AE27</f>
        <v>2</v>
      </c>
    </row>
    <row r="28" spans="1:38" ht="15.75" customHeight="1">
      <c r="A28" s="44" t="s">
        <v>98</v>
      </c>
      <c r="B28" s="47">
        <v>13.4</v>
      </c>
      <c r="C28" s="48">
        <v>7.4</v>
      </c>
      <c r="D28" s="49">
        <v>85.028888093842554</v>
      </c>
      <c r="E28" s="50">
        <v>504.9</v>
      </c>
      <c r="AC28" t="s">
        <v>483</v>
      </c>
      <c r="AD28" s="4">
        <f>P15</f>
        <v>6.1021400094262574</v>
      </c>
      <c r="AE28" s="5"/>
      <c r="AF28" s="200"/>
    </row>
    <row r="29" spans="1:38" ht="15.75" customHeight="1">
      <c r="A29" s="44" t="s">
        <v>99</v>
      </c>
      <c r="B29" s="47">
        <v>14.8</v>
      </c>
      <c r="C29" s="48">
        <v>5.8</v>
      </c>
      <c r="D29" s="49">
        <v>90.467729264863962</v>
      </c>
      <c r="E29" s="50">
        <v>287.5</v>
      </c>
      <c r="AC29" t="s">
        <v>481</v>
      </c>
      <c r="AD29" s="7">
        <f>N15</f>
        <v>46</v>
      </c>
      <c r="AE29" s="8"/>
      <c r="AF29" s="146"/>
    </row>
    <row r="30" spans="1:38" ht="15.75" customHeight="1">
      <c r="A30" s="44" t="s">
        <v>100</v>
      </c>
      <c r="B30" s="47">
        <v>10.8</v>
      </c>
      <c r="C30" s="48">
        <v>5.6</v>
      </c>
      <c r="D30" s="49">
        <v>91.372477335833381</v>
      </c>
      <c r="E30" s="50">
        <v>302.39999999999998</v>
      </c>
      <c r="AC30" t="s">
        <v>63</v>
      </c>
      <c r="AF30" s="200">
        <f>AF26/(AF27*AD28)</f>
        <v>0.63186397305698494</v>
      </c>
    </row>
    <row r="31" spans="1:38" ht="15.75" customHeight="1">
      <c r="A31" s="44" t="s">
        <v>101</v>
      </c>
      <c r="B31" s="47">
        <v>11.3</v>
      </c>
      <c r="C31" s="48">
        <v>6.4</v>
      </c>
      <c r="D31" s="49">
        <v>80.891227371165002</v>
      </c>
      <c r="E31" s="50">
        <v>750.6</v>
      </c>
      <c r="AC31" s="27" t="s">
        <v>21</v>
      </c>
      <c r="AF31" s="200">
        <v>0.05</v>
      </c>
    </row>
    <row r="32" spans="1:38" ht="15.75" customHeight="1">
      <c r="A32" s="44" t="s">
        <v>102</v>
      </c>
      <c r="B32" s="47">
        <v>7.6</v>
      </c>
      <c r="C32" s="48">
        <v>6.1</v>
      </c>
      <c r="D32" s="49">
        <v>95.487186970145373</v>
      </c>
      <c r="E32" s="50">
        <v>137.30000000000001</v>
      </c>
      <c r="AC32" s="282" t="s">
        <v>30</v>
      </c>
      <c r="AF32" s="200">
        <f>FDIST(AF30,AF27,AD29)</f>
        <v>0.53615051955111592</v>
      </c>
    </row>
    <row r="33" spans="1:32" ht="15.75" customHeight="1">
      <c r="A33" s="44" t="s">
        <v>103</v>
      </c>
      <c r="B33" s="47">
        <v>8.6999999999999993</v>
      </c>
      <c r="C33" s="48">
        <v>5.5</v>
      </c>
      <c r="D33" s="49">
        <v>76.032117342828414</v>
      </c>
      <c r="E33" s="50">
        <v>329.3</v>
      </c>
      <c r="AC33" s="283" t="s">
        <v>374</v>
      </c>
      <c r="AF33" s="144" t="str">
        <f>IF(AF32&lt;AF31,"yes","no")</f>
        <v>no</v>
      </c>
    </row>
    <row r="34" spans="1:32" ht="15.75" customHeight="1">
      <c r="A34" s="44" t="s">
        <v>104</v>
      </c>
      <c r="B34" s="47">
        <v>17.100000000000001</v>
      </c>
      <c r="C34" s="48">
        <v>5.8</v>
      </c>
      <c r="D34" s="49">
        <v>83.996520785584835</v>
      </c>
      <c r="E34" s="50">
        <v>664.2</v>
      </c>
    </row>
    <row r="35" spans="1:32" ht="15.75" customHeight="1">
      <c r="A35" s="44" t="s">
        <v>105</v>
      </c>
      <c r="B35" s="47">
        <v>13.6</v>
      </c>
      <c r="C35" s="48">
        <v>5.6</v>
      </c>
      <c r="D35" s="49">
        <v>73.422529169257928</v>
      </c>
      <c r="E35" s="50">
        <v>414.1</v>
      </c>
    </row>
    <row r="36" spans="1:32" ht="15.75" customHeight="1">
      <c r="A36" s="44" t="s">
        <v>106</v>
      </c>
      <c r="B36" s="47">
        <v>14.6</v>
      </c>
      <c r="C36" s="48">
        <v>8.1</v>
      </c>
      <c r="D36" s="49">
        <v>73.937344387272134</v>
      </c>
      <c r="E36" s="50">
        <v>466.4</v>
      </c>
    </row>
    <row r="37" spans="1:32" ht="15.75" customHeight="1">
      <c r="A37" s="44" t="s">
        <v>107</v>
      </c>
      <c r="B37" s="57">
        <v>12</v>
      </c>
      <c r="C37" s="48">
        <v>5.8</v>
      </c>
      <c r="D37" s="49">
        <v>91.393509706444945</v>
      </c>
      <c r="E37" s="50">
        <v>142.4</v>
      </c>
    </row>
    <row r="38" spans="1:32" ht="15.75" customHeight="1">
      <c r="A38" s="44" t="s">
        <v>108</v>
      </c>
      <c r="B38" s="47">
        <v>13.4</v>
      </c>
      <c r="C38" s="48">
        <v>7.8</v>
      </c>
      <c r="D38" s="49">
        <v>84.764237226305966</v>
      </c>
      <c r="E38" s="50">
        <v>343.2</v>
      </c>
    </row>
    <row r="39" spans="1:32" ht="15.75" customHeight="1">
      <c r="A39" s="44" t="s">
        <v>109</v>
      </c>
      <c r="B39" s="47">
        <v>15.9</v>
      </c>
      <c r="C39" s="48">
        <v>8</v>
      </c>
      <c r="D39" s="49">
        <v>78.141238608693655</v>
      </c>
      <c r="E39" s="50">
        <v>499.6</v>
      </c>
    </row>
    <row r="40" spans="1:32" ht="15.75" customHeight="1">
      <c r="A40" s="44" t="s">
        <v>110</v>
      </c>
      <c r="B40" s="47">
        <v>13.6</v>
      </c>
      <c r="C40" s="48">
        <v>5.5</v>
      </c>
      <c r="D40" s="49">
        <v>90.140446325387984</v>
      </c>
      <c r="E40" s="50">
        <v>287.60000000000002</v>
      </c>
    </row>
    <row r="41" spans="1:32" ht="15.75" customHeight="1">
      <c r="A41" s="44" t="s">
        <v>111</v>
      </c>
      <c r="B41" s="47">
        <v>12.1</v>
      </c>
      <c r="C41" s="48">
        <v>7.6</v>
      </c>
      <c r="D41" s="49">
        <v>85.424563507935517</v>
      </c>
      <c r="E41" s="50">
        <v>416.5</v>
      </c>
    </row>
    <row r="42" spans="1:32" ht="15.75" customHeight="1">
      <c r="A42" s="44" t="s">
        <v>112</v>
      </c>
      <c r="B42" s="47">
        <v>11.7</v>
      </c>
      <c r="C42" s="48">
        <v>6.1</v>
      </c>
      <c r="D42" s="49">
        <v>88.483880668602993</v>
      </c>
      <c r="E42" s="50">
        <v>227.3</v>
      </c>
    </row>
    <row r="43" spans="1:32" ht="15.75" customHeight="1">
      <c r="A43" s="44" t="s">
        <v>113</v>
      </c>
      <c r="B43" s="47">
        <v>15.7</v>
      </c>
      <c r="C43" s="48">
        <v>8.4</v>
      </c>
      <c r="D43" s="49">
        <v>68.748136077503446</v>
      </c>
      <c r="E43" s="50">
        <v>788.3</v>
      </c>
    </row>
    <row r="44" spans="1:32" ht="15.75" customHeight="1">
      <c r="A44" s="44" t="s">
        <v>114</v>
      </c>
      <c r="B44" s="47">
        <v>12.5</v>
      </c>
      <c r="C44" s="48">
        <v>6.9</v>
      </c>
      <c r="D44" s="49">
        <v>88.189790025789804</v>
      </c>
      <c r="E44" s="50">
        <v>169.2</v>
      </c>
    </row>
    <row r="45" spans="1:32" ht="15.75" customHeight="1">
      <c r="A45" s="44" t="s">
        <v>115</v>
      </c>
      <c r="B45" s="47">
        <v>15.5</v>
      </c>
      <c r="C45" s="48">
        <v>8.6999999999999993</v>
      </c>
      <c r="D45" s="49">
        <v>80.371971305033981</v>
      </c>
      <c r="E45" s="50">
        <v>753.3</v>
      </c>
    </row>
    <row r="46" spans="1:32" ht="15.75" customHeight="1">
      <c r="A46" s="44" t="s">
        <v>116</v>
      </c>
      <c r="B46" s="47">
        <v>15.8</v>
      </c>
      <c r="C46" s="48">
        <v>6.2</v>
      </c>
      <c r="D46" s="49">
        <v>82.402677784750395</v>
      </c>
      <c r="E46" s="50">
        <v>510.6</v>
      </c>
    </row>
    <row r="47" spans="1:32" ht="15.75" customHeight="1">
      <c r="A47" s="44" t="s">
        <v>117</v>
      </c>
      <c r="B47" s="47">
        <v>9.6</v>
      </c>
      <c r="C47" s="48">
        <v>5.0999999999999996</v>
      </c>
      <c r="D47" s="49">
        <v>92.915461931338129</v>
      </c>
      <c r="E47" s="50">
        <v>234.8</v>
      </c>
    </row>
    <row r="48" spans="1:32" ht="15.75" customHeight="1">
      <c r="A48" s="44" t="s">
        <v>118</v>
      </c>
      <c r="B48" s="47">
        <v>10.6</v>
      </c>
      <c r="C48" s="48">
        <v>5.5</v>
      </c>
      <c r="D48" s="49">
        <v>96.408807764739961</v>
      </c>
      <c r="E48" s="50">
        <v>124.3</v>
      </c>
    </row>
    <row r="49" spans="1:5" ht="15.75" customHeight="1">
      <c r="A49" s="44" t="s">
        <v>119</v>
      </c>
      <c r="B49" s="47">
        <v>10.199999999999999</v>
      </c>
      <c r="C49" s="48">
        <v>7.1</v>
      </c>
      <c r="D49" s="49">
        <v>73.031896017666924</v>
      </c>
      <c r="E49" s="50">
        <v>269.7</v>
      </c>
    </row>
    <row r="50" spans="1:5" ht="15.75" customHeight="1">
      <c r="A50" s="44" t="s">
        <v>120</v>
      </c>
      <c r="B50" s="47">
        <v>11.3</v>
      </c>
      <c r="C50" s="48">
        <v>4.7</v>
      </c>
      <c r="D50" s="49">
        <v>84.290902250404002</v>
      </c>
      <c r="E50" s="50">
        <v>333.1</v>
      </c>
    </row>
    <row r="51" spans="1:5" ht="15.75" customHeight="1">
      <c r="A51" s="44" t="s">
        <v>121</v>
      </c>
      <c r="B51" s="57">
        <v>17</v>
      </c>
      <c r="C51" s="48">
        <v>7.4</v>
      </c>
      <c r="D51" s="49">
        <v>94.524786328554711</v>
      </c>
      <c r="E51" s="50">
        <v>275.2</v>
      </c>
    </row>
    <row r="52" spans="1:5" ht="15.75" customHeight="1">
      <c r="A52" s="44" t="s">
        <v>122</v>
      </c>
      <c r="B52" s="47">
        <v>10.4</v>
      </c>
      <c r="C52" s="48">
        <v>6.4</v>
      </c>
      <c r="D52" s="49">
        <v>89.673695670212709</v>
      </c>
      <c r="E52" s="50">
        <v>290.89999999999998</v>
      </c>
    </row>
    <row r="53" spans="1:5" ht="15.75" customHeight="1">
      <c r="A53" s="58" t="s">
        <v>123</v>
      </c>
      <c r="B53" s="59">
        <v>9.4</v>
      </c>
      <c r="C53" s="60">
        <v>7</v>
      </c>
      <c r="D53" s="61">
        <v>93.867286940458214</v>
      </c>
      <c r="E53" s="62">
        <v>239.3</v>
      </c>
    </row>
    <row r="54" spans="1:5">
      <c r="A54" s="44"/>
      <c r="B54" s="44"/>
      <c r="C54" s="44"/>
      <c r="D54" s="44"/>
      <c r="E54" s="44"/>
    </row>
    <row r="55" spans="1:5">
      <c r="A55" s="44" t="s">
        <v>124</v>
      </c>
      <c r="B55" s="44"/>
      <c r="C55" s="44"/>
      <c r="D55" s="44"/>
      <c r="E55" s="44"/>
    </row>
    <row r="56" spans="1:5">
      <c r="A56" s="44" t="s">
        <v>125</v>
      </c>
      <c r="B56" s="44"/>
      <c r="C56" s="44"/>
      <c r="D56" s="44"/>
      <c r="E56" s="44"/>
    </row>
    <row r="57" spans="1:5">
      <c r="A57" s="44" t="s">
        <v>126</v>
      </c>
      <c r="B57" s="44"/>
      <c r="C57" s="44"/>
      <c r="D57" s="44"/>
      <c r="E57" s="44"/>
    </row>
    <row r="58" spans="1:5">
      <c r="A58" s="44" t="s">
        <v>127</v>
      </c>
      <c r="B58" s="44"/>
      <c r="C58" s="44"/>
      <c r="D58" s="44"/>
      <c r="E58" s="4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74"/>
  <dimension ref="A1:Q63"/>
  <sheetViews>
    <sheetView workbookViewId="0"/>
  </sheetViews>
  <sheetFormatPr defaultRowHeight="15"/>
  <cols>
    <col min="1" max="1" width="13.140625" customWidth="1"/>
    <col min="2" max="10" width="11.140625" customWidth="1"/>
  </cols>
  <sheetData>
    <row r="1" spans="1:17">
      <c r="A1" s="1" t="s">
        <v>312</v>
      </c>
    </row>
    <row r="3" spans="1:17">
      <c r="A3" s="45"/>
      <c r="B3" s="46" t="s">
        <v>66</v>
      </c>
      <c r="C3" s="46" t="s">
        <v>67</v>
      </c>
      <c r="D3" s="46" t="s">
        <v>68</v>
      </c>
      <c r="E3" s="46" t="s">
        <v>69</v>
      </c>
      <c r="F3" s="46" t="s">
        <v>70</v>
      </c>
      <c r="G3" s="46" t="s">
        <v>71</v>
      </c>
      <c r="H3" s="46" t="s">
        <v>72</v>
      </c>
      <c r="I3" s="46" t="s">
        <v>73</v>
      </c>
      <c r="J3" s="46" t="s">
        <v>3</v>
      </c>
      <c r="N3" t="s">
        <v>32</v>
      </c>
    </row>
    <row r="4" spans="1:17">
      <c r="A4" s="44" t="s">
        <v>74</v>
      </c>
      <c r="B4" s="47">
        <v>15.7</v>
      </c>
      <c r="C4" s="48">
        <v>9</v>
      </c>
      <c r="D4" s="49">
        <v>71.027177760140717</v>
      </c>
      <c r="E4" s="50">
        <v>448</v>
      </c>
      <c r="F4" s="51">
        <v>218.17340830567619</v>
      </c>
      <c r="G4" s="52">
        <v>1.81</v>
      </c>
      <c r="H4" s="53">
        <v>22</v>
      </c>
      <c r="I4" s="54">
        <v>5</v>
      </c>
      <c r="J4" s="55">
        <v>42666</v>
      </c>
    </row>
    <row r="5" spans="1:17">
      <c r="A5" s="44" t="s">
        <v>75</v>
      </c>
      <c r="B5" s="47">
        <v>8.4</v>
      </c>
      <c r="C5" s="48">
        <v>6.9</v>
      </c>
      <c r="D5" s="49">
        <v>70.62318863808899</v>
      </c>
      <c r="E5" s="50">
        <v>661.2</v>
      </c>
      <c r="F5" s="51">
        <v>228.45028196578826</v>
      </c>
      <c r="G5" s="52">
        <v>1.63</v>
      </c>
      <c r="H5" s="53">
        <v>27.3</v>
      </c>
      <c r="I5" s="54">
        <v>6.7</v>
      </c>
      <c r="J5" s="55">
        <v>68460</v>
      </c>
      <c r="N5" t="s">
        <v>11</v>
      </c>
      <c r="O5">
        <f>COUNT(B4:B53)</f>
        <v>50</v>
      </c>
      <c r="P5">
        <f>2*O5</f>
        <v>100</v>
      </c>
    </row>
    <row r="6" spans="1:17">
      <c r="A6" s="44" t="s">
        <v>76</v>
      </c>
      <c r="B6" s="47">
        <v>14.7</v>
      </c>
      <c r="C6" s="48">
        <v>6.4</v>
      </c>
      <c r="D6" s="49">
        <v>86.505696765320337</v>
      </c>
      <c r="E6" s="50">
        <v>482.7</v>
      </c>
      <c r="F6" s="51">
        <v>209.66657175716827</v>
      </c>
      <c r="G6" s="52">
        <v>1.69</v>
      </c>
      <c r="H6" s="53">
        <v>25.1</v>
      </c>
      <c r="I6" s="54">
        <v>5.5</v>
      </c>
      <c r="J6" s="55">
        <v>50958</v>
      </c>
      <c r="N6" t="s">
        <v>8</v>
      </c>
      <c r="O6">
        <f>AVERAGE(B4:B53)</f>
        <v>12.732000000000001</v>
      </c>
    </row>
    <row r="7" spans="1:17">
      <c r="A7" s="44" t="s">
        <v>77</v>
      </c>
      <c r="B7" s="47">
        <v>17.3</v>
      </c>
      <c r="C7" s="48">
        <v>8.5</v>
      </c>
      <c r="D7" s="49">
        <v>80.783955956979611</v>
      </c>
      <c r="E7" s="50">
        <v>529.4</v>
      </c>
      <c r="F7" s="51">
        <v>203.42285988234826</v>
      </c>
      <c r="G7" s="52">
        <v>1.96</v>
      </c>
      <c r="H7" s="53">
        <v>18.8</v>
      </c>
      <c r="I7" s="54">
        <v>5.0999999999999996</v>
      </c>
      <c r="J7" s="55">
        <v>38815</v>
      </c>
      <c r="N7" t="s">
        <v>25</v>
      </c>
      <c r="O7">
        <f>STDEV(B4:B53)</f>
        <v>2.9390016352912913</v>
      </c>
    </row>
    <row r="8" spans="1:17">
      <c r="A8" s="44" t="s">
        <v>78</v>
      </c>
      <c r="B8" s="47">
        <v>13.3</v>
      </c>
      <c r="C8" s="48">
        <v>5</v>
      </c>
      <c r="D8" s="49">
        <v>76.640052174481781</v>
      </c>
      <c r="E8" s="50">
        <v>522.6</v>
      </c>
      <c r="F8" s="51">
        <v>268.69056049813605</v>
      </c>
      <c r="G8" s="52">
        <v>1.21</v>
      </c>
      <c r="H8" s="53">
        <v>29.6</v>
      </c>
      <c r="I8" s="54">
        <v>7.2</v>
      </c>
      <c r="J8" s="55">
        <v>61021</v>
      </c>
    </row>
    <row r="9" spans="1:17">
      <c r="A9" s="44" t="s">
        <v>79</v>
      </c>
      <c r="B9" s="47">
        <v>11.4</v>
      </c>
      <c r="C9" s="48">
        <v>5.7</v>
      </c>
      <c r="D9" s="49">
        <v>89.734092175332663</v>
      </c>
      <c r="E9" s="50">
        <v>347.8</v>
      </c>
      <c r="F9" s="51">
        <v>259.68608874672964</v>
      </c>
      <c r="G9" s="52">
        <v>1.1399999999999999</v>
      </c>
      <c r="H9" s="53">
        <v>35.6</v>
      </c>
      <c r="I9" s="54">
        <v>4.9000000000000004</v>
      </c>
      <c r="J9" s="55">
        <v>56993</v>
      </c>
      <c r="N9" t="s">
        <v>33</v>
      </c>
      <c r="O9" t="s">
        <v>34</v>
      </c>
      <c r="P9" t="s">
        <v>135</v>
      </c>
      <c r="Q9" t="s">
        <v>35</v>
      </c>
    </row>
    <row r="10" spans="1:17">
      <c r="A10" s="44" t="s">
        <v>80</v>
      </c>
      <c r="B10" s="47">
        <v>9.3000000000000007</v>
      </c>
      <c r="C10" s="48">
        <v>6.2</v>
      </c>
      <c r="D10" s="49">
        <v>84.278652322083644</v>
      </c>
      <c r="E10" s="50">
        <v>256</v>
      </c>
      <c r="F10" s="51">
        <v>376.3752669155395</v>
      </c>
      <c r="G10" s="52">
        <v>0.86</v>
      </c>
      <c r="H10" s="53">
        <v>35.6</v>
      </c>
      <c r="I10" s="54">
        <v>5.7</v>
      </c>
      <c r="J10" s="55">
        <v>68595</v>
      </c>
      <c r="N10">
        <v>1</v>
      </c>
      <c r="O10">
        <v>7.6</v>
      </c>
      <c r="P10">
        <f>NORMSINV(N10/P$5)</f>
        <v>-2.3263478740408408</v>
      </c>
      <c r="Q10">
        <f>STANDARDIZE(O10,O$6,O$7)</f>
        <v>-1.7461711958153969</v>
      </c>
    </row>
    <row r="11" spans="1:17">
      <c r="A11" s="44" t="s">
        <v>81</v>
      </c>
      <c r="B11" s="56">
        <v>10</v>
      </c>
      <c r="C11" s="48">
        <v>8.3000000000000007</v>
      </c>
      <c r="D11" s="49">
        <v>74.266056727126113</v>
      </c>
      <c r="E11" s="50">
        <v>689.2</v>
      </c>
      <c r="F11" s="51">
        <v>250.94175668510928</v>
      </c>
      <c r="G11" s="52">
        <v>1.23</v>
      </c>
      <c r="H11" s="53">
        <v>27.5</v>
      </c>
      <c r="I11" s="54">
        <v>4.8</v>
      </c>
      <c r="J11" s="55">
        <v>57989</v>
      </c>
      <c r="N11">
        <f>N10+2</f>
        <v>3</v>
      </c>
      <c r="O11">
        <v>8.1</v>
      </c>
      <c r="P11">
        <f t="shared" ref="P11:P59" si="0">NORMSINV(N11/P$5)</f>
        <v>-1.8807936081512509</v>
      </c>
      <c r="Q11">
        <f t="shared" ref="Q11:Q59" si="1">STANDARDIZE(O11,O$6,O$7)</f>
        <v>-1.5760453973142867</v>
      </c>
    </row>
    <row r="12" spans="1:17">
      <c r="A12" s="44" t="s">
        <v>82</v>
      </c>
      <c r="B12" s="47">
        <v>13.2</v>
      </c>
      <c r="C12" s="48">
        <v>7.3</v>
      </c>
      <c r="D12" s="49">
        <v>79.811068541941054</v>
      </c>
      <c r="E12" s="50">
        <v>722.6</v>
      </c>
      <c r="F12" s="51">
        <v>247.86359820579941</v>
      </c>
      <c r="G12" s="52">
        <v>1.56</v>
      </c>
      <c r="H12" s="53">
        <v>25.8</v>
      </c>
      <c r="I12" s="54">
        <v>6.2</v>
      </c>
      <c r="J12" s="55">
        <v>47778</v>
      </c>
      <c r="N12">
        <f t="shared" ref="N12:N59" si="2">N11+2</f>
        <v>5</v>
      </c>
      <c r="O12">
        <v>8.4</v>
      </c>
      <c r="P12">
        <f t="shared" si="0"/>
        <v>-1.6448536269514726</v>
      </c>
      <c r="Q12">
        <f t="shared" si="1"/>
        <v>-1.4739699182136201</v>
      </c>
    </row>
    <row r="13" spans="1:17">
      <c r="A13" s="44" t="s">
        <v>83</v>
      </c>
      <c r="B13" s="47">
        <v>14.7</v>
      </c>
      <c r="C13" s="48">
        <v>8.1</v>
      </c>
      <c r="D13" s="49">
        <v>65.387718279566343</v>
      </c>
      <c r="E13" s="50">
        <v>493.2</v>
      </c>
      <c r="F13" s="51">
        <v>217.44570184044454</v>
      </c>
      <c r="G13" s="52">
        <v>1.46</v>
      </c>
      <c r="H13" s="53">
        <v>27.5</v>
      </c>
      <c r="I13" s="54">
        <v>6.2</v>
      </c>
      <c r="J13" s="55">
        <v>50861</v>
      </c>
      <c r="N13">
        <f t="shared" si="2"/>
        <v>7</v>
      </c>
      <c r="O13">
        <v>8.6999999999999993</v>
      </c>
      <c r="P13">
        <f t="shared" si="0"/>
        <v>-1.4757910281791702</v>
      </c>
      <c r="Q13">
        <f t="shared" si="1"/>
        <v>-1.3718944391129544</v>
      </c>
    </row>
    <row r="14" spans="1:17">
      <c r="A14" s="44" t="s">
        <v>84</v>
      </c>
      <c r="B14" s="47">
        <v>9.1</v>
      </c>
      <c r="C14" s="48">
        <v>5.6</v>
      </c>
      <c r="D14" s="49">
        <v>29.667333748383395</v>
      </c>
      <c r="E14" s="50">
        <v>272.8</v>
      </c>
      <c r="F14" s="51">
        <v>316.98289278791503</v>
      </c>
      <c r="G14" s="52">
        <v>1.33</v>
      </c>
      <c r="H14" s="53">
        <v>29.1</v>
      </c>
      <c r="I14" s="54">
        <v>3.9</v>
      </c>
      <c r="J14" s="55">
        <v>67214</v>
      </c>
      <c r="N14">
        <f t="shared" si="2"/>
        <v>9</v>
      </c>
      <c r="O14">
        <v>9.1</v>
      </c>
      <c r="P14">
        <f t="shared" si="0"/>
        <v>-1.3407550336902161</v>
      </c>
      <c r="Q14">
        <f t="shared" si="1"/>
        <v>-1.2357938003120661</v>
      </c>
    </row>
    <row r="15" spans="1:17">
      <c r="A15" s="44" t="s">
        <v>85</v>
      </c>
      <c r="B15" s="47">
        <v>12.6</v>
      </c>
      <c r="C15" s="48">
        <v>6.8</v>
      </c>
      <c r="D15" s="49">
        <v>94.600660447193093</v>
      </c>
      <c r="E15" s="50">
        <v>239.4</v>
      </c>
      <c r="F15" s="51">
        <v>168.83390313104681</v>
      </c>
      <c r="G15" s="52">
        <v>1.6</v>
      </c>
      <c r="H15" s="53">
        <v>24</v>
      </c>
      <c r="I15" s="54">
        <v>4.9000000000000004</v>
      </c>
      <c r="J15" s="55">
        <v>47576</v>
      </c>
      <c r="N15">
        <f t="shared" si="2"/>
        <v>11</v>
      </c>
      <c r="O15">
        <v>9.3000000000000007</v>
      </c>
      <c r="P15">
        <f t="shared" si="0"/>
        <v>-1.2265281200366105</v>
      </c>
      <c r="Q15">
        <f t="shared" si="1"/>
        <v>-1.1677434809116214</v>
      </c>
    </row>
    <row r="16" spans="1:17">
      <c r="A16" s="44" t="s">
        <v>86</v>
      </c>
      <c r="B16" s="47">
        <v>12.2</v>
      </c>
      <c r="C16" s="48">
        <v>7.3</v>
      </c>
      <c r="D16" s="49">
        <v>79.13310968601246</v>
      </c>
      <c r="E16" s="50">
        <v>533.20000000000005</v>
      </c>
      <c r="F16" s="51">
        <v>280.15386787687231</v>
      </c>
      <c r="G16" s="52">
        <v>1.1599999999999999</v>
      </c>
      <c r="H16" s="53">
        <v>29.9</v>
      </c>
      <c r="I16" s="54">
        <v>6.5</v>
      </c>
      <c r="J16" s="55">
        <v>56235</v>
      </c>
      <c r="N16">
        <f t="shared" si="2"/>
        <v>13</v>
      </c>
      <c r="O16">
        <v>9.4</v>
      </c>
      <c r="P16">
        <f t="shared" si="0"/>
        <v>-1.1263911290388013</v>
      </c>
      <c r="Q16">
        <f t="shared" si="1"/>
        <v>-1.1337183212113995</v>
      </c>
    </row>
    <row r="17" spans="1:17">
      <c r="A17" s="44" t="s">
        <v>87</v>
      </c>
      <c r="B17" s="47">
        <v>13.1</v>
      </c>
      <c r="C17" s="48">
        <v>8</v>
      </c>
      <c r="D17" s="49">
        <v>88.000000627274659</v>
      </c>
      <c r="E17" s="50">
        <v>333.6</v>
      </c>
      <c r="F17" s="51">
        <v>216.93969975987483</v>
      </c>
      <c r="G17" s="52">
        <v>1.26</v>
      </c>
      <c r="H17" s="53">
        <v>22.9</v>
      </c>
      <c r="I17" s="54">
        <v>5.9</v>
      </c>
      <c r="J17" s="55">
        <v>47966</v>
      </c>
      <c r="N17">
        <f t="shared" si="2"/>
        <v>15</v>
      </c>
      <c r="O17">
        <v>9.6</v>
      </c>
      <c r="P17">
        <f t="shared" si="0"/>
        <v>-1.0364333894937898</v>
      </c>
      <c r="Q17">
        <f t="shared" si="1"/>
        <v>-1.0656680018109557</v>
      </c>
    </row>
    <row r="18" spans="1:17">
      <c r="A18" s="44" t="s">
        <v>88</v>
      </c>
      <c r="B18" s="47">
        <v>11.5</v>
      </c>
      <c r="C18" s="48">
        <v>5.0999999999999996</v>
      </c>
      <c r="D18" s="49">
        <v>94.170464820794294</v>
      </c>
      <c r="E18" s="50">
        <v>294.7</v>
      </c>
      <c r="F18" s="51">
        <v>189.28322428402873</v>
      </c>
      <c r="G18" s="52">
        <v>1.42</v>
      </c>
      <c r="H18" s="53">
        <v>24.3</v>
      </c>
      <c r="I18" s="54">
        <v>4.0999999999999996</v>
      </c>
      <c r="J18" s="55">
        <v>48980</v>
      </c>
      <c r="N18">
        <f t="shared" si="2"/>
        <v>17</v>
      </c>
      <c r="O18">
        <v>9.6</v>
      </c>
      <c r="P18">
        <f t="shared" si="0"/>
        <v>-0.95416525314619549</v>
      </c>
      <c r="Q18">
        <f t="shared" si="1"/>
        <v>-1.0656680018109557</v>
      </c>
    </row>
    <row r="19" spans="1:17">
      <c r="A19" s="44" t="s">
        <v>89</v>
      </c>
      <c r="B19" s="47">
        <v>11.3</v>
      </c>
      <c r="C19" s="48">
        <v>7.1</v>
      </c>
      <c r="D19" s="49">
        <v>88.703716524620162</v>
      </c>
      <c r="E19" s="50">
        <v>452.7</v>
      </c>
      <c r="F19" s="51">
        <v>222.54770859752097</v>
      </c>
      <c r="G19" s="52">
        <v>1.38</v>
      </c>
      <c r="H19" s="53">
        <v>29.6</v>
      </c>
      <c r="I19" s="54">
        <v>4.4000000000000004</v>
      </c>
      <c r="J19" s="55">
        <v>50177</v>
      </c>
      <c r="N19">
        <f t="shared" si="2"/>
        <v>19</v>
      </c>
      <c r="O19">
        <v>10</v>
      </c>
      <c r="P19">
        <f t="shared" si="0"/>
        <v>-0.87789629505122846</v>
      </c>
      <c r="Q19">
        <f t="shared" si="1"/>
        <v>-0.92956736301006726</v>
      </c>
    </row>
    <row r="20" spans="1:17">
      <c r="A20" s="44" t="s">
        <v>90</v>
      </c>
      <c r="B20" s="47">
        <v>17.3</v>
      </c>
      <c r="C20" s="48">
        <v>7.5</v>
      </c>
      <c r="D20" s="49">
        <v>89.904327345935869</v>
      </c>
      <c r="E20" s="50">
        <v>295</v>
      </c>
      <c r="F20" s="51">
        <v>232.34854500664258</v>
      </c>
      <c r="G20" s="52">
        <v>1.8</v>
      </c>
      <c r="H20" s="53">
        <v>19.7</v>
      </c>
      <c r="I20" s="54">
        <v>6.4</v>
      </c>
      <c r="J20" s="55">
        <v>41538</v>
      </c>
      <c r="N20">
        <f t="shared" si="2"/>
        <v>21</v>
      </c>
      <c r="O20">
        <v>10</v>
      </c>
      <c r="P20">
        <f t="shared" si="0"/>
        <v>-0.80642124701824058</v>
      </c>
      <c r="Q20">
        <f t="shared" si="1"/>
        <v>-0.92956736301006726</v>
      </c>
    </row>
    <row r="21" spans="1:17">
      <c r="A21" s="44" t="s">
        <v>91</v>
      </c>
      <c r="B21" s="47">
        <v>17.3</v>
      </c>
      <c r="C21" s="48">
        <v>9.9</v>
      </c>
      <c r="D21" s="49">
        <v>64.839543701408999</v>
      </c>
      <c r="E21" s="50">
        <v>729.5</v>
      </c>
      <c r="F21" s="51">
        <v>262.66146237060713</v>
      </c>
      <c r="G21" s="52">
        <v>2.17</v>
      </c>
      <c r="H21" s="53">
        <v>20.3</v>
      </c>
      <c r="I21" s="54">
        <v>4.5999999999999996</v>
      </c>
      <c r="J21" s="55">
        <v>43733</v>
      </c>
      <c r="N21">
        <f t="shared" si="2"/>
        <v>23</v>
      </c>
      <c r="O21">
        <v>10.199999999999999</v>
      </c>
      <c r="P21">
        <f t="shared" si="0"/>
        <v>-0.73884684918521393</v>
      </c>
      <c r="Q21">
        <f t="shared" si="1"/>
        <v>-0.86151704360962333</v>
      </c>
    </row>
    <row r="22" spans="1:17">
      <c r="A22" s="44" t="s">
        <v>92</v>
      </c>
      <c r="B22" s="47">
        <v>12.3</v>
      </c>
      <c r="C22" s="48">
        <v>6.3</v>
      </c>
      <c r="D22" s="49">
        <v>96.389852756187835</v>
      </c>
      <c r="E22" s="50">
        <v>118</v>
      </c>
      <c r="F22" s="51">
        <v>278.39482802923527</v>
      </c>
      <c r="G22" s="52">
        <v>1.22</v>
      </c>
      <c r="H22" s="53">
        <v>25.4</v>
      </c>
      <c r="I22" s="54">
        <v>5.4</v>
      </c>
      <c r="J22" s="55">
        <v>46581</v>
      </c>
      <c r="N22">
        <f t="shared" si="2"/>
        <v>25</v>
      </c>
      <c r="O22">
        <v>10.4</v>
      </c>
      <c r="P22">
        <f t="shared" si="0"/>
        <v>-0.67448975019608193</v>
      </c>
      <c r="Q22">
        <f t="shared" si="1"/>
        <v>-0.79346672420917885</v>
      </c>
    </row>
    <row r="23" spans="1:17">
      <c r="A23" s="44" t="s">
        <v>93</v>
      </c>
      <c r="B23" s="47">
        <v>8.1</v>
      </c>
      <c r="C23" s="48">
        <v>8</v>
      </c>
      <c r="D23" s="49">
        <v>63.398020838196281</v>
      </c>
      <c r="E23" s="50">
        <v>641.9</v>
      </c>
      <c r="F23" s="51">
        <v>421.43487540886565</v>
      </c>
      <c r="G23" s="52">
        <v>1.0900000000000001</v>
      </c>
      <c r="H23" s="53">
        <v>35.200000000000003</v>
      </c>
      <c r="I23" s="54">
        <v>4.4000000000000004</v>
      </c>
      <c r="J23" s="55">
        <v>70545</v>
      </c>
      <c r="N23">
        <f t="shared" si="2"/>
        <v>27</v>
      </c>
      <c r="O23">
        <v>10.6</v>
      </c>
      <c r="P23">
        <f t="shared" si="0"/>
        <v>-0.61281299101662734</v>
      </c>
      <c r="Q23">
        <f t="shared" si="1"/>
        <v>-0.72541640480873493</v>
      </c>
    </row>
    <row r="24" spans="1:17">
      <c r="A24" s="44" t="s">
        <v>94</v>
      </c>
      <c r="B24" s="56">
        <v>10</v>
      </c>
      <c r="C24" s="48">
        <v>4.8</v>
      </c>
      <c r="D24" s="49">
        <v>86.203669547721617</v>
      </c>
      <c r="E24" s="50">
        <v>431.5</v>
      </c>
      <c r="F24" s="51">
        <v>469.00740037554607</v>
      </c>
      <c r="G24" s="52">
        <v>0.76</v>
      </c>
      <c r="H24" s="53">
        <v>38.1</v>
      </c>
      <c r="I24" s="54">
        <v>5.3</v>
      </c>
      <c r="J24" s="55">
        <v>65401</v>
      </c>
      <c r="N24">
        <f t="shared" si="2"/>
        <v>29</v>
      </c>
      <c r="O24">
        <v>10.8</v>
      </c>
      <c r="P24">
        <f t="shared" si="0"/>
        <v>-0.55338471955567303</v>
      </c>
      <c r="Q24">
        <f t="shared" si="1"/>
        <v>-0.65736608540829045</v>
      </c>
    </row>
    <row r="25" spans="1:17">
      <c r="A25" s="44" t="s">
        <v>95</v>
      </c>
      <c r="B25" s="47">
        <v>14.4</v>
      </c>
      <c r="C25" s="48">
        <v>7.4</v>
      </c>
      <c r="D25" s="49">
        <v>81.183409037427396</v>
      </c>
      <c r="E25" s="50">
        <v>536</v>
      </c>
      <c r="F25" s="51">
        <v>250.2141835799554</v>
      </c>
      <c r="G25" s="52">
        <v>1.04</v>
      </c>
      <c r="H25" s="53">
        <v>24.7</v>
      </c>
      <c r="I25" s="54">
        <v>8.4</v>
      </c>
      <c r="J25" s="55">
        <v>48591</v>
      </c>
      <c r="N25">
        <f t="shared" si="2"/>
        <v>31</v>
      </c>
      <c r="O25">
        <v>11.3</v>
      </c>
      <c r="P25">
        <f t="shared" si="0"/>
        <v>-0.49585034734745354</v>
      </c>
      <c r="Q25">
        <f t="shared" si="1"/>
        <v>-0.48724028690718013</v>
      </c>
    </row>
    <row r="26" spans="1:17">
      <c r="A26" s="44" t="s">
        <v>96</v>
      </c>
      <c r="B26" s="47">
        <v>9.6</v>
      </c>
      <c r="C26" s="48">
        <v>5.2</v>
      </c>
      <c r="D26" s="49">
        <v>89.045556531854984</v>
      </c>
      <c r="E26" s="50">
        <v>288.7</v>
      </c>
      <c r="F26" s="51">
        <v>293.18688782716754</v>
      </c>
      <c r="G26" s="52">
        <v>0.88</v>
      </c>
      <c r="H26" s="53">
        <v>31.5</v>
      </c>
      <c r="I26" s="54">
        <v>5.4</v>
      </c>
      <c r="J26" s="55">
        <v>57288</v>
      </c>
      <c r="N26">
        <f t="shared" si="2"/>
        <v>33</v>
      </c>
      <c r="O26">
        <v>11.3</v>
      </c>
      <c r="P26">
        <f t="shared" si="0"/>
        <v>-0.43991316567323374</v>
      </c>
      <c r="Q26">
        <f t="shared" si="1"/>
        <v>-0.48724028690718013</v>
      </c>
    </row>
    <row r="27" spans="1:17">
      <c r="A27" s="44" t="s">
        <v>97</v>
      </c>
      <c r="B27" s="47">
        <v>21.2</v>
      </c>
      <c r="C27" s="48">
        <v>10.6</v>
      </c>
      <c r="D27" s="49">
        <v>60.598179144073846</v>
      </c>
      <c r="E27" s="50">
        <v>291.3</v>
      </c>
      <c r="F27" s="51">
        <v>177.88245926950424</v>
      </c>
      <c r="G27" s="52">
        <v>2.04</v>
      </c>
      <c r="H27" s="53">
        <v>19.399999999999999</v>
      </c>
      <c r="I27" s="54">
        <v>6.9</v>
      </c>
      <c r="J27" s="55">
        <v>37790</v>
      </c>
      <c r="N27">
        <f t="shared" si="2"/>
        <v>35</v>
      </c>
      <c r="O27">
        <v>11.3</v>
      </c>
      <c r="P27">
        <f t="shared" si="0"/>
        <v>-0.38532046640756784</v>
      </c>
      <c r="Q27">
        <f t="shared" si="1"/>
        <v>-0.48724028690718013</v>
      </c>
    </row>
    <row r="28" spans="1:17">
      <c r="A28" s="44" t="s">
        <v>98</v>
      </c>
      <c r="B28" s="47">
        <v>13.4</v>
      </c>
      <c r="C28" s="48">
        <v>7.4</v>
      </c>
      <c r="D28" s="49">
        <v>85.028888093842554</v>
      </c>
      <c r="E28" s="50">
        <v>504.9</v>
      </c>
      <c r="F28" s="51">
        <v>246.01936683780735</v>
      </c>
      <c r="G28" s="52">
        <v>1.43</v>
      </c>
      <c r="H28" s="53">
        <v>25</v>
      </c>
      <c r="I28" s="54">
        <v>6.1</v>
      </c>
      <c r="J28" s="55">
        <v>46867</v>
      </c>
      <c r="N28">
        <f t="shared" si="2"/>
        <v>37</v>
      </c>
      <c r="O28">
        <v>11.4</v>
      </c>
      <c r="P28">
        <f t="shared" si="0"/>
        <v>-0.33185334643681658</v>
      </c>
      <c r="Q28">
        <f t="shared" si="1"/>
        <v>-0.45321512720695817</v>
      </c>
    </row>
    <row r="29" spans="1:17">
      <c r="A29" s="44" t="s">
        <v>99</v>
      </c>
      <c r="B29" s="47">
        <v>14.8</v>
      </c>
      <c r="C29" s="48">
        <v>5.8</v>
      </c>
      <c r="D29" s="49">
        <v>90.467729264863962</v>
      </c>
      <c r="E29" s="50">
        <v>287.5</v>
      </c>
      <c r="F29" s="51">
        <v>220.56732843834149</v>
      </c>
      <c r="G29" s="52">
        <v>2.4500000000000002</v>
      </c>
      <c r="H29" s="53">
        <v>27.1</v>
      </c>
      <c r="I29" s="54">
        <v>4.5</v>
      </c>
      <c r="J29" s="55">
        <v>43654</v>
      </c>
      <c r="N29">
        <f t="shared" si="2"/>
        <v>39</v>
      </c>
      <c r="O29">
        <v>11.5</v>
      </c>
      <c r="P29">
        <f t="shared" si="0"/>
        <v>-0.27931903444745415</v>
      </c>
      <c r="Q29">
        <f t="shared" si="1"/>
        <v>-0.41918996750673626</v>
      </c>
    </row>
    <row r="30" spans="1:17">
      <c r="A30" s="44" t="s">
        <v>100</v>
      </c>
      <c r="B30" s="47">
        <v>10.8</v>
      </c>
      <c r="C30" s="48">
        <v>5.6</v>
      </c>
      <c r="D30" s="49">
        <v>91.372477335833381</v>
      </c>
      <c r="E30" s="50">
        <v>302.39999999999998</v>
      </c>
      <c r="F30" s="51">
        <v>245.38379506214562</v>
      </c>
      <c r="G30" s="52">
        <v>1.32</v>
      </c>
      <c r="H30" s="53">
        <v>27.1</v>
      </c>
      <c r="I30" s="54">
        <v>3.3</v>
      </c>
      <c r="J30" s="55">
        <v>49693</v>
      </c>
      <c r="N30">
        <f t="shared" si="2"/>
        <v>41</v>
      </c>
      <c r="O30">
        <v>11.7</v>
      </c>
      <c r="P30">
        <f t="shared" si="0"/>
        <v>-0.2275449766411495</v>
      </c>
      <c r="Q30">
        <f t="shared" si="1"/>
        <v>-0.35113964810629233</v>
      </c>
    </row>
    <row r="31" spans="1:17">
      <c r="A31" s="44" t="s">
        <v>101</v>
      </c>
      <c r="B31" s="47">
        <v>11.3</v>
      </c>
      <c r="C31" s="48">
        <v>6.4</v>
      </c>
      <c r="D31" s="49">
        <v>80.891227371165002</v>
      </c>
      <c r="E31" s="50">
        <v>750.6</v>
      </c>
      <c r="F31" s="51">
        <v>187.75857911072276</v>
      </c>
      <c r="G31" s="52">
        <v>1.68</v>
      </c>
      <c r="H31" s="53">
        <v>21.9</v>
      </c>
      <c r="I31" s="54">
        <v>6.7</v>
      </c>
      <c r="J31" s="55">
        <v>56361</v>
      </c>
      <c r="N31">
        <f t="shared" si="2"/>
        <v>43</v>
      </c>
      <c r="O31">
        <v>12</v>
      </c>
      <c r="P31">
        <f t="shared" si="0"/>
        <v>-0.17637416478086138</v>
      </c>
      <c r="Q31">
        <f t="shared" si="1"/>
        <v>-0.24906416900562592</v>
      </c>
    </row>
    <row r="32" spans="1:17">
      <c r="A32" s="44" t="s">
        <v>102</v>
      </c>
      <c r="B32" s="47">
        <v>7.6</v>
      </c>
      <c r="C32" s="48">
        <v>6.1</v>
      </c>
      <c r="D32" s="49">
        <v>95.487186970145373</v>
      </c>
      <c r="E32" s="50">
        <v>137.30000000000001</v>
      </c>
      <c r="F32" s="51">
        <v>274.87014728833395</v>
      </c>
      <c r="G32" s="52">
        <v>0.96</v>
      </c>
      <c r="H32" s="53">
        <v>33.299999999999997</v>
      </c>
      <c r="I32" s="54">
        <v>3.8</v>
      </c>
      <c r="J32" s="55">
        <v>63731</v>
      </c>
      <c r="N32">
        <f t="shared" si="2"/>
        <v>45</v>
      </c>
      <c r="O32">
        <v>12.1</v>
      </c>
      <c r="P32">
        <f t="shared" si="0"/>
        <v>-0.12566134685507402</v>
      </c>
      <c r="Q32">
        <f t="shared" si="1"/>
        <v>-0.21503900930540396</v>
      </c>
    </row>
    <row r="33" spans="1:17">
      <c r="A33" s="44" t="s">
        <v>103</v>
      </c>
      <c r="B33" s="47">
        <v>8.6999999999999993</v>
      </c>
      <c r="C33" s="48">
        <v>5.5</v>
      </c>
      <c r="D33" s="49">
        <v>76.032117342828414</v>
      </c>
      <c r="E33" s="50">
        <v>329.3</v>
      </c>
      <c r="F33" s="51">
        <v>316.33654704669738</v>
      </c>
      <c r="G33" s="52">
        <v>0.95</v>
      </c>
      <c r="H33" s="53">
        <v>34.4</v>
      </c>
      <c r="I33" s="54">
        <v>5.5</v>
      </c>
      <c r="J33" s="55">
        <v>70378</v>
      </c>
      <c r="N33">
        <f t="shared" si="2"/>
        <v>47</v>
      </c>
      <c r="O33">
        <v>12.2</v>
      </c>
      <c r="P33">
        <f t="shared" si="0"/>
        <v>-7.5269862099829901E-2</v>
      </c>
      <c r="Q33">
        <f t="shared" si="1"/>
        <v>-0.18101384960518202</v>
      </c>
    </row>
    <row r="34" spans="1:17">
      <c r="A34" s="44" t="s">
        <v>104</v>
      </c>
      <c r="B34" s="47">
        <v>17.100000000000001</v>
      </c>
      <c r="C34" s="48">
        <v>5.8</v>
      </c>
      <c r="D34" s="49">
        <v>83.996520785584835</v>
      </c>
      <c r="E34" s="50">
        <v>664.2</v>
      </c>
      <c r="F34" s="51">
        <v>243.58557973367977</v>
      </c>
      <c r="G34" s="52">
        <v>1.54</v>
      </c>
      <c r="H34" s="53">
        <v>24.7</v>
      </c>
      <c r="I34" s="54">
        <v>4.2</v>
      </c>
      <c r="J34" s="55">
        <v>43508</v>
      </c>
      <c r="N34">
        <f t="shared" si="2"/>
        <v>49</v>
      </c>
      <c r="O34">
        <v>12.3</v>
      </c>
      <c r="P34">
        <f t="shared" si="0"/>
        <v>-2.506890825871106E-2</v>
      </c>
      <c r="Q34">
        <f t="shared" si="1"/>
        <v>-0.14698868990495947</v>
      </c>
    </row>
    <row r="35" spans="1:17">
      <c r="A35" s="44" t="s">
        <v>105</v>
      </c>
      <c r="B35" s="47">
        <v>13.6</v>
      </c>
      <c r="C35" s="48">
        <v>5.6</v>
      </c>
      <c r="D35" s="49">
        <v>73.422529169257928</v>
      </c>
      <c r="E35" s="50">
        <v>414.1</v>
      </c>
      <c r="F35" s="51">
        <v>395.92232685906185</v>
      </c>
      <c r="G35" s="52">
        <v>0.97</v>
      </c>
      <c r="H35" s="53">
        <v>31.9</v>
      </c>
      <c r="I35" s="54">
        <v>5.4</v>
      </c>
      <c r="J35" s="55">
        <v>56033</v>
      </c>
      <c r="N35">
        <f t="shared" si="2"/>
        <v>51</v>
      </c>
      <c r="O35">
        <v>12.5</v>
      </c>
      <c r="P35">
        <f t="shared" si="0"/>
        <v>2.506890825871106E-2</v>
      </c>
      <c r="Q35">
        <f t="shared" si="1"/>
        <v>-7.8938370504515562E-2</v>
      </c>
    </row>
    <row r="36" spans="1:17">
      <c r="A36" s="44" t="s">
        <v>106</v>
      </c>
      <c r="B36" s="47">
        <v>14.6</v>
      </c>
      <c r="C36" s="48">
        <v>8.1</v>
      </c>
      <c r="D36" s="49">
        <v>73.937344387272134</v>
      </c>
      <c r="E36" s="50">
        <v>466.4</v>
      </c>
      <c r="F36" s="51">
        <v>254.23614464440675</v>
      </c>
      <c r="G36" s="52">
        <v>1.62</v>
      </c>
      <c r="H36" s="53">
        <v>26.1</v>
      </c>
      <c r="I36" s="54">
        <v>6.3</v>
      </c>
      <c r="J36" s="55">
        <v>46549</v>
      </c>
      <c r="N36">
        <f t="shared" si="2"/>
        <v>53</v>
      </c>
      <c r="O36">
        <v>12.6</v>
      </c>
      <c r="P36">
        <f t="shared" si="0"/>
        <v>7.5269862099829901E-2</v>
      </c>
      <c r="Q36">
        <f t="shared" si="1"/>
        <v>-4.491321080429362E-2</v>
      </c>
    </row>
    <row r="37" spans="1:17">
      <c r="A37" s="44" t="s">
        <v>107</v>
      </c>
      <c r="B37" s="57">
        <v>12</v>
      </c>
      <c r="C37" s="48">
        <v>5.8</v>
      </c>
      <c r="D37" s="49">
        <v>91.393509706444945</v>
      </c>
      <c r="E37" s="50">
        <v>142.4</v>
      </c>
      <c r="F37" s="51">
        <v>244.39414081115655</v>
      </c>
      <c r="G37" s="52">
        <v>1.42</v>
      </c>
      <c r="H37" s="53">
        <v>26.9</v>
      </c>
      <c r="I37" s="54">
        <v>3.2</v>
      </c>
      <c r="J37" s="55">
        <v>45685</v>
      </c>
      <c r="N37">
        <f t="shared" si="2"/>
        <v>55</v>
      </c>
      <c r="O37">
        <v>13.1</v>
      </c>
      <c r="P37">
        <f t="shared" si="0"/>
        <v>0.12566134685507416</v>
      </c>
      <c r="Q37">
        <f t="shared" si="1"/>
        <v>0.1252125876968167</v>
      </c>
    </row>
    <row r="38" spans="1:17">
      <c r="A38" s="44" t="s">
        <v>108</v>
      </c>
      <c r="B38" s="47">
        <v>13.4</v>
      </c>
      <c r="C38" s="48">
        <v>7.8</v>
      </c>
      <c r="D38" s="49">
        <v>84.764237226305966</v>
      </c>
      <c r="E38" s="50">
        <v>343.2</v>
      </c>
      <c r="F38" s="51">
        <v>266.73599566322036</v>
      </c>
      <c r="G38" s="52">
        <v>1.1399999999999999</v>
      </c>
      <c r="H38" s="53">
        <v>24.1</v>
      </c>
      <c r="I38" s="54">
        <v>6.5</v>
      </c>
      <c r="J38" s="55">
        <v>47988</v>
      </c>
      <c r="N38">
        <f t="shared" si="2"/>
        <v>57</v>
      </c>
      <c r="O38">
        <v>13.2</v>
      </c>
      <c r="P38">
        <f t="shared" si="0"/>
        <v>0.17637416478086121</v>
      </c>
      <c r="Q38">
        <f t="shared" si="1"/>
        <v>0.15923774739703866</v>
      </c>
    </row>
    <row r="39" spans="1:17">
      <c r="A39" s="44" t="s">
        <v>109</v>
      </c>
      <c r="B39" s="47">
        <v>15.9</v>
      </c>
      <c r="C39" s="48">
        <v>8</v>
      </c>
      <c r="D39" s="49">
        <v>78.141238608693655</v>
      </c>
      <c r="E39" s="50">
        <v>499.6</v>
      </c>
      <c r="F39" s="51">
        <v>173.49741125787563</v>
      </c>
      <c r="G39" s="52">
        <v>1.58</v>
      </c>
      <c r="H39" s="53">
        <v>22.2</v>
      </c>
      <c r="I39" s="54">
        <v>3.8</v>
      </c>
      <c r="J39" s="55">
        <v>42822</v>
      </c>
      <c r="N39">
        <f t="shared" si="2"/>
        <v>59</v>
      </c>
      <c r="O39">
        <v>13.3</v>
      </c>
      <c r="P39">
        <f t="shared" si="0"/>
        <v>0.22754497664114934</v>
      </c>
      <c r="Q39">
        <f t="shared" si="1"/>
        <v>0.19326290709726121</v>
      </c>
    </row>
    <row r="40" spans="1:17">
      <c r="A40" s="44" t="s">
        <v>110</v>
      </c>
      <c r="B40" s="47">
        <v>13.6</v>
      </c>
      <c r="C40" s="48">
        <v>5.5</v>
      </c>
      <c r="D40" s="49">
        <v>90.140446325387984</v>
      </c>
      <c r="E40" s="50">
        <v>287.60000000000002</v>
      </c>
      <c r="F40" s="51">
        <v>274.47103491347588</v>
      </c>
      <c r="G40" s="52">
        <v>1.31</v>
      </c>
      <c r="H40" s="53">
        <v>28.1</v>
      </c>
      <c r="I40" s="54">
        <v>6.4</v>
      </c>
      <c r="J40" s="55">
        <v>50169</v>
      </c>
      <c r="N40">
        <f t="shared" si="2"/>
        <v>61</v>
      </c>
      <c r="O40">
        <v>13.4</v>
      </c>
      <c r="P40">
        <f t="shared" si="0"/>
        <v>0.27931903444745415</v>
      </c>
      <c r="Q40">
        <f t="shared" si="1"/>
        <v>0.22728806679748315</v>
      </c>
    </row>
    <row r="41" spans="1:17">
      <c r="A41" s="44" t="s">
        <v>111</v>
      </c>
      <c r="B41" s="47">
        <v>12.1</v>
      </c>
      <c r="C41" s="48">
        <v>7.6</v>
      </c>
      <c r="D41" s="49">
        <v>85.424563507935517</v>
      </c>
      <c r="E41" s="50">
        <v>416.5</v>
      </c>
      <c r="F41" s="51">
        <v>305.34793674360481</v>
      </c>
      <c r="G41" s="52">
        <v>1.37</v>
      </c>
      <c r="H41" s="53">
        <v>26.3</v>
      </c>
      <c r="I41" s="54">
        <v>5.4</v>
      </c>
      <c r="J41" s="55">
        <v>50713</v>
      </c>
      <c r="N41">
        <f t="shared" si="2"/>
        <v>63</v>
      </c>
      <c r="O41">
        <v>13.4</v>
      </c>
      <c r="P41">
        <f t="shared" si="0"/>
        <v>0.33185334643681658</v>
      </c>
      <c r="Q41">
        <f t="shared" si="1"/>
        <v>0.22728806679748315</v>
      </c>
    </row>
    <row r="42" spans="1:17">
      <c r="A42" s="44" t="s">
        <v>112</v>
      </c>
      <c r="B42" s="47">
        <v>11.7</v>
      </c>
      <c r="C42" s="48">
        <v>6.1</v>
      </c>
      <c r="D42" s="49">
        <v>88.483880668602993</v>
      </c>
      <c r="E42" s="50">
        <v>227.3</v>
      </c>
      <c r="F42" s="51">
        <v>375.54503881739873</v>
      </c>
      <c r="G42" s="52">
        <v>0.8</v>
      </c>
      <c r="H42" s="53">
        <v>30</v>
      </c>
      <c r="I42" s="54">
        <v>7.8</v>
      </c>
      <c r="J42" s="55">
        <v>55701</v>
      </c>
      <c r="N42">
        <f t="shared" si="2"/>
        <v>65</v>
      </c>
      <c r="O42">
        <v>13.6</v>
      </c>
      <c r="P42">
        <f t="shared" si="0"/>
        <v>0.38532046640756784</v>
      </c>
      <c r="Q42">
        <f t="shared" si="1"/>
        <v>0.29533838619792707</v>
      </c>
    </row>
    <row r="43" spans="1:17">
      <c r="A43" s="44" t="s">
        <v>113</v>
      </c>
      <c r="B43" s="47">
        <v>15.7</v>
      </c>
      <c r="C43" s="48">
        <v>8.4</v>
      </c>
      <c r="D43" s="49">
        <v>68.748136077503446</v>
      </c>
      <c r="E43" s="50">
        <v>788.3</v>
      </c>
      <c r="F43" s="51">
        <v>229.78882221083092</v>
      </c>
      <c r="G43" s="52">
        <v>2.09</v>
      </c>
      <c r="H43" s="53">
        <v>23.7</v>
      </c>
      <c r="I43" s="54">
        <v>6.9</v>
      </c>
      <c r="J43" s="55">
        <v>44625</v>
      </c>
      <c r="N43">
        <f t="shared" si="2"/>
        <v>67</v>
      </c>
      <c r="O43">
        <v>13.6</v>
      </c>
      <c r="P43">
        <f t="shared" si="0"/>
        <v>0.43991316567323396</v>
      </c>
      <c r="Q43">
        <f t="shared" si="1"/>
        <v>0.29533838619792707</v>
      </c>
    </row>
    <row r="44" spans="1:17">
      <c r="A44" s="44" t="s">
        <v>114</v>
      </c>
      <c r="B44" s="47">
        <v>12.5</v>
      </c>
      <c r="C44" s="48">
        <v>6.9</v>
      </c>
      <c r="D44" s="49">
        <v>88.189790025789804</v>
      </c>
      <c r="E44" s="50">
        <v>169.2</v>
      </c>
      <c r="F44" s="51">
        <v>219.05543497522274</v>
      </c>
      <c r="G44" s="52">
        <v>1.62</v>
      </c>
      <c r="H44" s="53">
        <v>25.1</v>
      </c>
      <c r="I44" s="54">
        <v>3</v>
      </c>
      <c r="J44" s="55">
        <v>46032</v>
      </c>
      <c r="N44">
        <f t="shared" si="2"/>
        <v>69</v>
      </c>
      <c r="O44">
        <v>14.4</v>
      </c>
      <c r="P44">
        <f t="shared" si="0"/>
        <v>0.49585034734745331</v>
      </c>
      <c r="Q44">
        <f t="shared" si="1"/>
        <v>0.56753966379970389</v>
      </c>
    </row>
    <row r="45" spans="1:17">
      <c r="A45" s="44" t="s">
        <v>115</v>
      </c>
      <c r="B45" s="47">
        <v>15.5</v>
      </c>
      <c r="C45" s="48">
        <v>8.6999999999999993</v>
      </c>
      <c r="D45" s="49">
        <v>80.371971305033981</v>
      </c>
      <c r="E45" s="50">
        <v>753.3</v>
      </c>
      <c r="F45" s="51">
        <v>263.55007776727581</v>
      </c>
      <c r="G45" s="52">
        <v>1.7</v>
      </c>
      <c r="H45" s="53">
        <v>22.9</v>
      </c>
      <c r="I45" s="54">
        <v>6.4</v>
      </c>
      <c r="J45" s="55">
        <v>43614</v>
      </c>
      <c r="N45">
        <f t="shared" si="2"/>
        <v>71</v>
      </c>
      <c r="O45">
        <v>14.6</v>
      </c>
      <c r="P45">
        <f t="shared" si="0"/>
        <v>0.5533847195556727</v>
      </c>
      <c r="Q45">
        <f t="shared" si="1"/>
        <v>0.6355899832001477</v>
      </c>
    </row>
    <row r="46" spans="1:17">
      <c r="A46" s="44" t="s">
        <v>116</v>
      </c>
      <c r="B46" s="47">
        <v>15.8</v>
      </c>
      <c r="C46" s="48">
        <v>6.2</v>
      </c>
      <c r="D46" s="49">
        <v>82.402677784750395</v>
      </c>
      <c r="E46" s="50">
        <v>510.6</v>
      </c>
      <c r="F46" s="51">
        <v>214.23090434296537</v>
      </c>
      <c r="G46" s="52">
        <v>1.38</v>
      </c>
      <c r="H46" s="53">
        <v>25.3</v>
      </c>
      <c r="I46" s="54">
        <v>4.9000000000000004</v>
      </c>
      <c r="J46" s="55">
        <v>50043</v>
      </c>
      <c r="N46">
        <f t="shared" si="2"/>
        <v>73</v>
      </c>
      <c r="O46">
        <v>14.7</v>
      </c>
      <c r="P46">
        <f t="shared" si="0"/>
        <v>0.61281299101662734</v>
      </c>
      <c r="Q46">
        <f t="shared" si="1"/>
        <v>0.66961514290036972</v>
      </c>
    </row>
    <row r="47" spans="1:17">
      <c r="A47" s="44" t="s">
        <v>117</v>
      </c>
      <c r="B47" s="47">
        <v>9.6</v>
      </c>
      <c r="C47" s="48">
        <v>5.0999999999999996</v>
      </c>
      <c r="D47" s="49">
        <v>92.915461931338129</v>
      </c>
      <c r="E47" s="50">
        <v>234.8</v>
      </c>
      <c r="F47" s="51">
        <v>208.06129808818156</v>
      </c>
      <c r="G47" s="52">
        <v>1.1100000000000001</v>
      </c>
      <c r="H47" s="53">
        <v>29.1</v>
      </c>
      <c r="I47" s="54">
        <v>3.4</v>
      </c>
      <c r="J47" s="55">
        <v>56633</v>
      </c>
      <c r="N47">
        <f t="shared" si="2"/>
        <v>75</v>
      </c>
      <c r="O47">
        <v>14.7</v>
      </c>
      <c r="P47">
        <f t="shared" si="0"/>
        <v>0.67448975019608193</v>
      </c>
      <c r="Q47">
        <f t="shared" si="1"/>
        <v>0.66961514290036972</v>
      </c>
    </row>
    <row r="48" spans="1:17">
      <c r="A48" s="44" t="s">
        <v>118</v>
      </c>
      <c r="B48" s="47">
        <v>10.6</v>
      </c>
      <c r="C48" s="48">
        <v>5.5</v>
      </c>
      <c r="D48" s="49">
        <v>96.408807764739961</v>
      </c>
      <c r="E48" s="50">
        <v>124.3</v>
      </c>
      <c r="F48" s="51">
        <v>373.74264596905664</v>
      </c>
      <c r="G48" s="52">
        <v>0.86</v>
      </c>
      <c r="H48" s="53">
        <v>32.1</v>
      </c>
      <c r="I48" s="54">
        <v>4.8</v>
      </c>
      <c r="J48" s="55">
        <v>52104</v>
      </c>
      <c r="N48">
        <f t="shared" si="2"/>
        <v>77</v>
      </c>
      <c r="O48">
        <v>14.8</v>
      </c>
      <c r="P48">
        <f t="shared" si="0"/>
        <v>0.73884684918521393</v>
      </c>
      <c r="Q48">
        <f t="shared" si="1"/>
        <v>0.70364030260059218</v>
      </c>
    </row>
    <row r="49" spans="1:17">
      <c r="A49" s="44" t="s">
        <v>119</v>
      </c>
      <c r="B49" s="47">
        <v>10.199999999999999</v>
      </c>
      <c r="C49" s="48">
        <v>7.1</v>
      </c>
      <c r="D49" s="49">
        <v>73.031896017666924</v>
      </c>
      <c r="E49" s="50">
        <v>269.7</v>
      </c>
      <c r="F49" s="51">
        <v>274.48522654578164</v>
      </c>
      <c r="G49" s="52">
        <v>1.25</v>
      </c>
      <c r="H49" s="53">
        <v>33.700000000000003</v>
      </c>
      <c r="I49" s="54">
        <v>4</v>
      </c>
      <c r="J49" s="55">
        <v>61233</v>
      </c>
      <c r="N49">
        <f t="shared" si="2"/>
        <v>79</v>
      </c>
      <c r="O49">
        <v>15.5</v>
      </c>
      <c r="P49">
        <f t="shared" si="0"/>
        <v>0.80642124701824058</v>
      </c>
      <c r="Q49">
        <f t="shared" si="1"/>
        <v>0.94181642050214642</v>
      </c>
    </row>
    <row r="50" spans="1:17">
      <c r="A50" s="44" t="s">
        <v>120</v>
      </c>
      <c r="B50" s="47">
        <v>11.3</v>
      </c>
      <c r="C50" s="48">
        <v>4.7</v>
      </c>
      <c r="D50" s="49">
        <v>84.290902250404002</v>
      </c>
      <c r="E50" s="50">
        <v>333.1</v>
      </c>
      <c r="F50" s="51">
        <v>269.98946121651699</v>
      </c>
      <c r="G50" s="52">
        <v>1</v>
      </c>
      <c r="H50" s="53">
        <v>30.7</v>
      </c>
      <c r="I50" s="54">
        <v>5.3</v>
      </c>
      <c r="J50" s="55">
        <v>58078</v>
      </c>
      <c r="N50">
        <f t="shared" si="2"/>
        <v>81</v>
      </c>
      <c r="O50">
        <v>15.7</v>
      </c>
      <c r="P50">
        <f t="shared" si="0"/>
        <v>0.87789629505122857</v>
      </c>
      <c r="Q50">
        <f t="shared" si="1"/>
        <v>1.0098667399025902</v>
      </c>
    </row>
    <row r="51" spans="1:17">
      <c r="A51" s="44" t="s">
        <v>121</v>
      </c>
      <c r="B51" s="57">
        <v>17</v>
      </c>
      <c r="C51" s="48">
        <v>7.4</v>
      </c>
      <c r="D51" s="49">
        <v>94.524786328554711</v>
      </c>
      <c r="E51" s="50">
        <v>275.2</v>
      </c>
      <c r="F51" s="51">
        <v>232.12047942465506</v>
      </c>
      <c r="G51" s="52">
        <v>2.1</v>
      </c>
      <c r="H51" s="53">
        <v>17.100000000000001</v>
      </c>
      <c r="I51" s="54">
        <v>4.3</v>
      </c>
      <c r="J51" s="55">
        <v>37989</v>
      </c>
      <c r="N51">
        <f t="shared" si="2"/>
        <v>83</v>
      </c>
      <c r="O51">
        <v>15.7</v>
      </c>
      <c r="P51">
        <f t="shared" si="0"/>
        <v>0.95416525314619549</v>
      </c>
      <c r="Q51">
        <f t="shared" si="1"/>
        <v>1.0098667399025902</v>
      </c>
    </row>
    <row r="52" spans="1:17">
      <c r="A52" s="44" t="s">
        <v>122</v>
      </c>
      <c r="B52" s="47">
        <v>10.4</v>
      </c>
      <c r="C52" s="48">
        <v>6.4</v>
      </c>
      <c r="D52" s="49">
        <v>89.673695670212709</v>
      </c>
      <c r="E52" s="50">
        <v>290.89999999999998</v>
      </c>
      <c r="F52" s="51">
        <v>259.10479089348553</v>
      </c>
      <c r="G52" s="52">
        <v>1.27</v>
      </c>
      <c r="H52" s="53">
        <v>25.7</v>
      </c>
      <c r="I52" s="54">
        <v>4.7</v>
      </c>
      <c r="J52" s="55">
        <v>52094</v>
      </c>
      <c r="N52">
        <f t="shared" si="2"/>
        <v>85</v>
      </c>
      <c r="O52">
        <v>15.8</v>
      </c>
      <c r="P52">
        <f t="shared" si="0"/>
        <v>1.0364333894937898</v>
      </c>
      <c r="Q52">
        <f t="shared" si="1"/>
        <v>1.0438918996028128</v>
      </c>
    </row>
    <row r="53" spans="1:17">
      <c r="A53" s="58" t="s">
        <v>123</v>
      </c>
      <c r="B53" s="59">
        <v>9.4</v>
      </c>
      <c r="C53" s="60">
        <v>7</v>
      </c>
      <c r="D53" s="61">
        <v>93.867286940458214</v>
      </c>
      <c r="E53" s="62">
        <v>239.3</v>
      </c>
      <c r="F53" s="63">
        <v>184.42356646510669</v>
      </c>
      <c r="G53" s="64">
        <v>1.6</v>
      </c>
      <c r="H53" s="65">
        <v>23.6</v>
      </c>
      <c r="I53" s="66">
        <v>3.1</v>
      </c>
      <c r="J53" s="67">
        <v>53207</v>
      </c>
      <c r="N53">
        <f t="shared" si="2"/>
        <v>87</v>
      </c>
      <c r="O53">
        <v>15.9</v>
      </c>
      <c r="P53">
        <f t="shared" si="0"/>
        <v>1.1263911290388013</v>
      </c>
      <c r="Q53">
        <f t="shared" si="1"/>
        <v>1.0779170593030349</v>
      </c>
    </row>
    <row r="54" spans="1:17">
      <c r="A54" s="44"/>
      <c r="B54" s="44"/>
      <c r="C54" s="44"/>
      <c r="D54" s="44"/>
      <c r="E54" s="44"/>
      <c r="F54" s="44"/>
      <c r="G54" s="44"/>
      <c r="H54" s="44"/>
      <c r="I54" s="44"/>
      <c r="J54" s="44"/>
      <c r="N54">
        <f t="shared" si="2"/>
        <v>89</v>
      </c>
      <c r="O54">
        <v>17</v>
      </c>
      <c r="P54">
        <f t="shared" si="0"/>
        <v>1.2265281200366105</v>
      </c>
      <c r="Q54">
        <f t="shared" si="1"/>
        <v>1.4521938160054775</v>
      </c>
    </row>
    <row r="55" spans="1:17">
      <c r="A55" s="44" t="s">
        <v>124</v>
      </c>
      <c r="B55" s="44"/>
      <c r="C55" s="44"/>
      <c r="D55" s="44"/>
      <c r="E55" s="44"/>
      <c r="F55" s="44"/>
      <c r="G55" s="44"/>
      <c r="H55" s="44"/>
      <c r="I55" s="44"/>
      <c r="J55" s="44"/>
      <c r="N55">
        <f t="shared" si="2"/>
        <v>91</v>
      </c>
      <c r="O55">
        <v>17.100000000000001</v>
      </c>
      <c r="P55">
        <f t="shared" si="0"/>
        <v>1.3407550336902161</v>
      </c>
      <c r="Q55">
        <f t="shared" si="1"/>
        <v>1.4862189757057001</v>
      </c>
    </row>
    <row r="56" spans="1:17">
      <c r="A56" s="44" t="s">
        <v>125</v>
      </c>
      <c r="B56" s="44"/>
      <c r="C56" s="44"/>
      <c r="D56" s="44"/>
      <c r="E56" s="44"/>
      <c r="F56" s="44"/>
      <c r="G56" s="44"/>
      <c r="H56" s="44"/>
      <c r="I56" s="44"/>
      <c r="J56" s="44"/>
      <c r="N56">
        <f t="shared" si="2"/>
        <v>93</v>
      </c>
      <c r="O56">
        <v>17.3</v>
      </c>
      <c r="P56">
        <f t="shared" si="0"/>
        <v>1.4757910281791713</v>
      </c>
      <c r="Q56">
        <f t="shared" si="1"/>
        <v>1.5542692951061439</v>
      </c>
    </row>
    <row r="57" spans="1:17">
      <c r="A57" s="44" t="s">
        <v>126</v>
      </c>
      <c r="B57" s="44"/>
      <c r="C57" s="44"/>
      <c r="D57" s="44"/>
      <c r="E57" s="44"/>
      <c r="F57" s="44"/>
      <c r="G57" s="44"/>
      <c r="H57" s="44"/>
      <c r="I57" s="44"/>
      <c r="J57" s="44"/>
      <c r="N57">
        <f t="shared" si="2"/>
        <v>95</v>
      </c>
      <c r="O57">
        <v>17.3</v>
      </c>
      <c r="P57">
        <f t="shared" si="0"/>
        <v>1.6448536269514715</v>
      </c>
      <c r="Q57">
        <f t="shared" si="1"/>
        <v>1.5542692951061439</v>
      </c>
    </row>
    <row r="58" spans="1:17">
      <c r="A58" s="44" t="s">
        <v>127</v>
      </c>
      <c r="B58" s="44"/>
      <c r="C58" s="44"/>
      <c r="D58" s="44"/>
      <c r="E58" s="44"/>
      <c r="F58" s="44"/>
      <c r="G58" s="44"/>
      <c r="H58" s="44"/>
      <c r="I58" s="44"/>
      <c r="J58" s="44"/>
      <c r="N58">
        <f t="shared" si="2"/>
        <v>97</v>
      </c>
      <c r="O58">
        <v>17.3</v>
      </c>
      <c r="P58">
        <f t="shared" si="0"/>
        <v>1.8807936081512504</v>
      </c>
      <c r="Q58">
        <f t="shared" si="1"/>
        <v>1.5542692951061439</v>
      </c>
    </row>
    <row r="59" spans="1:17">
      <c r="A59" s="44" t="s">
        <v>128</v>
      </c>
      <c r="B59" s="44"/>
      <c r="C59" s="44"/>
      <c r="D59" s="44"/>
      <c r="E59" s="44"/>
      <c r="F59" s="44"/>
      <c r="G59" s="44"/>
      <c r="H59" s="44"/>
      <c r="I59" s="44"/>
      <c r="J59" s="44"/>
      <c r="N59">
        <f t="shared" si="2"/>
        <v>99</v>
      </c>
      <c r="O59">
        <v>21.2</v>
      </c>
      <c r="P59">
        <f t="shared" si="0"/>
        <v>2.3263478740408408</v>
      </c>
      <c r="Q59">
        <f t="shared" si="1"/>
        <v>2.881250523414804</v>
      </c>
    </row>
    <row r="60" spans="1:17">
      <c r="A60" s="44" t="s">
        <v>129</v>
      </c>
      <c r="B60" s="44"/>
      <c r="C60" s="44"/>
      <c r="D60" s="44"/>
      <c r="E60" s="44"/>
      <c r="F60" s="44"/>
      <c r="G60" s="44"/>
      <c r="H60" s="44"/>
      <c r="I60" s="44"/>
      <c r="J60" s="44"/>
    </row>
    <row r="61" spans="1:17">
      <c r="A61" s="44" t="s">
        <v>130</v>
      </c>
      <c r="B61" s="44"/>
      <c r="C61" s="44"/>
      <c r="D61" s="44"/>
      <c r="E61" s="44"/>
      <c r="F61" s="44"/>
      <c r="G61" s="44"/>
      <c r="H61" s="44"/>
      <c r="I61" s="44"/>
      <c r="J61" s="44"/>
    </row>
    <row r="62" spans="1:17">
      <c r="A62" s="44" t="s">
        <v>131</v>
      </c>
      <c r="B62" s="44"/>
      <c r="C62" s="44"/>
      <c r="D62" s="44"/>
      <c r="E62" s="44"/>
      <c r="F62" s="44"/>
      <c r="G62" s="44"/>
      <c r="H62" s="44"/>
      <c r="I62" s="44"/>
      <c r="J62" s="44"/>
    </row>
    <row r="63" spans="1:17">
      <c r="A63" s="44" t="s">
        <v>132</v>
      </c>
      <c r="B63" s="44"/>
      <c r="C63" s="44"/>
      <c r="D63" s="44"/>
      <c r="E63" s="44"/>
      <c r="F63" s="44"/>
      <c r="G63" s="44"/>
      <c r="H63" s="44"/>
      <c r="I63" s="44"/>
      <c r="J63" s="44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85"/>
  <dimension ref="A1:O101"/>
  <sheetViews>
    <sheetView workbookViewId="0"/>
  </sheetViews>
  <sheetFormatPr defaultRowHeight="15"/>
  <cols>
    <col min="1" max="3" width="7.5703125" customWidth="1"/>
    <col min="4" max="4" width="6.5703125" customWidth="1"/>
    <col min="5" max="5" width="17.85546875" customWidth="1"/>
    <col min="6" max="11" width="13.42578125" customWidth="1"/>
  </cols>
  <sheetData>
    <row r="1" spans="1:10">
      <c r="A1" s="1" t="s">
        <v>326</v>
      </c>
      <c r="E1" t="s">
        <v>330</v>
      </c>
    </row>
    <row r="3" spans="1:10">
      <c r="A3" s="112" t="s">
        <v>296</v>
      </c>
      <c r="B3" s="112" t="s">
        <v>297</v>
      </c>
      <c r="C3" s="112" t="s">
        <v>290</v>
      </c>
      <c r="E3" t="s">
        <v>206</v>
      </c>
    </row>
    <row r="4" spans="1:10" ht="15.75" thickBot="1">
      <c r="A4" s="76">
        <v>7</v>
      </c>
      <c r="B4" s="76">
        <v>5</v>
      </c>
      <c r="C4" s="76">
        <v>65</v>
      </c>
    </row>
    <row r="5" spans="1:10">
      <c r="A5" s="76">
        <v>3</v>
      </c>
      <c r="B5" s="76">
        <v>7</v>
      </c>
      <c r="C5" s="76">
        <v>38</v>
      </c>
      <c r="E5" s="18" t="s">
        <v>207</v>
      </c>
      <c r="F5" s="18"/>
    </row>
    <row r="6" spans="1:10">
      <c r="A6" s="76">
        <v>5</v>
      </c>
      <c r="B6" s="76">
        <v>8</v>
      </c>
      <c r="C6" s="76">
        <v>51</v>
      </c>
      <c r="E6" s="16" t="s">
        <v>208</v>
      </c>
      <c r="F6" s="16">
        <v>0.92233072739359667</v>
      </c>
    </row>
    <row r="7" spans="1:10">
      <c r="A7" s="76">
        <v>8</v>
      </c>
      <c r="B7" s="76">
        <v>1</v>
      </c>
      <c r="C7" s="76">
        <v>38</v>
      </c>
      <c r="E7" s="16" t="s">
        <v>201</v>
      </c>
      <c r="F7" s="16">
        <v>0.85069397069440122</v>
      </c>
    </row>
    <row r="8" spans="1:10">
      <c r="A8" s="76">
        <v>9</v>
      </c>
      <c r="B8" s="76">
        <v>3</v>
      </c>
      <c r="C8" s="76">
        <v>55</v>
      </c>
      <c r="E8" s="16" t="s">
        <v>209</v>
      </c>
      <c r="F8" s="16">
        <v>0.81336746336800148</v>
      </c>
    </row>
    <row r="9" spans="1:10">
      <c r="A9" s="76">
        <v>5</v>
      </c>
      <c r="B9" s="76">
        <v>4</v>
      </c>
      <c r="C9" s="76">
        <v>43</v>
      </c>
      <c r="E9" s="16" t="s">
        <v>9</v>
      </c>
      <c r="F9" s="16">
        <v>5.8880844651320681</v>
      </c>
    </row>
    <row r="10" spans="1:10" ht="15.75" thickBot="1">
      <c r="A10" s="76">
        <v>4</v>
      </c>
      <c r="B10" s="76">
        <v>0</v>
      </c>
      <c r="C10" s="76">
        <v>25</v>
      </c>
      <c r="E10" s="17" t="s">
        <v>42</v>
      </c>
      <c r="F10" s="17">
        <v>11</v>
      </c>
    </row>
    <row r="11" spans="1:10">
      <c r="A11" s="76">
        <v>2</v>
      </c>
      <c r="B11" s="76">
        <v>6</v>
      </c>
      <c r="C11" s="76">
        <v>33</v>
      </c>
    </row>
    <row r="12" spans="1:10" ht="15.75" thickBot="1">
      <c r="A12" s="76">
        <v>8</v>
      </c>
      <c r="B12" s="76">
        <v>7</v>
      </c>
      <c r="C12" s="76">
        <v>71</v>
      </c>
      <c r="E12" t="s">
        <v>210</v>
      </c>
    </row>
    <row r="13" spans="1:10">
      <c r="A13" s="76">
        <v>6</v>
      </c>
      <c r="B13" s="76">
        <v>4</v>
      </c>
      <c r="C13" s="76">
        <v>51</v>
      </c>
      <c r="E13" s="234"/>
      <c r="F13" s="234" t="s">
        <v>26</v>
      </c>
      <c r="G13" s="234" t="s">
        <v>137</v>
      </c>
      <c r="H13" s="234" t="s">
        <v>156</v>
      </c>
      <c r="I13" s="234" t="s">
        <v>63</v>
      </c>
      <c r="J13" s="234" t="s">
        <v>213</v>
      </c>
    </row>
    <row r="14" spans="1:10">
      <c r="A14" s="111">
        <v>9</v>
      </c>
      <c r="B14" s="111">
        <v>2</v>
      </c>
      <c r="C14" s="111">
        <v>49</v>
      </c>
      <c r="E14" s="16" t="s">
        <v>138</v>
      </c>
      <c r="F14" s="16">
        <v>2</v>
      </c>
      <c r="G14" s="16">
        <v>1580.2800542881264</v>
      </c>
      <c r="H14" s="16">
        <v>790.1400271440632</v>
      </c>
      <c r="I14" s="16">
        <v>22.790612667173818</v>
      </c>
      <c r="J14" s="16">
        <v>4.9694621069852531E-4</v>
      </c>
    </row>
    <row r="15" spans="1:10">
      <c r="E15" s="16" t="s">
        <v>211</v>
      </c>
      <c r="F15" s="16">
        <v>8</v>
      </c>
      <c r="G15" s="16">
        <v>277.35630934823678</v>
      </c>
      <c r="H15" s="16">
        <v>34.669538668529597</v>
      </c>
      <c r="I15" s="16"/>
      <c r="J15" s="16"/>
    </row>
    <row r="16" spans="1:10" ht="15.75" thickBot="1">
      <c r="E16" s="17" t="s">
        <v>1</v>
      </c>
      <c r="F16" s="17">
        <v>10</v>
      </c>
      <c r="G16" s="17">
        <v>1857.6363636363631</v>
      </c>
      <c r="H16" s="17"/>
      <c r="I16" s="17"/>
      <c r="J16" s="17"/>
    </row>
    <row r="17" spans="5:11" ht="15.75" thickBot="1"/>
    <row r="18" spans="5:11">
      <c r="E18" s="234"/>
      <c r="F18" s="234" t="s">
        <v>214</v>
      </c>
      <c r="G18" s="234" t="s">
        <v>9</v>
      </c>
      <c r="H18" s="234" t="s">
        <v>45</v>
      </c>
      <c r="I18" s="234" t="s">
        <v>56</v>
      </c>
      <c r="J18" s="234" t="s">
        <v>215</v>
      </c>
      <c r="K18" s="234" t="s">
        <v>216</v>
      </c>
    </row>
    <row r="19" spans="5:11">
      <c r="E19" s="16" t="s">
        <v>212</v>
      </c>
      <c r="F19" s="16">
        <v>1.7514036585681438</v>
      </c>
      <c r="G19" s="16">
        <v>6.9602026710152867</v>
      </c>
      <c r="H19" s="16">
        <v>0.25163112934363246</v>
      </c>
      <c r="I19" s="16">
        <v>0.80766962414536592</v>
      </c>
      <c r="J19" s="16">
        <v>-14.298852482652197</v>
      </c>
      <c r="K19" s="16">
        <v>17.801659799788485</v>
      </c>
    </row>
    <row r="20" spans="5:11">
      <c r="E20" s="16" t="s">
        <v>296</v>
      </c>
      <c r="F20" s="16">
        <v>4.8952883645113721</v>
      </c>
      <c r="G20" s="16">
        <v>0.82022977846272815</v>
      </c>
      <c r="H20" s="16">
        <v>5.9681914666474372</v>
      </c>
      <c r="I20" s="16">
        <v>3.3508360543825895E-4</v>
      </c>
      <c r="J20" s="16">
        <v>3.003835103558723</v>
      </c>
      <c r="K20" s="16">
        <v>6.7867416254640212</v>
      </c>
    </row>
    <row r="21" spans="5:11" ht="15.75" thickBot="1">
      <c r="E21" s="17" t="s">
        <v>297</v>
      </c>
      <c r="F21" s="17">
        <v>3.7584154829361673</v>
      </c>
      <c r="G21" s="17">
        <v>0.75651098735033695</v>
      </c>
      <c r="H21" s="17">
        <v>4.9680910730720971</v>
      </c>
      <c r="I21" s="17">
        <v>1.0957202090976618E-3</v>
      </c>
      <c r="J21" s="17">
        <v>2.013898017778903</v>
      </c>
      <c r="K21" s="17">
        <v>5.5029329480934317</v>
      </c>
    </row>
    <row r="25" spans="5:11">
      <c r="E25" t="s">
        <v>217</v>
      </c>
      <c r="J25" t="s">
        <v>221</v>
      </c>
    </row>
    <row r="26" spans="5:11" ht="15.75" thickBot="1"/>
    <row r="27" spans="5:11">
      <c r="E27" s="234" t="s">
        <v>218</v>
      </c>
      <c r="F27" s="234" t="s">
        <v>298</v>
      </c>
      <c r="G27" s="234" t="s">
        <v>219</v>
      </c>
      <c r="H27" s="234" t="s">
        <v>220</v>
      </c>
      <c r="J27" s="234" t="s">
        <v>222</v>
      </c>
      <c r="K27" s="234" t="s">
        <v>290</v>
      </c>
    </row>
    <row r="28" spans="5:11">
      <c r="E28" s="16">
        <v>1</v>
      </c>
      <c r="F28" s="16">
        <v>54.81049962482858</v>
      </c>
      <c r="G28" s="16">
        <v>10.18950037517142</v>
      </c>
      <c r="H28" s="16">
        <v>1.934790136806559</v>
      </c>
      <c r="J28" s="16">
        <v>4.5454545454545459</v>
      </c>
      <c r="K28" s="16">
        <v>25</v>
      </c>
    </row>
    <row r="29" spans="5:11">
      <c r="E29" s="16">
        <v>2</v>
      </c>
      <c r="F29" s="16">
        <v>42.746177132655433</v>
      </c>
      <c r="G29" s="16">
        <v>-4.7461771326554327</v>
      </c>
      <c r="H29" s="16">
        <v>-0.90120774971207374</v>
      </c>
      <c r="J29" s="16">
        <v>13.636363636363637</v>
      </c>
      <c r="K29" s="16">
        <v>33</v>
      </c>
    </row>
    <row r="30" spans="5:11">
      <c r="E30" s="16">
        <v>3</v>
      </c>
      <c r="F30" s="16">
        <v>56.295169344614344</v>
      </c>
      <c r="G30" s="16">
        <v>-5.2951693446143437</v>
      </c>
      <c r="H30" s="16">
        <v>-1.005450811469049</v>
      </c>
      <c r="J30" s="16">
        <v>22.72727272727273</v>
      </c>
      <c r="K30" s="16">
        <v>38</v>
      </c>
    </row>
    <row r="31" spans="5:11">
      <c r="E31" s="16">
        <v>4</v>
      </c>
      <c r="F31" s="16">
        <v>44.672126057595285</v>
      </c>
      <c r="G31" s="16">
        <v>-6.6721260575952854</v>
      </c>
      <c r="H31" s="16">
        <v>-1.2669084069343504</v>
      </c>
      <c r="J31" s="16">
        <v>31.81818181818182</v>
      </c>
      <c r="K31" s="16">
        <v>38</v>
      </c>
    </row>
    <row r="32" spans="5:11">
      <c r="E32" s="16">
        <v>5</v>
      </c>
      <c r="F32" s="16">
        <v>57.084245387978996</v>
      </c>
      <c r="G32" s="16">
        <v>-2.0842453879789957</v>
      </c>
      <c r="H32" s="16">
        <v>-0.39575811088563606</v>
      </c>
      <c r="J32" s="16">
        <v>40.909090909090914</v>
      </c>
      <c r="K32" s="16">
        <v>43</v>
      </c>
    </row>
    <row r="33" spans="5:15">
      <c r="E33" s="16">
        <v>6</v>
      </c>
      <c r="F33" s="16">
        <v>41.261507412869676</v>
      </c>
      <c r="G33" s="16">
        <v>1.7384925871303238</v>
      </c>
      <c r="H33" s="16">
        <v>0.33010630419987413</v>
      </c>
      <c r="J33" s="16">
        <v>50.000000000000007</v>
      </c>
      <c r="K33" s="16">
        <v>49</v>
      </c>
    </row>
    <row r="34" spans="5:15">
      <c r="E34" s="16">
        <v>7</v>
      </c>
      <c r="F34" s="16">
        <v>21.332557116613632</v>
      </c>
      <c r="G34" s="16">
        <v>3.6674428833863679</v>
      </c>
      <c r="H34" s="16">
        <v>0.69637686410684085</v>
      </c>
      <c r="J34" s="16">
        <v>59.090909090909093</v>
      </c>
      <c r="K34" s="16">
        <v>51</v>
      </c>
    </row>
    <row r="35" spans="5:15">
      <c r="E35" s="16">
        <v>8</v>
      </c>
      <c r="F35" s="16">
        <v>34.092473285207895</v>
      </c>
      <c r="G35" s="16">
        <v>-1.0924732852078947</v>
      </c>
      <c r="H35" s="16">
        <v>-0.20743966427395458</v>
      </c>
      <c r="J35" s="16">
        <v>68.181818181818187</v>
      </c>
      <c r="K35" s="16">
        <v>51</v>
      </c>
    </row>
    <row r="36" spans="5:15">
      <c r="E36" s="16">
        <v>9</v>
      </c>
      <c r="F36" s="16">
        <v>67.222618955212283</v>
      </c>
      <c r="G36" s="16">
        <v>3.7773810447877167</v>
      </c>
      <c r="H36" s="16">
        <v>0.71725200641080289</v>
      </c>
      <c r="J36" s="16">
        <v>77.27272727272728</v>
      </c>
      <c r="K36" s="16">
        <v>55</v>
      </c>
    </row>
    <row r="37" spans="5:15">
      <c r="E37" s="16">
        <v>10</v>
      </c>
      <c r="F37" s="16">
        <v>46.156795777381042</v>
      </c>
      <c r="G37" s="16">
        <v>4.843204222618958</v>
      </c>
      <c r="H37" s="16">
        <v>0.91963132788101942</v>
      </c>
      <c r="J37" s="16">
        <v>86.363636363636374</v>
      </c>
      <c r="K37" s="16">
        <v>65</v>
      </c>
    </row>
    <row r="38" spans="5:15" ht="15.75" thickBot="1">
      <c r="E38" s="17">
        <v>11</v>
      </c>
      <c r="F38" s="17">
        <v>53.325829905042831</v>
      </c>
      <c r="G38" s="17">
        <v>-4.3258299050428306</v>
      </c>
      <c r="H38" s="17">
        <v>-0.82139189613003172</v>
      </c>
      <c r="J38" s="17">
        <v>95.454545454545467</v>
      </c>
      <c r="K38" s="17">
        <v>71</v>
      </c>
      <c r="N38" t="s">
        <v>465</v>
      </c>
    </row>
    <row r="40" spans="5:15">
      <c r="N40">
        <v>1</v>
      </c>
      <c r="O40">
        <v>-1</v>
      </c>
    </row>
    <row r="41" spans="5:15">
      <c r="N41">
        <f>N40+1</f>
        <v>2</v>
      </c>
      <c r="O41">
        <v>7</v>
      </c>
    </row>
    <row r="42" spans="5:15">
      <c r="N42">
        <f t="shared" ref="N42:N59" si="0">N41+1</f>
        <v>3</v>
      </c>
      <c r="O42">
        <v>8</v>
      </c>
    </row>
    <row r="43" spans="5:15">
      <c r="N43">
        <f t="shared" si="0"/>
        <v>4</v>
      </c>
      <c r="O43">
        <v>7</v>
      </c>
    </row>
    <row r="44" spans="5:15">
      <c r="N44">
        <f t="shared" si="0"/>
        <v>5</v>
      </c>
      <c r="O44">
        <v>0</v>
      </c>
    </row>
    <row r="45" spans="5:15">
      <c r="N45">
        <f t="shared" si="0"/>
        <v>6</v>
      </c>
      <c r="O45">
        <v>-7</v>
      </c>
    </row>
    <row r="46" spans="5:15">
      <c r="N46">
        <f t="shared" si="0"/>
        <v>7</v>
      </c>
      <c r="O46">
        <v>-4</v>
      </c>
    </row>
    <row r="47" spans="5:15">
      <c r="N47">
        <f t="shared" si="0"/>
        <v>8</v>
      </c>
      <c r="O47">
        <v>1</v>
      </c>
    </row>
    <row r="48" spans="5:15">
      <c r="N48">
        <f t="shared" si="0"/>
        <v>9</v>
      </c>
      <c r="O48">
        <v>8</v>
      </c>
    </row>
    <row r="49" spans="14:15">
      <c r="N49">
        <f t="shared" si="0"/>
        <v>10</v>
      </c>
      <c r="O49">
        <v>5</v>
      </c>
    </row>
    <row r="50" spans="14:15">
      <c r="N50">
        <f t="shared" si="0"/>
        <v>11</v>
      </c>
      <c r="O50">
        <v>6</v>
      </c>
    </row>
    <row r="51" spans="14:15">
      <c r="N51">
        <f t="shared" si="0"/>
        <v>12</v>
      </c>
      <c r="O51">
        <v>-2</v>
      </c>
    </row>
    <row r="52" spans="14:15">
      <c r="N52">
        <f t="shared" si="0"/>
        <v>13</v>
      </c>
      <c r="O52">
        <v>-1</v>
      </c>
    </row>
    <row r="53" spans="14:15">
      <c r="N53">
        <f t="shared" si="0"/>
        <v>14</v>
      </c>
      <c r="O53">
        <v>7</v>
      </c>
    </row>
    <row r="54" spans="14:15">
      <c r="N54">
        <f t="shared" si="0"/>
        <v>15</v>
      </c>
      <c r="O54">
        <v>0</v>
      </c>
    </row>
    <row r="55" spans="14:15">
      <c r="N55">
        <f t="shared" si="0"/>
        <v>16</v>
      </c>
      <c r="O55">
        <v>-4</v>
      </c>
    </row>
    <row r="56" spans="14:15">
      <c r="N56">
        <f t="shared" si="0"/>
        <v>17</v>
      </c>
      <c r="O56">
        <v>6</v>
      </c>
    </row>
    <row r="57" spans="14:15">
      <c r="N57">
        <f t="shared" si="0"/>
        <v>18</v>
      </c>
      <c r="O57">
        <v>5</v>
      </c>
    </row>
    <row r="58" spans="14:15">
      <c r="N58">
        <f t="shared" si="0"/>
        <v>19</v>
      </c>
      <c r="O58">
        <v>-8</v>
      </c>
    </row>
    <row r="59" spans="14:15">
      <c r="N59">
        <f t="shared" si="0"/>
        <v>20</v>
      </c>
      <c r="O59">
        <v>-3</v>
      </c>
    </row>
    <row r="61" spans="14:15">
      <c r="N61">
        <v>1</v>
      </c>
      <c r="O61">
        <f>INT(O40*0.3)</f>
        <v>-1</v>
      </c>
    </row>
    <row r="62" spans="14:15">
      <c r="N62">
        <f>N61+1</f>
        <v>2</v>
      </c>
      <c r="O62">
        <v>1</v>
      </c>
    </row>
    <row r="63" spans="14:15">
      <c r="N63">
        <f t="shared" ref="N63:N80" si="1">N62+1</f>
        <v>3</v>
      </c>
      <c r="O63">
        <v>-2</v>
      </c>
    </row>
    <row r="64" spans="14:15">
      <c r="N64">
        <f t="shared" si="1"/>
        <v>4</v>
      </c>
      <c r="O64">
        <v>1</v>
      </c>
    </row>
    <row r="65" spans="14:15">
      <c r="N65">
        <f t="shared" si="1"/>
        <v>5</v>
      </c>
      <c r="O65">
        <f>INT(O44*0.3)</f>
        <v>0</v>
      </c>
    </row>
    <row r="66" spans="14:15">
      <c r="N66">
        <f t="shared" si="1"/>
        <v>6</v>
      </c>
      <c r="O66">
        <f>INT(O45*0.3)</f>
        <v>-3</v>
      </c>
    </row>
    <row r="67" spans="14:15">
      <c r="N67">
        <f t="shared" si="1"/>
        <v>7</v>
      </c>
      <c r="O67">
        <v>-1</v>
      </c>
    </row>
    <row r="68" spans="14:15">
      <c r="N68">
        <f t="shared" si="1"/>
        <v>8</v>
      </c>
      <c r="O68">
        <f t="shared" ref="O68:O74" si="2">INT(O47*0.6)</f>
        <v>0</v>
      </c>
    </row>
    <row r="69" spans="14:15">
      <c r="N69">
        <f t="shared" si="1"/>
        <v>9</v>
      </c>
      <c r="O69">
        <f t="shared" si="2"/>
        <v>4</v>
      </c>
    </row>
    <row r="70" spans="14:15">
      <c r="N70">
        <f t="shared" si="1"/>
        <v>10</v>
      </c>
      <c r="O70">
        <f t="shared" si="2"/>
        <v>3</v>
      </c>
    </row>
    <row r="71" spans="14:15">
      <c r="N71">
        <f t="shared" si="1"/>
        <v>11</v>
      </c>
      <c r="O71">
        <f t="shared" si="2"/>
        <v>3</v>
      </c>
    </row>
    <row r="72" spans="14:15">
      <c r="N72">
        <f t="shared" si="1"/>
        <v>12</v>
      </c>
      <c r="O72">
        <f t="shared" si="2"/>
        <v>-2</v>
      </c>
    </row>
    <row r="73" spans="14:15">
      <c r="N73">
        <f t="shared" si="1"/>
        <v>13</v>
      </c>
      <c r="O73">
        <f t="shared" si="2"/>
        <v>-1</v>
      </c>
    </row>
    <row r="74" spans="14:15">
      <c r="N74">
        <f t="shared" si="1"/>
        <v>14</v>
      </c>
      <c r="O74">
        <f t="shared" si="2"/>
        <v>4</v>
      </c>
    </row>
    <row r="75" spans="14:15">
      <c r="N75">
        <f t="shared" si="1"/>
        <v>15</v>
      </c>
      <c r="O75">
        <f>INT(O54)</f>
        <v>0</v>
      </c>
    </row>
    <row r="76" spans="14:15">
      <c r="N76">
        <f t="shared" si="1"/>
        <v>16</v>
      </c>
      <c r="O76">
        <f>INT(O55)</f>
        <v>-4</v>
      </c>
    </row>
    <row r="77" spans="14:15">
      <c r="N77">
        <f t="shared" si="1"/>
        <v>17</v>
      </c>
      <c r="O77">
        <v>8</v>
      </c>
    </row>
    <row r="78" spans="14:15">
      <c r="N78">
        <f t="shared" si="1"/>
        <v>18</v>
      </c>
      <c r="O78">
        <f>INT(O57)</f>
        <v>5</v>
      </c>
    </row>
    <row r="79" spans="14:15">
      <c r="N79">
        <f t="shared" si="1"/>
        <v>19</v>
      </c>
      <c r="O79">
        <f>INT(O58)</f>
        <v>-8</v>
      </c>
    </row>
    <row r="80" spans="14:15">
      <c r="N80">
        <f t="shared" si="1"/>
        <v>20</v>
      </c>
      <c r="O80">
        <f>INT(O59)</f>
        <v>-3</v>
      </c>
    </row>
    <row r="82" spans="14:15">
      <c r="N82">
        <v>1</v>
      </c>
      <c r="O82">
        <f>INT(O61*0.3)</f>
        <v>-1</v>
      </c>
    </row>
    <row r="83" spans="14:15">
      <c r="N83">
        <f>N82+1</f>
        <v>2</v>
      </c>
      <c r="O83">
        <v>1</v>
      </c>
    </row>
    <row r="84" spans="14:15">
      <c r="N84">
        <f t="shared" ref="N84:N101" si="3">N83+1</f>
        <v>3</v>
      </c>
      <c r="O84">
        <v>3</v>
      </c>
    </row>
    <row r="85" spans="14:15">
      <c r="N85">
        <f t="shared" si="3"/>
        <v>4</v>
      </c>
      <c r="O85">
        <v>6</v>
      </c>
    </row>
    <row r="86" spans="14:15">
      <c r="N86">
        <f t="shared" si="3"/>
        <v>5</v>
      </c>
      <c r="O86">
        <v>6</v>
      </c>
    </row>
    <row r="87" spans="14:15">
      <c r="N87">
        <f t="shared" si="3"/>
        <v>6</v>
      </c>
      <c r="O87">
        <v>4</v>
      </c>
    </row>
    <row r="88" spans="14:15">
      <c r="N88">
        <f t="shared" si="3"/>
        <v>7</v>
      </c>
      <c r="O88">
        <v>3</v>
      </c>
    </row>
    <row r="89" spans="14:15">
      <c r="N89">
        <f t="shared" si="3"/>
        <v>8</v>
      </c>
      <c r="O89">
        <v>1</v>
      </c>
    </row>
    <row r="90" spans="14:15">
      <c r="N90">
        <f t="shared" si="3"/>
        <v>9</v>
      </c>
      <c r="O90">
        <f t="shared" ref="O90:O95" si="4">INT(O69*0.6)</f>
        <v>2</v>
      </c>
    </row>
    <row r="91" spans="14:15">
      <c r="N91">
        <f t="shared" si="3"/>
        <v>10</v>
      </c>
      <c r="O91">
        <f t="shared" si="4"/>
        <v>1</v>
      </c>
    </row>
    <row r="92" spans="14:15">
      <c r="N92">
        <f t="shared" si="3"/>
        <v>11</v>
      </c>
      <c r="O92">
        <f t="shared" si="4"/>
        <v>1</v>
      </c>
    </row>
    <row r="93" spans="14:15">
      <c r="N93">
        <f t="shared" si="3"/>
        <v>12</v>
      </c>
      <c r="O93">
        <f t="shared" si="4"/>
        <v>-2</v>
      </c>
    </row>
    <row r="94" spans="14:15">
      <c r="N94">
        <f t="shared" si="3"/>
        <v>13</v>
      </c>
      <c r="O94">
        <f t="shared" si="4"/>
        <v>-1</v>
      </c>
    </row>
    <row r="95" spans="14:15">
      <c r="N95">
        <f t="shared" si="3"/>
        <v>14</v>
      </c>
      <c r="O95">
        <f t="shared" si="4"/>
        <v>2</v>
      </c>
    </row>
    <row r="96" spans="14:15">
      <c r="N96">
        <f t="shared" si="3"/>
        <v>15</v>
      </c>
      <c r="O96">
        <f>INT(O75)</f>
        <v>0</v>
      </c>
    </row>
    <row r="97" spans="14:15">
      <c r="N97">
        <f t="shared" si="3"/>
        <v>16</v>
      </c>
      <c r="O97">
        <v>6</v>
      </c>
    </row>
    <row r="98" spans="14:15">
      <c r="N98">
        <f t="shared" si="3"/>
        <v>17</v>
      </c>
      <c r="O98">
        <v>8</v>
      </c>
    </row>
    <row r="99" spans="14:15">
      <c r="N99">
        <f t="shared" si="3"/>
        <v>18</v>
      </c>
      <c r="O99">
        <v>-3</v>
      </c>
    </row>
    <row r="100" spans="14:15">
      <c r="N100">
        <f t="shared" si="3"/>
        <v>19</v>
      </c>
      <c r="O100">
        <v>6</v>
      </c>
    </row>
    <row r="101" spans="14:15">
      <c r="N101">
        <f t="shared" si="3"/>
        <v>20</v>
      </c>
      <c r="O101">
        <v>4</v>
      </c>
    </row>
  </sheetData>
  <sortState ref="K28:K38">
    <sortCondition ref="K28"/>
  </sortState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79"/>
  <dimension ref="A1:G76"/>
  <sheetViews>
    <sheetView workbookViewId="0"/>
  </sheetViews>
  <sheetFormatPr defaultRowHeight="15"/>
  <cols>
    <col min="1" max="1" width="16.28515625" customWidth="1"/>
    <col min="2" max="2" width="13.28515625" customWidth="1"/>
    <col min="3" max="3" width="14.28515625" customWidth="1"/>
    <col min="6" max="6" width="12.140625" customWidth="1"/>
    <col min="7" max="7" width="12.5703125" customWidth="1"/>
  </cols>
  <sheetData>
    <row r="1" spans="1:7">
      <c r="A1" t="s">
        <v>206</v>
      </c>
    </row>
    <row r="2" spans="1:7" ht="15.75" thickBot="1"/>
    <row r="3" spans="1:7">
      <c r="A3" s="18" t="s">
        <v>207</v>
      </c>
      <c r="B3" s="18"/>
    </row>
    <row r="4" spans="1:7">
      <c r="A4" s="16" t="s">
        <v>208</v>
      </c>
      <c r="B4" s="16">
        <v>0.58034505841999007</v>
      </c>
    </row>
    <row r="5" spans="1:7">
      <c r="A5" s="16" t="s">
        <v>201</v>
      </c>
      <c r="B5" s="16">
        <v>0.33680038683250163</v>
      </c>
    </row>
    <row r="6" spans="1:7">
      <c r="A6" s="16" t="s">
        <v>209</v>
      </c>
      <c r="B6" s="16">
        <v>0.29354823814766479</v>
      </c>
    </row>
    <row r="7" spans="1:7">
      <c r="A7" s="16" t="s">
        <v>9</v>
      </c>
      <c r="B7" s="16">
        <v>2.4702510013005274</v>
      </c>
    </row>
    <row r="8" spans="1:7" ht="15.75" thickBot="1">
      <c r="A8" s="17" t="s">
        <v>42</v>
      </c>
      <c r="B8" s="17">
        <v>50</v>
      </c>
    </row>
    <row r="10" spans="1:7" ht="15.75" thickBot="1">
      <c r="A10" t="s">
        <v>210</v>
      </c>
    </row>
    <row r="11" spans="1:7">
      <c r="A11" s="15"/>
      <c r="B11" s="15" t="s">
        <v>26</v>
      </c>
      <c r="C11" s="15" t="s">
        <v>137</v>
      </c>
      <c r="D11" s="15" t="s">
        <v>156</v>
      </c>
      <c r="E11" s="15" t="s">
        <v>63</v>
      </c>
      <c r="F11" s="15" t="s">
        <v>213</v>
      </c>
    </row>
    <row r="12" spans="1:7">
      <c r="A12" s="16" t="s">
        <v>138</v>
      </c>
      <c r="B12" s="16">
        <v>3</v>
      </c>
      <c r="C12" s="16">
        <v>142.5503595663921</v>
      </c>
      <c r="D12" s="16">
        <v>47.516786522130701</v>
      </c>
      <c r="E12" s="16">
        <v>7.7869053231701217</v>
      </c>
      <c r="F12" s="16">
        <v>2.6221319906024227E-4</v>
      </c>
    </row>
    <row r="13" spans="1:7">
      <c r="A13" s="16" t="s">
        <v>211</v>
      </c>
      <c r="B13" s="16">
        <v>46</v>
      </c>
      <c r="C13" s="16">
        <v>280.69844043360786</v>
      </c>
      <c r="D13" s="16">
        <v>6.1021400094262574</v>
      </c>
      <c r="E13" s="16"/>
      <c r="F13" s="16"/>
    </row>
    <row r="14" spans="1:7" ht="15.75" thickBot="1">
      <c r="A14" s="17" t="s">
        <v>1</v>
      </c>
      <c r="B14" s="17">
        <v>49</v>
      </c>
      <c r="C14" s="17">
        <v>423.24879999999996</v>
      </c>
      <c r="D14" s="17"/>
      <c r="E14" s="17"/>
      <c r="F14" s="17"/>
    </row>
    <row r="15" spans="1:7" ht="15.75" thickBot="1"/>
    <row r="16" spans="1:7">
      <c r="A16" s="15"/>
      <c r="B16" s="15" t="s">
        <v>214</v>
      </c>
      <c r="C16" s="15" t="s">
        <v>9</v>
      </c>
      <c r="D16" s="15" t="s">
        <v>45</v>
      </c>
      <c r="E16" s="15" t="s">
        <v>56</v>
      </c>
      <c r="F16" s="15" t="s">
        <v>215</v>
      </c>
      <c r="G16" s="15" t="s">
        <v>216</v>
      </c>
    </row>
    <row r="17" spans="1:7">
      <c r="A17" s="16" t="s">
        <v>212</v>
      </c>
      <c r="B17" s="16">
        <v>0.43712521875191612</v>
      </c>
      <c r="C17" s="16">
        <v>3.9875336904973384</v>
      </c>
      <c r="D17" s="16">
        <v>0.10962295310347495</v>
      </c>
      <c r="E17" s="16">
        <v>0.91318525331884337</v>
      </c>
      <c r="F17" s="16">
        <v>-7.5893637973931281</v>
      </c>
      <c r="G17" s="16">
        <v>8.4636142348969603</v>
      </c>
    </row>
    <row r="18" spans="1:7">
      <c r="A18" s="16" t="s">
        <v>67</v>
      </c>
      <c r="B18" s="16">
        <v>1.279369653049887</v>
      </c>
      <c r="C18" s="16">
        <v>0.3006729090126502</v>
      </c>
      <c r="D18" s="16">
        <v>4.255021369404651</v>
      </c>
      <c r="E18" s="16">
        <v>1.0162763056825428E-4</v>
      </c>
      <c r="F18" s="16">
        <v>0.67414647778402126</v>
      </c>
      <c r="G18" s="16">
        <v>1.8845928283157529</v>
      </c>
    </row>
    <row r="19" spans="1:7">
      <c r="A19" s="16" t="s">
        <v>68</v>
      </c>
      <c r="B19" s="16">
        <v>3.6326923072065739E-2</v>
      </c>
      <c r="C19" s="16">
        <v>3.3602531929280269E-2</v>
      </c>
      <c r="D19" s="16">
        <v>1.0810769601683352</v>
      </c>
      <c r="E19" s="16">
        <v>0.28529815262504604</v>
      </c>
      <c r="F19" s="16">
        <v>-3.1311465560932131E-2</v>
      </c>
      <c r="G19" s="16">
        <v>0.10396531170506361</v>
      </c>
    </row>
    <row r="20" spans="1:7" ht="15.75" thickBot="1">
      <c r="A20" s="17" t="s">
        <v>69</v>
      </c>
      <c r="B20" s="17">
        <v>1.4214989878583481E-3</v>
      </c>
      <c r="C20" s="17">
        <v>2.2421016620427178E-3</v>
      </c>
      <c r="D20" s="17">
        <v>0.63400291428501021</v>
      </c>
      <c r="E20" s="17">
        <v>0.52921921764794777</v>
      </c>
      <c r="F20" s="17">
        <v>-3.091617579997377E-3</v>
      </c>
      <c r="G20" s="17">
        <v>5.9346155557140736E-3</v>
      </c>
    </row>
    <row r="24" spans="1:7">
      <c r="A24" t="s">
        <v>217</v>
      </c>
      <c r="F24" t="s">
        <v>221</v>
      </c>
    </row>
    <row r="25" spans="1:7" ht="15.75" thickBot="1"/>
    <row r="26" spans="1:7">
      <c r="A26" s="15" t="s">
        <v>218</v>
      </c>
      <c r="B26" s="15" t="s">
        <v>323</v>
      </c>
      <c r="C26" s="15" t="s">
        <v>219</v>
      </c>
      <c r="D26" s="15" t="s">
        <v>220</v>
      </c>
      <c r="F26" s="15" t="s">
        <v>222</v>
      </c>
      <c r="G26" s="15" t="s">
        <v>66</v>
      </c>
    </row>
    <row r="27" spans="1:7">
      <c r="A27" s="16">
        <v>1</v>
      </c>
      <c r="B27" s="16">
        <v>15.168482465280009</v>
      </c>
      <c r="C27" s="16">
        <v>0.53151753471999008</v>
      </c>
      <c r="D27" s="16">
        <v>0.22207293714662787</v>
      </c>
      <c r="F27" s="16">
        <v>1</v>
      </c>
      <c r="G27" s="16">
        <v>7.6</v>
      </c>
    </row>
    <row r="28" spans="1:7">
      <c r="A28" s="16">
        <v>2</v>
      </c>
      <c r="B28" s="16">
        <v>12.770194096327922</v>
      </c>
      <c r="C28" s="16">
        <v>-4.3701940963279213</v>
      </c>
      <c r="D28" s="16">
        <v>-1.8259074733699368</v>
      </c>
      <c r="F28" s="16">
        <v>3</v>
      </c>
      <c r="G28" s="16">
        <v>8.1</v>
      </c>
    </row>
    <row r="29" spans="1:7">
      <c r="A29" s="16">
        <v>3</v>
      </c>
      <c r="B29" s="16">
        <v>12.453734351399657</v>
      </c>
      <c r="C29" s="16">
        <v>2.2462656486003425</v>
      </c>
      <c r="D29" s="16">
        <v>0.93851054313578841</v>
      </c>
      <c r="F29" s="16">
        <v>5</v>
      </c>
      <c r="G29" s="16">
        <v>8.4</v>
      </c>
    </row>
    <row r="30" spans="1:7">
      <c r="A30" s="16">
        <v>4</v>
      </c>
      <c r="B30" s="16">
        <v>14.998941387354511</v>
      </c>
      <c r="C30" s="16">
        <v>2.3010586126454893</v>
      </c>
      <c r="D30" s="16">
        <v>0.96140354979244669</v>
      </c>
      <c r="F30" s="16">
        <v>7</v>
      </c>
      <c r="G30" s="16">
        <v>8.6999999999999993</v>
      </c>
    </row>
    <row r="31" spans="1:7">
      <c r="A31" s="16">
        <v>5</v>
      </c>
      <c r="B31" s="16">
        <v>10.360946134637627</v>
      </c>
      <c r="C31" s="16">
        <v>2.9390538653623732</v>
      </c>
      <c r="D31" s="16">
        <v>1.2279638613559833</v>
      </c>
      <c r="F31" s="16">
        <v>9</v>
      </c>
      <c r="G31" s="16">
        <v>9.1</v>
      </c>
    </row>
    <row r="32" spans="1:7">
      <c r="A32" s="16">
        <v>6</v>
      </c>
      <c r="B32" s="16">
        <v>11.483693052508372</v>
      </c>
      <c r="C32" s="16">
        <v>-8.3693052508371224E-2</v>
      </c>
      <c r="D32" s="16">
        <v>-3.4967730648984632E-2</v>
      </c>
      <c r="F32" s="16">
        <v>11</v>
      </c>
      <c r="G32" s="16">
        <v>9.3000000000000007</v>
      </c>
    </row>
    <row r="33" spans="1:7">
      <c r="A33" s="16">
        <v>7</v>
      </c>
      <c r="B33" s="16">
        <v>11.79470492807466</v>
      </c>
      <c r="C33" s="16">
        <v>-2.4947049280746594</v>
      </c>
      <c r="D33" s="16">
        <v>-1.0423107696410505</v>
      </c>
      <c r="F33" s="16">
        <v>13</v>
      </c>
      <c r="G33" s="16">
        <v>9.4</v>
      </c>
    </row>
    <row r="34" spans="1:7">
      <c r="A34" s="16">
        <v>8</v>
      </c>
      <c r="B34" s="16">
        <v>14.733447771089935</v>
      </c>
      <c r="C34" s="16">
        <v>-4.733447771089935</v>
      </c>
      <c r="D34" s="16">
        <v>-1.9776782150938266</v>
      </c>
      <c r="F34" s="16">
        <v>15</v>
      </c>
      <c r="G34" s="16">
        <v>9.6</v>
      </c>
    </row>
    <row r="35" spans="1:7">
      <c r="A35" s="16">
        <v>9</v>
      </c>
      <c r="B35" s="16">
        <v>13.702989401864992</v>
      </c>
      <c r="C35" s="16">
        <v>-0.5029894018649923</v>
      </c>
      <c r="D35" s="16">
        <v>-0.21015361964423146</v>
      </c>
      <c r="F35" s="16">
        <v>17</v>
      </c>
      <c r="G35" s="16">
        <v>9.6</v>
      </c>
    </row>
    <row r="36" spans="1:7">
      <c r="A36" s="16">
        <v>10</v>
      </c>
      <c r="B36" s="16">
        <v>13.876437321067451</v>
      </c>
      <c r="C36" s="16">
        <v>0.82356267893254831</v>
      </c>
      <c r="D36" s="16">
        <v>0.34409209685103892</v>
      </c>
      <c r="F36" s="16">
        <v>19</v>
      </c>
      <c r="G36" s="16">
        <v>10</v>
      </c>
    </row>
    <row r="37" spans="1:7">
      <c r="A37" s="16">
        <v>11</v>
      </c>
      <c r="B37" s="16">
        <v>9.0671031505498636</v>
      </c>
      <c r="C37" s="16">
        <v>3.2896849450136045E-2</v>
      </c>
      <c r="D37" s="16">
        <v>1.3744607662117428E-2</v>
      </c>
      <c r="F37" s="16">
        <v>21</v>
      </c>
      <c r="G37" s="16">
        <v>10</v>
      </c>
    </row>
    <row r="38" spans="1:7">
      <c r="A38" s="16">
        <v>12</v>
      </c>
      <c r="B38" s="16">
        <v>12.913696631816233</v>
      </c>
      <c r="C38" s="16">
        <v>-0.31369663181623331</v>
      </c>
      <c r="D38" s="16">
        <v>-0.13106535128165592</v>
      </c>
      <c r="F38" s="16">
        <v>23</v>
      </c>
      <c r="G38" s="16">
        <v>10.199999999999999</v>
      </c>
    </row>
    <row r="39" spans="1:7">
      <c r="A39" s="16">
        <v>13</v>
      </c>
      <c r="B39" s="16">
        <v>13.409129334359276</v>
      </c>
      <c r="C39" s="16">
        <v>-1.2091293343592771</v>
      </c>
      <c r="D39" s="16">
        <v>-0.50518540806517076</v>
      </c>
      <c r="F39" s="16">
        <v>25</v>
      </c>
      <c r="G39" s="16">
        <v>10.4</v>
      </c>
    </row>
    <row r="40" spans="1:7">
      <c r="A40" s="16">
        <v>14</v>
      </c>
      <c r="B40" s="16">
        <v>14.343063758629301</v>
      </c>
      <c r="C40" s="16">
        <v>-1.243063758629301</v>
      </c>
      <c r="D40" s="16">
        <v>-0.51936352407406972</v>
      </c>
      <c r="F40" s="16">
        <v>27</v>
      </c>
      <c r="G40" s="16">
        <v>10.6</v>
      </c>
    </row>
    <row r="41" spans="1:7">
      <c r="A41" s="16">
        <v>15</v>
      </c>
      <c r="B41" s="16">
        <v>10.801749432233862</v>
      </c>
      <c r="C41" s="16">
        <v>0.69825056776613792</v>
      </c>
      <c r="D41" s="16">
        <v>0.29173553894099774</v>
      </c>
      <c r="F41" s="16">
        <v>29</v>
      </c>
      <c r="G41" s="16">
        <v>10.8</v>
      </c>
    </row>
    <row r="42" spans="1:7">
      <c r="A42" s="16">
        <v>16</v>
      </c>
      <c r="B42" s="16">
        <v>13.386495433605791</v>
      </c>
      <c r="C42" s="16">
        <v>-2.0864954336057906</v>
      </c>
      <c r="D42" s="16">
        <v>-0.87175707105874778</v>
      </c>
      <c r="F42" s="16">
        <v>31</v>
      </c>
      <c r="G42" s="16">
        <v>11.3</v>
      </c>
    </row>
    <row r="43" spans="1:7">
      <c r="A43" s="16">
        <v>17</v>
      </c>
      <c r="B43" s="16">
        <v>13.717687401385909</v>
      </c>
      <c r="C43" s="16">
        <v>3.5823125986140916</v>
      </c>
      <c r="D43" s="16">
        <v>1.4967233037207281</v>
      </c>
      <c r="F43" s="16">
        <v>33</v>
      </c>
      <c r="G43" s="16">
        <v>11.3</v>
      </c>
    </row>
    <row r="44" spans="1:7">
      <c r="A44" s="16">
        <v>18</v>
      </c>
      <c r="B44" s="16">
        <v>16.495289411657392</v>
      </c>
      <c r="C44" s="16">
        <v>0.80471058834260845</v>
      </c>
      <c r="D44" s="16">
        <v>0.33621551921213227</v>
      </c>
      <c r="F44" s="16">
        <v>35</v>
      </c>
      <c r="G44" s="16">
        <v>11.3</v>
      </c>
    </row>
    <row r="45" spans="1:7">
      <c r="A45" s="16">
        <v>19</v>
      </c>
      <c r="B45" s="16">
        <v>12.166437679535267</v>
      </c>
      <c r="C45" s="16">
        <v>0.13356232046473338</v>
      </c>
      <c r="D45" s="16">
        <v>5.5803571585550903E-2</v>
      </c>
      <c r="F45" s="16">
        <v>37</v>
      </c>
      <c r="G45" s="16">
        <v>11.4</v>
      </c>
    </row>
    <row r="46" spans="1:7">
      <c r="A46" s="16">
        <v>20</v>
      </c>
      <c r="B46" s="16">
        <v>13.887597669367663</v>
      </c>
      <c r="C46" s="16">
        <v>-5.7875976693676634</v>
      </c>
      <c r="D46" s="16">
        <v>-2.4181117827778729</v>
      </c>
      <c r="F46" s="16">
        <v>39</v>
      </c>
      <c r="G46" s="16">
        <v>11.5</v>
      </c>
    </row>
    <row r="47" spans="1:7">
      <c r="A47" s="16">
        <v>21</v>
      </c>
      <c r="B47" s="16">
        <v>10.32299043884211</v>
      </c>
      <c r="C47" s="16">
        <v>-0.32299043884211009</v>
      </c>
      <c r="D47" s="16">
        <v>-0.13494838973042075</v>
      </c>
      <c r="F47" s="16">
        <v>41</v>
      </c>
      <c r="G47" s="16">
        <v>11.7</v>
      </c>
    </row>
    <row r="48" spans="1:7">
      <c r="A48" s="16">
        <v>22</v>
      </c>
      <c r="B48" s="16">
        <v>13.615527563643827</v>
      </c>
      <c r="C48" s="16">
        <v>0.78447243635617347</v>
      </c>
      <c r="D48" s="16">
        <v>0.32775983231477501</v>
      </c>
      <c r="F48" s="16">
        <v>43</v>
      </c>
      <c r="G48" s="16">
        <v>12</v>
      </c>
    </row>
    <row r="49" spans="1:7">
      <c r="A49" s="16">
        <v>23</v>
      </c>
      <c r="B49" s="16">
        <v>10.734985254448009</v>
      </c>
      <c r="C49" s="16">
        <v>-1.1349852544480097</v>
      </c>
      <c r="D49" s="16">
        <v>-0.47420732639830038</v>
      </c>
      <c r="F49" s="16">
        <v>45</v>
      </c>
      <c r="G49" s="16">
        <v>12.1</v>
      </c>
    </row>
    <row r="50" spans="1:7">
      <c r="A50" s="16">
        <v>24</v>
      </c>
      <c r="B50" s="16">
        <v>16.613871588317885</v>
      </c>
      <c r="C50" s="16">
        <v>4.5861284116821146</v>
      </c>
      <c r="D50" s="16">
        <v>1.9161268255249209</v>
      </c>
      <c r="F50" s="16">
        <v>47</v>
      </c>
      <c r="G50" s="16">
        <v>12.2</v>
      </c>
    </row>
    <row r="51" spans="1:7">
      <c r="A51" s="16">
        <v>25</v>
      </c>
      <c r="B51" s="16">
        <v>13.711013366979067</v>
      </c>
      <c r="C51" s="16">
        <v>-0.31101336697906667</v>
      </c>
      <c r="D51" s="16">
        <v>-0.12994425843973156</v>
      </c>
      <c r="F51" s="16">
        <v>49</v>
      </c>
      <c r="G51" s="16">
        <v>12.3</v>
      </c>
    </row>
    <row r="52" spans="1:7">
      <c r="A52" s="16">
        <v>26</v>
      </c>
      <c r="B52" s="16">
        <v>11.55256440695972</v>
      </c>
      <c r="C52" s="16">
        <v>3.2474355930402812</v>
      </c>
      <c r="D52" s="16">
        <v>1.3568085965797467</v>
      </c>
      <c r="F52" s="16">
        <v>51</v>
      </c>
      <c r="G52" s="16">
        <v>12.5</v>
      </c>
    </row>
    <row r="53" spans="1:7">
      <c r="A53" s="16">
        <v>27</v>
      </c>
      <c r="B53" s="16">
        <v>11.350737524842538</v>
      </c>
      <c r="C53" s="16">
        <v>-0.55073752484253724</v>
      </c>
      <c r="D53" s="16">
        <v>-0.23010322660959318</v>
      </c>
      <c r="F53" s="16">
        <v>53</v>
      </c>
      <c r="G53" s="16">
        <v>12.6</v>
      </c>
    </row>
    <row r="54" spans="1:7">
      <c r="A54" s="16">
        <v>28</v>
      </c>
      <c r="B54" s="16">
        <v>12.630597532474958</v>
      </c>
      <c r="C54" s="16">
        <v>-1.3305975324749575</v>
      </c>
      <c r="D54" s="16">
        <v>-0.55593594358544907</v>
      </c>
      <c r="F54" s="16">
        <v>55</v>
      </c>
      <c r="G54" s="16">
        <v>13.1</v>
      </c>
    </row>
    <row r="55" spans="1:7">
      <c r="A55" s="16">
        <v>29</v>
      </c>
      <c r="B55" s="16">
        <v>11.905207608821607</v>
      </c>
      <c r="C55" s="16">
        <v>-4.3052076088216076</v>
      </c>
      <c r="D55" s="16">
        <v>-1.7987555184246073</v>
      </c>
      <c r="F55" s="16">
        <v>57</v>
      </c>
      <c r="G55" s="16">
        <v>13.2</v>
      </c>
    </row>
    <row r="56" spans="1:7">
      <c r="A56" s="16">
        <v>30</v>
      </c>
      <c r="B56" s="16">
        <v>10.703770804947251</v>
      </c>
      <c r="C56" s="16">
        <v>-2.0037708049472513</v>
      </c>
      <c r="D56" s="16">
        <v>-0.8371939568423109</v>
      </c>
      <c r="F56" s="16">
        <v>59</v>
      </c>
      <c r="G56" s="16">
        <v>13.3</v>
      </c>
    </row>
    <row r="57" spans="1:7">
      <c r="A57" s="16">
        <v>31</v>
      </c>
      <c r="B57" s="16">
        <v>11.852963983075886</v>
      </c>
      <c r="C57" s="16">
        <v>5.247036016924115</v>
      </c>
      <c r="D57" s="16">
        <v>2.1922601296800797</v>
      </c>
      <c r="F57" s="16">
        <v>61</v>
      </c>
      <c r="G57" s="16">
        <v>13.4</v>
      </c>
    </row>
    <row r="58" spans="1:7">
      <c r="A58" s="16">
        <v>32</v>
      </c>
      <c r="B58" s="16">
        <v>10.857452575591561</v>
      </c>
      <c r="C58" s="16">
        <v>2.7425474244084391</v>
      </c>
      <c r="D58" s="16">
        <v>1.1458616546360114</v>
      </c>
      <c r="F58" s="16">
        <v>63</v>
      </c>
      <c r="G58" s="16">
        <v>13.4</v>
      </c>
    </row>
    <row r="59" spans="1:7">
      <c r="A59" s="16">
        <v>33</v>
      </c>
      <c r="B59" s="16">
        <v>14.148922758102401</v>
      </c>
      <c r="C59" s="16">
        <v>0.45107724189759857</v>
      </c>
      <c r="D59" s="16">
        <v>0.18846423954944688</v>
      </c>
      <c r="F59" s="16">
        <v>65</v>
      </c>
      <c r="G59" s="16">
        <v>13.6</v>
      </c>
    </row>
    <row r="60" spans="1:7">
      <c r="A60" s="16">
        <v>34</v>
      </c>
      <c r="B60" s="16">
        <v>11.379935658704408</v>
      </c>
      <c r="C60" s="16">
        <v>0.62006434129559196</v>
      </c>
      <c r="D60" s="16">
        <v>0.25906861109284568</v>
      </c>
      <c r="F60" s="16">
        <v>67</v>
      </c>
      <c r="G60" s="16">
        <v>13.6</v>
      </c>
    </row>
    <row r="61" spans="1:7">
      <c r="A61" s="16">
        <v>35</v>
      </c>
      <c r="B61" s="16">
        <v>13.983290890156367</v>
      </c>
      <c r="C61" s="16">
        <v>-0.58329089015636626</v>
      </c>
      <c r="D61" s="16">
        <v>-0.24370432342582071</v>
      </c>
      <c r="F61" s="16">
        <v>69</v>
      </c>
      <c r="G61" s="16">
        <v>14.4</v>
      </c>
    </row>
    <row r="62" spans="1:7">
      <c r="A62" s="16">
        <v>36</v>
      </c>
      <c r="B62" s="16">
        <v>14.22089410117899</v>
      </c>
      <c r="C62" s="16">
        <v>1.6791058988210104</v>
      </c>
      <c r="D62" s="16">
        <v>0.70154595920875906</v>
      </c>
      <c r="F62" s="16">
        <v>71</v>
      </c>
      <c r="G62" s="16">
        <v>14.6</v>
      </c>
    </row>
    <row r="63" spans="1:7">
      <c r="A63" s="16">
        <v>37</v>
      </c>
      <c r="B63" s="16">
        <v>11.157006478778396</v>
      </c>
      <c r="C63" s="16">
        <v>2.4429935212216041</v>
      </c>
      <c r="D63" s="16">
        <v>1.0207052660523646</v>
      </c>
      <c r="F63" s="16">
        <v>73</v>
      </c>
      <c r="G63" s="16">
        <v>14.7</v>
      </c>
    </row>
    <row r="64" spans="1:7">
      <c r="A64" s="16">
        <v>38</v>
      </c>
      <c r="B64" s="16">
        <v>13.855600457391626</v>
      </c>
      <c r="C64" s="16">
        <v>-1.7556004573916262</v>
      </c>
      <c r="D64" s="16">
        <v>-0.73350609257756794</v>
      </c>
      <c r="F64" s="16">
        <v>75</v>
      </c>
      <c r="G64" s="16">
        <v>14.7</v>
      </c>
    </row>
    <row r="65" spans="1:7">
      <c r="A65" s="16">
        <v>39</v>
      </c>
      <c r="B65" s="16">
        <v>11.778733948462614</v>
      </c>
      <c r="C65" s="16">
        <v>-7.8733948462614833E-2</v>
      </c>
      <c r="D65" s="16">
        <v>-3.2895771157305742E-2</v>
      </c>
      <c r="F65" s="16">
        <v>77</v>
      </c>
      <c r="G65" s="16">
        <v>14.8</v>
      </c>
    </row>
    <row r="66" spans="1:7">
      <c r="A66" s="16">
        <v>40</v>
      </c>
      <c r="B66" s="16">
        <v>14.801806207135078</v>
      </c>
      <c r="C66" s="16">
        <v>0.89819379286492129</v>
      </c>
      <c r="D66" s="16">
        <v>0.37527366583204691</v>
      </c>
      <c r="F66" s="16">
        <v>79</v>
      </c>
      <c r="G66" s="16">
        <v>15.5</v>
      </c>
    </row>
    <row r="67" spans="1:7">
      <c r="A67" s="16">
        <v>41</v>
      </c>
      <c r="B67" s="16">
        <v>12.708957171550267</v>
      </c>
      <c r="C67" s="16">
        <v>-0.20895717155026716</v>
      </c>
      <c r="D67" s="16">
        <v>-8.730423700596382E-2</v>
      </c>
      <c r="F67" s="16">
        <v>81</v>
      </c>
      <c r="G67" s="16">
        <v>15.7</v>
      </c>
    </row>
    <row r="68" spans="1:7">
      <c r="A68" s="16">
        <v>42</v>
      </c>
      <c r="B68" s="16">
        <v>15.558122806587869</v>
      </c>
      <c r="C68" s="16">
        <v>-5.8122806587869391E-2</v>
      </c>
      <c r="D68" s="16">
        <v>-2.4284245638242882E-2</v>
      </c>
      <c r="F68" s="16">
        <v>83</v>
      </c>
      <c r="G68" s="16">
        <v>15.7</v>
      </c>
    </row>
    <row r="69" spans="1:7">
      <c r="A69" s="16">
        <v>43</v>
      </c>
      <c r="B69" s="16">
        <v>12.088470187680537</v>
      </c>
      <c r="C69" s="16">
        <v>3.7115298123194638</v>
      </c>
      <c r="D69" s="16">
        <v>1.5507114495540968</v>
      </c>
      <c r="F69" s="16">
        <v>85</v>
      </c>
      <c r="G69" s="16">
        <v>15.8</v>
      </c>
    </row>
    <row r="70" spans="1:7">
      <c r="A70" s="16">
        <v>44</v>
      </c>
      <c r="B70" s="16">
        <v>10.671011249440653</v>
      </c>
      <c r="C70" s="16">
        <v>-1.0710112494406534</v>
      </c>
      <c r="D70" s="16">
        <v>-0.44747839599621864</v>
      </c>
      <c r="F70" s="16">
        <v>87</v>
      </c>
      <c r="G70" s="16">
        <v>15.9</v>
      </c>
    </row>
    <row r="71" spans="1:7">
      <c r="A71" s="16">
        <v>45</v>
      </c>
      <c r="B71" s="16">
        <v>11.15258597785637</v>
      </c>
      <c r="C71" s="16">
        <v>-0.55258597785637065</v>
      </c>
      <c r="D71" s="16">
        <v>-0.2308755273581955</v>
      </c>
      <c r="F71" s="16">
        <v>89</v>
      </c>
      <c r="G71" s="16">
        <v>17</v>
      </c>
    </row>
    <row r="72" spans="1:7">
      <c r="A72" s="16">
        <v>46</v>
      </c>
      <c r="B72" s="16">
        <v>12.557052100872401</v>
      </c>
      <c r="C72" s="16">
        <v>-2.3570521008724015</v>
      </c>
      <c r="D72" s="16">
        <v>-0.98479814654490605</v>
      </c>
      <c r="F72" s="16">
        <v>91</v>
      </c>
      <c r="G72" s="16">
        <v>17.100000000000001</v>
      </c>
    </row>
    <row r="73" spans="1:7">
      <c r="A73" s="16">
        <v>47</v>
      </c>
      <c r="B73" s="16">
        <v>9.9856930226674407</v>
      </c>
      <c r="C73" s="16">
        <v>1.31430697733256</v>
      </c>
      <c r="D73" s="16">
        <v>0.54912959912472081</v>
      </c>
      <c r="F73" s="16">
        <v>93</v>
      </c>
      <c r="G73" s="16">
        <v>17.3</v>
      </c>
    </row>
    <row r="74" spans="1:7">
      <c r="A74" s="16">
        <v>48</v>
      </c>
      <c r="B74" s="16">
        <v>13.729451814140557</v>
      </c>
      <c r="C74" s="16">
        <v>3.2705481858594432</v>
      </c>
      <c r="D74" s="16">
        <v>1.3664652514164104</v>
      </c>
      <c r="F74" s="16">
        <v>95</v>
      </c>
      <c r="G74" s="16">
        <v>17.3</v>
      </c>
    </row>
    <row r="75" spans="1:7">
      <c r="A75" s="16">
        <v>49</v>
      </c>
      <c r="B75" s="16">
        <v>12.296174498038839</v>
      </c>
      <c r="C75" s="16">
        <v>-1.8961744980388389</v>
      </c>
      <c r="D75" s="16">
        <v>-0.79223922564257931</v>
      </c>
      <c r="F75" s="16">
        <v>97</v>
      </c>
      <c r="G75" s="16">
        <v>17.3</v>
      </c>
    </row>
    <row r="76" spans="1:7" ht="15.75" thickBot="1">
      <c r="A76" s="17">
        <v>50</v>
      </c>
      <c r="B76" s="17">
        <v>13.142787209565174</v>
      </c>
      <c r="C76" s="17">
        <v>-3.742787209565174</v>
      </c>
      <c r="D76" s="17">
        <v>-1.5637710789369179</v>
      </c>
      <c r="F76" s="17">
        <v>99</v>
      </c>
      <c r="G76" s="17">
        <v>21.2</v>
      </c>
    </row>
  </sheetData>
  <sortState ref="G27:G76">
    <sortCondition ref="G27"/>
  </sortState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82"/>
  <dimension ref="A1:G74"/>
  <sheetViews>
    <sheetView workbookViewId="0"/>
  </sheetViews>
  <sheetFormatPr defaultRowHeight="15"/>
  <cols>
    <col min="1" max="1" width="17.42578125" customWidth="1"/>
    <col min="2" max="2" width="16.85546875" customWidth="1"/>
    <col min="3" max="3" width="12.5703125" customWidth="1"/>
    <col min="4" max="4" width="17.28515625" customWidth="1"/>
    <col min="6" max="7" width="12.140625" customWidth="1"/>
  </cols>
  <sheetData>
    <row r="1" spans="1:7">
      <c r="A1" t="s">
        <v>206</v>
      </c>
    </row>
    <row r="2" spans="1:7" ht="15.75" thickBot="1"/>
    <row r="3" spans="1:7">
      <c r="A3" s="18" t="s">
        <v>207</v>
      </c>
      <c r="B3" s="18"/>
    </row>
    <row r="4" spans="1:7">
      <c r="A4" s="16" t="s">
        <v>208</v>
      </c>
      <c r="B4" s="16">
        <v>0.56442956793415189</v>
      </c>
    </row>
    <row r="5" spans="1:7">
      <c r="A5" s="16" t="s">
        <v>201</v>
      </c>
      <c r="B5" s="16">
        <v>0.31858073715833335</v>
      </c>
    </row>
    <row r="6" spans="1:7">
      <c r="A6" s="16" t="s">
        <v>209</v>
      </c>
      <c r="B6" s="16">
        <v>0.30438450251579863</v>
      </c>
    </row>
    <row r="7" spans="1:7">
      <c r="A7" s="16" t="s">
        <v>9</v>
      </c>
      <c r="B7" s="16">
        <v>2.4512321956459466</v>
      </c>
    </row>
    <row r="8" spans="1:7" ht="15.75" thickBot="1">
      <c r="A8" s="17" t="s">
        <v>42</v>
      </c>
      <c r="B8" s="17">
        <v>50</v>
      </c>
    </row>
    <row r="10" spans="1:7" ht="15.75" thickBot="1">
      <c r="A10" t="s">
        <v>210</v>
      </c>
    </row>
    <row r="11" spans="1:7">
      <c r="A11" s="15"/>
      <c r="B11" s="15" t="s">
        <v>26</v>
      </c>
      <c r="C11" s="15" t="s">
        <v>137</v>
      </c>
      <c r="D11" s="15" t="s">
        <v>156</v>
      </c>
      <c r="E11" s="15" t="s">
        <v>63</v>
      </c>
      <c r="F11" s="15" t="s">
        <v>213</v>
      </c>
    </row>
    <row r="12" spans="1:7">
      <c r="A12" s="16" t="s">
        <v>138</v>
      </c>
      <c r="B12" s="16">
        <v>1</v>
      </c>
      <c r="C12" s="16">
        <v>134.83891470537998</v>
      </c>
      <c r="D12" s="16">
        <v>134.83891470537998</v>
      </c>
      <c r="E12" s="16">
        <v>22.441213827489335</v>
      </c>
      <c r="F12" s="16">
        <v>1.9607327286956678E-5</v>
      </c>
    </row>
    <row r="13" spans="1:7">
      <c r="A13" s="16" t="s">
        <v>211</v>
      </c>
      <c r="B13" s="16">
        <v>48</v>
      </c>
      <c r="C13" s="16">
        <v>288.40988529461998</v>
      </c>
      <c r="D13" s="16">
        <v>6.0085392769712493</v>
      </c>
      <c r="E13" s="16"/>
      <c r="F13" s="16"/>
    </row>
    <row r="14" spans="1:7" ht="15.75" thickBot="1">
      <c r="A14" s="17" t="s">
        <v>1</v>
      </c>
      <c r="B14" s="17">
        <v>49</v>
      </c>
      <c r="C14" s="17">
        <v>423.24879999999996</v>
      </c>
      <c r="D14" s="17"/>
      <c r="E14" s="17"/>
      <c r="F14" s="17"/>
    </row>
    <row r="15" spans="1:7" ht="15.75" thickBot="1"/>
    <row r="16" spans="1:7">
      <c r="A16" s="15"/>
      <c r="B16" s="15" t="s">
        <v>214</v>
      </c>
      <c r="C16" s="15" t="s">
        <v>9</v>
      </c>
      <c r="D16" s="15" t="s">
        <v>45</v>
      </c>
      <c r="E16" s="15" t="s">
        <v>56</v>
      </c>
      <c r="F16" s="15" t="s">
        <v>215</v>
      </c>
      <c r="G16" s="15" t="s">
        <v>216</v>
      </c>
    </row>
    <row r="17" spans="1:7">
      <c r="A17" s="16" t="s">
        <v>212</v>
      </c>
      <c r="B17" s="16">
        <v>4.2690992314261393</v>
      </c>
      <c r="C17" s="16">
        <v>1.8197942130118463</v>
      </c>
      <c r="D17" s="16">
        <v>2.3459241714812227</v>
      </c>
      <c r="E17" s="16">
        <v>2.3158321935178951E-2</v>
      </c>
      <c r="F17" s="16">
        <v>0.61015773502108672</v>
      </c>
      <c r="G17" s="16">
        <v>7.928040727831192</v>
      </c>
    </row>
    <row r="18" spans="1:7" ht="15.75" thickBot="1">
      <c r="A18" s="17" t="s">
        <v>67</v>
      </c>
      <c r="B18" s="17">
        <v>1.2390777113578131</v>
      </c>
      <c r="C18" s="17">
        <v>0.26156243574638349</v>
      </c>
      <c r="D18" s="17">
        <v>4.7372158307902028</v>
      </c>
      <c r="E18" s="17">
        <v>1.9607327286956929E-5</v>
      </c>
      <c r="F18" s="17">
        <v>0.71317118675727975</v>
      </c>
      <c r="G18" s="17">
        <v>1.7649842359583463</v>
      </c>
    </row>
    <row r="22" spans="1:7">
      <c r="A22" t="s">
        <v>217</v>
      </c>
      <c r="F22" t="s">
        <v>221</v>
      </c>
    </row>
    <row r="23" spans="1:7" ht="15.75" thickBot="1"/>
    <row r="24" spans="1:7">
      <c r="A24" s="15" t="s">
        <v>218</v>
      </c>
      <c r="B24" s="15" t="s">
        <v>323</v>
      </c>
      <c r="C24" s="15" t="s">
        <v>219</v>
      </c>
      <c r="D24" s="15" t="s">
        <v>220</v>
      </c>
      <c r="F24" s="15" t="s">
        <v>222</v>
      </c>
      <c r="G24" s="15" t="s">
        <v>66</v>
      </c>
    </row>
    <row r="25" spans="1:7">
      <c r="A25" s="16">
        <v>1</v>
      </c>
      <c r="B25" s="16">
        <v>15.420798633646458</v>
      </c>
      <c r="C25" s="16">
        <v>0.27920136635354176</v>
      </c>
      <c r="D25" s="16">
        <v>0.11508282346329814</v>
      </c>
      <c r="F25" s="16">
        <v>1</v>
      </c>
      <c r="G25" s="16">
        <v>7.6</v>
      </c>
    </row>
    <row r="26" spans="1:7">
      <c r="A26" s="16">
        <v>2</v>
      </c>
      <c r="B26" s="16">
        <v>12.81873543979505</v>
      </c>
      <c r="C26" s="16">
        <v>-4.41873543979505</v>
      </c>
      <c r="D26" s="16">
        <v>-1.8213397634488406</v>
      </c>
      <c r="F26" s="16">
        <v>3</v>
      </c>
      <c r="G26" s="16">
        <v>8.1</v>
      </c>
    </row>
    <row r="27" spans="1:7">
      <c r="A27" s="16">
        <v>3</v>
      </c>
      <c r="B27" s="16">
        <v>12.199196584116144</v>
      </c>
      <c r="C27" s="16">
        <v>2.5008034158838548</v>
      </c>
      <c r="D27" s="16">
        <v>1.0307955214737214</v>
      </c>
      <c r="F27" s="16">
        <v>5</v>
      </c>
      <c r="G27" s="16">
        <v>8.4</v>
      </c>
    </row>
    <row r="28" spans="1:7">
      <c r="A28" s="16">
        <v>4</v>
      </c>
      <c r="B28" s="16">
        <v>14.80125977796755</v>
      </c>
      <c r="C28" s="16">
        <v>2.4987402220324508</v>
      </c>
      <c r="D28" s="16">
        <v>1.0299451023770219</v>
      </c>
      <c r="F28" s="16">
        <v>7</v>
      </c>
      <c r="G28" s="16">
        <v>8.6999999999999993</v>
      </c>
    </row>
    <row r="29" spans="1:7">
      <c r="A29" s="16">
        <v>5</v>
      </c>
      <c r="B29" s="16">
        <v>10.464487788215205</v>
      </c>
      <c r="C29" s="16">
        <v>2.8355122117847955</v>
      </c>
      <c r="D29" s="16">
        <v>1.168757716191299</v>
      </c>
      <c r="F29" s="16">
        <v>9</v>
      </c>
      <c r="G29" s="16">
        <v>9.1</v>
      </c>
    </row>
    <row r="30" spans="1:7">
      <c r="A30" s="16">
        <v>6</v>
      </c>
      <c r="B30" s="16">
        <v>11.331842186165673</v>
      </c>
      <c r="C30" s="16">
        <v>6.8157813834327285E-2</v>
      </c>
      <c r="D30" s="16">
        <v>2.8093679338259177E-2</v>
      </c>
      <c r="F30" s="16">
        <v>11</v>
      </c>
      <c r="G30" s="16">
        <v>9.3000000000000007</v>
      </c>
    </row>
    <row r="31" spans="1:7">
      <c r="A31" s="16">
        <v>7</v>
      </c>
      <c r="B31" s="16">
        <v>11.951381041844581</v>
      </c>
      <c r="C31" s="16">
        <v>-2.65138104184458</v>
      </c>
      <c r="D31" s="16">
        <v>-1.0928614725551276</v>
      </c>
      <c r="F31" s="16">
        <v>13</v>
      </c>
      <c r="G31" s="16">
        <v>9.4</v>
      </c>
    </row>
    <row r="32" spans="1:7">
      <c r="A32" s="16">
        <v>8</v>
      </c>
      <c r="B32" s="16">
        <v>14.55344423569599</v>
      </c>
      <c r="C32" s="16">
        <v>-4.5534442356959897</v>
      </c>
      <c r="D32" s="16">
        <v>-1.8768648089745521</v>
      </c>
      <c r="F32" s="16">
        <v>15</v>
      </c>
      <c r="G32" s="16">
        <v>9.6</v>
      </c>
    </row>
    <row r="33" spans="1:7">
      <c r="A33" s="16">
        <v>9</v>
      </c>
      <c r="B33" s="16">
        <v>13.314366524338174</v>
      </c>
      <c r="C33" s="16">
        <v>-0.11436652433817507</v>
      </c>
      <c r="D33" s="16">
        <v>-4.7140251147106293E-2</v>
      </c>
      <c r="F33" s="16">
        <v>17</v>
      </c>
      <c r="G33" s="16">
        <v>9.6</v>
      </c>
    </row>
    <row r="34" spans="1:7">
      <c r="A34" s="16">
        <v>10</v>
      </c>
      <c r="B34" s="16">
        <v>14.305628693424424</v>
      </c>
      <c r="C34" s="16">
        <v>0.39437130657557518</v>
      </c>
      <c r="D34" s="16">
        <v>0.16255423118580817</v>
      </c>
      <c r="F34" s="16">
        <v>19</v>
      </c>
      <c r="G34" s="16">
        <v>10</v>
      </c>
    </row>
    <row r="35" spans="1:7">
      <c r="A35" s="16">
        <v>11</v>
      </c>
      <c r="B35" s="16">
        <v>11.207934415029893</v>
      </c>
      <c r="C35" s="16">
        <v>-2.1079344150298933</v>
      </c>
      <c r="D35" s="16">
        <v>-0.86886051929243557</v>
      </c>
      <c r="F35" s="16">
        <v>21</v>
      </c>
      <c r="G35" s="16">
        <v>10</v>
      </c>
    </row>
    <row r="36" spans="1:7">
      <c r="A36" s="16">
        <v>12</v>
      </c>
      <c r="B36" s="16">
        <v>12.694827668659268</v>
      </c>
      <c r="C36" s="16">
        <v>-9.4827668659268838E-2</v>
      </c>
      <c r="D36" s="16">
        <v>-3.9086613343904682E-2</v>
      </c>
      <c r="F36" s="16">
        <v>23</v>
      </c>
      <c r="G36" s="16">
        <v>10.199999999999999</v>
      </c>
    </row>
    <row r="37" spans="1:7">
      <c r="A37" s="16">
        <v>13</v>
      </c>
      <c r="B37" s="16">
        <v>13.314366524338174</v>
      </c>
      <c r="C37" s="16">
        <v>-1.1143665243381751</v>
      </c>
      <c r="D37" s="16">
        <v>-0.45932599710643396</v>
      </c>
      <c r="F37" s="16">
        <v>25</v>
      </c>
      <c r="G37" s="16">
        <v>10.4</v>
      </c>
    </row>
    <row r="38" spans="1:7">
      <c r="A38" s="16">
        <v>14</v>
      </c>
      <c r="B38" s="16">
        <v>14.181720922288644</v>
      </c>
      <c r="C38" s="16">
        <v>-1.0817209222886444</v>
      </c>
      <c r="D38" s="16">
        <v>-0.44586994527335683</v>
      </c>
      <c r="F38" s="16">
        <v>27</v>
      </c>
      <c r="G38" s="16">
        <v>10.6</v>
      </c>
    </row>
    <row r="39" spans="1:7">
      <c r="A39" s="16">
        <v>15</v>
      </c>
      <c r="B39" s="16">
        <v>10.588395559350985</v>
      </c>
      <c r="C39" s="16">
        <v>0.91160444064901469</v>
      </c>
      <c r="D39" s="16">
        <v>0.37575035638874976</v>
      </c>
      <c r="F39" s="16">
        <v>29</v>
      </c>
      <c r="G39" s="16">
        <v>10.8</v>
      </c>
    </row>
    <row r="40" spans="1:7">
      <c r="A40" s="16">
        <v>16</v>
      </c>
      <c r="B40" s="16">
        <v>13.066550982066612</v>
      </c>
      <c r="C40" s="16">
        <v>-1.7665509820666117</v>
      </c>
      <c r="D40" s="16">
        <v>-0.72814713431830924</v>
      </c>
      <c r="F40" s="16">
        <v>31</v>
      </c>
      <c r="G40" s="16">
        <v>11.3</v>
      </c>
    </row>
    <row r="41" spans="1:7">
      <c r="A41" s="16">
        <v>17</v>
      </c>
      <c r="B41" s="16">
        <v>13.562182066609738</v>
      </c>
      <c r="C41" s="16">
        <v>3.7378179333902626</v>
      </c>
      <c r="D41" s="16">
        <v>1.5406752731346181</v>
      </c>
      <c r="F41" s="16">
        <v>33</v>
      </c>
      <c r="G41" s="16">
        <v>11.3</v>
      </c>
    </row>
    <row r="42" spans="1:7">
      <c r="A42" s="16">
        <v>18</v>
      </c>
      <c r="B42" s="16">
        <v>16.535968573868487</v>
      </c>
      <c r="C42" s="16">
        <v>0.76403142613151331</v>
      </c>
      <c r="D42" s="16">
        <v>0.3149228633163868</v>
      </c>
      <c r="F42" s="16">
        <v>35</v>
      </c>
      <c r="G42" s="16">
        <v>11.3</v>
      </c>
    </row>
    <row r="43" spans="1:7">
      <c r="A43" s="16">
        <v>19</v>
      </c>
      <c r="B43" s="16">
        <v>12.075288812980361</v>
      </c>
      <c r="C43" s="16">
        <v>0.22471118701963988</v>
      </c>
      <c r="D43" s="16">
        <v>9.2622748247096251E-2</v>
      </c>
      <c r="F43" s="16">
        <v>37</v>
      </c>
      <c r="G43" s="16">
        <v>11.4</v>
      </c>
    </row>
    <row r="44" spans="1:7">
      <c r="A44" s="16">
        <v>20</v>
      </c>
      <c r="B44" s="16">
        <v>14.181720922288644</v>
      </c>
      <c r="C44" s="16">
        <v>-6.0817209222886444</v>
      </c>
      <c r="D44" s="16">
        <v>-2.5067986750699953</v>
      </c>
      <c r="F44" s="16">
        <v>39</v>
      </c>
      <c r="G44" s="16">
        <v>11.5</v>
      </c>
    </row>
    <row r="45" spans="1:7">
      <c r="A45" s="16">
        <v>21</v>
      </c>
      <c r="B45" s="16">
        <v>10.216672245943641</v>
      </c>
      <c r="C45" s="16">
        <v>-0.21667224594364143</v>
      </c>
      <c r="D45" s="16">
        <v>-8.9309211322962753E-2</v>
      </c>
      <c r="F45" s="16">
        <v>41</v>
      </c>
      <c r="G45" s="16">
        <v>11.7</v>
      </c>
    </row>
    <row r="46" spans="1:7">
      <c r="A46" s="16">
        <v>22</v>
      </c>
      <c r="B46" s="16">
        <v>13.438274295473956</v>
      </c>
      <c r="C46" s="16">
        <v>0.96172570452604411</v>
      </c>
      <c r="D46" s="16">
        <v>0.39640962692832743</v>
      </c>
      <c r="F46" s="16">
        <v>43</v>
      </c>
      <c r="G46" s="16">
        <v>12</v>
      </c>
    </row>
    <row r="47" spans="1:7">
      <c r="A47" s="16">
        <v>23</v>
      </c>
      <c r="B47" s="16">
        <v>10.712303330486767</v>
      </c>
      <c r="C47" s="16">
        <v>-1.1123033304867675</v>
      </c>
      <c r="D47" s="16">
        <v>-0.45847557800973288</v>
      </c>
      <c r="F47" s="16">
        <v>45</v>
      </c>
      <c r="G47" s="16">
        <v>12.1</v>
      </c>
    </row>
    <row r="48" spans="1:7">
      <c r="A48" s="16">
        <v>24</v>
      </c>
      <c r="B48" s="16">
        <v>17.403322971818959</v>
      </c>
      <c r="C48" s="16">
        <v>3.7966770281810405</v>
      </c>
      <c r="D48" s="16">
        <v>1.5649361530274455</v>
      </c>
      <c r="F48" s="16">
        <v>47</v>
      </c>
      <c r="G48" s="16">
        <v>12.2</v>
      </c>
    </row>
    <row r="49" spans="1:7">
      <c r="A49" s="16">
        <v>25</v>
      </c>
      <c r="B49" s="16">
        <v>13.438274295473956</v>
      </c>
      <c r="C49" s="16">
        <v>-3.8274295473955888E-2</v>
      </c>
      <c r="D49" s="16">
        <v>-1.5776119031000228E-2</v>
      </c>
      <c r="F49" s="16">
        <v>49</v>
      </c>
      <c r="G49" s="16">
        <v>12.3</v>
      </c>
    </row>
    <row r="50" spans="1:7">
      <c r="A50" s="16">
        <v>26</v>
      </c>
      <c r="B50" s="16">
        <v>11.455749957301455</v>
      </c>
      <c r="C50" s="16">
        <v>3.3442500426985458</v>
      </c>
      <c r="D50" s="16">
        <v>1.3784521985242135</v>
      </c>
      <c r="F50" s="16">
        <v>51</v>
      </c>
      <c r="G50" s="16">
        <v>12.5</v>
      </c>
    </row>
    <row r="51" spans="1:7">
      <c r="A51" s="16">
        <v>27</v>
      </c>
      <c r="B51" s="16">
        <v>11.207934415029893</v>
      </c>
      <c r="C51" s="16">
        <v>-0.40793441502989225</v>
      </c>
      <c r="D51" s="16">
        <v>-0.16814475116157812</v>
      </c>
      <c r="F51" s="16">
        <v>53</v>
      </c>
      <c r="G51" s="16">
        <v>12.6</v>
      </c>
    </row>
    <row r="52" spans="1:7">
      <c r="A52" s="16">
        <v>28</v>
      </c>
      <c r="B52" s="16">
        <v>12.199196584116144</v>
      </c>
      <c r="C52" s="16">
        <v>-0.89919658411614378</v>
      </c>
      <c r="D52" s="16">
        <v>-0.37063601478799207</v>
      </c>
      <c r="F52" s="16">
        <v>55</v>
      </c>
      <c r="G52" s="16">
        <v>13.1</v>
      </c>
    </row>
    <row r="53" spans="1:7">
      <c r="A53" s="16">
        <v>29</v>
      </c>
      <c r="B53" s="16">
        <v>11.827473270708799</v>
      </c>
      <c r="C53" s="16">
        <v>-4.2274732707087992</v>
      </c>
      <c r="D53" s="16">
        <v>-1.7425042236102253</v>
      </c>
      <c r="F53" s="16">
        <v>57</v>
      </c>
      <c r="G53" s="16">
        <v>13.2</v>
      </c>
    </row>
    <row r="54" spans="1:7">
      <c r="A54" s="16">
        <v>30</v>
      </c>
      <c r="B54" s="16">
        <v>11.084026643894111</v>
      </c>
      <c r="C54" s="16">
        <v>-2.3840266438941118</v>
      </c>
      <c r="D54" s="16">
        <v>-0.98266180060040687</v>
      </c>
      <c r="F54" s="16">
        <v>59</v>
      </c>
      <c r="G54" s="16">
        <v>13.3</v>
      </c>
    </row>
    <row r="55" spans="1:7">
      <c r="A55" s="16">
        <v>31</v>
      </c>
      <c r="B55" s="16">
        <v>11.455749957301455</v>
      </c>
      <c r="C55" s="16">
        <v>5.6442500426985465</v>
      </c>
      <c r="D55" s="16">
        <v>2.3264794142306675</v>
      </c>
      <c r="F55" s="16">
        <v>61</v>
      </c>
      <c r="G55" s="16">
        <v>13.4</v>
      </c>
    </row>
    <row r="56" spans="1:7">
      <c r="A56" s="16">
        <v>32</v>
      </c>
      <c r="B56" s="16">
        <v>11.207934415029893</v>
      </c>
      <c r="C56" s="16">
        <v>2.3920655849701067</v>
      </c>
      <c r="D56" s="16">
        <v>0.98597533752453892</v>
      </c>
      <c r="F56" s="16">
        <v>63</v>
      </c>
      <c r="G56" s="16">
        <v>13.4</v>
      </c>
    </row>
    <row r="57" spans="1:7">
      <c r="A57" s="16">
        <v>33</v>
      </c>
      <c r="B57" s="16">
        <v>14.305628693424424</v>
      </c>
      <c r="C57" s="16">
        <v>0.29437130657557553</v>
      </c>
      <c r="D57" s="16">
        <v>0.12133565658987554</v>
      </c>
      <c r="F57" s="16">
        <v>65</v>
      </c>
      <c r="G57" s="16">
        <v>13.6</v>
      </c>
    </row>
    <row r="58" spans="1:7">
      <c r="A58" s="16">
        <v>34</v>
      </c>
      <c r="B58" s="16">
        <v>11.455749957301455</v>
      </c>
      <c r="C58" s="16">
        <v>0.54425004269854504</v>
      </c>
      <c r="D58" s="16">
        <v>0.22433210983809573</v>
      </c>
      <c r="F58" s="16">
        <v>67</v>
      </c>
      <c r="G58" s="16">
        <v>13.6</v>
      </c>
    </row>
    <row r="59" spans="1:7">
      <c r="A59" s="16">
        <v>35</v>
      </c>
      <c r="B59" s="16">
        <v>13.933905380017082</v>
      </c>
      <c r="C59" s="16">
        <v>-0.53390538001708165</v>
      </c>
      <c r="D59" s="16">
        <v>-0.22006818733403913</v>
      </c>
      <c r="F59" s="16">
        <v>69</v>
      </c>
      <c r="G59" s="16">
        <v>14.4</v>
      </c>
    </row>
    <row r="60" spans="1:7">
      <c r="A60" s="16">
        <v>36</v>
      </c>
      <c r="B60" s="16">
        <v>14.181720922288644</v>
      </c>
      <c r="C60" s="16">
        <v>1.7182790777113564</v>
      </c>
      <c r="D60" s="16">
        <v>0.70825014341276105</v>
      </c>
      <c r="F60" s="16">
        <v>71</v>
      </c>
      <c r="G60" s="16">
        <v>14.6</v>
      </c>
    </row>
    <row r="61" spans="1:7">
      <c r="A61" s="16">
        <v>37</v>
      </c>
      <c r="B61" s="16">
        <v>11.084026643894111</v>
      </c>
      <c r="C61" s="16">
        <v>2.5159733561058886</v>
      </c>
      <c r="D61" s="16">
        <v>1.0370483546002989</v>
      </c>
      <c r="F61" s="16">
        <v>73</v>
      </c>
      <c r="G61" s="16">
        <v>14.7</v>
      </c>
    </row>
    <row r="62" spans="1:7">
      <c r="A62" s="16">
        <v>38</v>
      </c>
      <c r="B62" s="16">
        <v>13.686089837745518</v>
      </c>
      <c r="C62" s="16">
        <v>-1.5860898377455186</v>
      </c>
      <c r="D62" s="16">
        <v>-0.65376362292964563</v>
      </c>
      <c r="F62" s="16">
        <v>75</v>
      </c>
      <c r="G62" s="16">
        <v>14.7</v>
      </c>
    </row>
    <row r="63" spans="1:7">
      <c r="A63" s="16">
        <v>39</v>
      </c>
      <c r="B63" s="16">
        <v>11.827473270708799</v>
      </c>
      <c r="C63" s="16">
        <v>-0.12747327070879955</v>
      </c>
      <c r="D63" s="16">
        <v>-5.2542665176981855E-2</v>
      </c>
      <c r="F63" s="16">
        <v>77</v>
      </c>
      <c r="G63" s="16">
        <v>14.8</v>
      </c>
    </row>
    <row r="64" spans="1:7">
      <c r="A64" s="16">
        <v>40</v>
      </c>
      <c r="B64" s="16">
        <v>14.67735200683177</v>
      </c>
      <c r="C64" s="16">
        <v>1.0226479931682295</v>
      </c>
      <c r="D64" s="16">
        <v>0.42152092591785612</v>
      </c>
      <c r="F64" s="16">
        <v>79</v>
      </c>
      <c r="G64" s="16">
        <v>15.5</v>
      </c>
    </row>
    <row r="65" spans="1:7">
      <c r="A65" s="16">
        <v>41</v>
      </c>
      <c r="B65" s="16">
        <v>12.81873543979505</v>
      </c>
      <c r="C65" s="16">
        <v>-0.31873543979505037</v>
      </c>
      <c r="D65" s="16">
        <v>-0.13137820501559722</v>
      </c>
      <c r="F65" s="16">
        <v>81</v>
      </c>
      <c r="G65" s="16">
        <v>15.7</v>
      </c>
    </row>
    <row r="66" spans="1:7">
      <c r="A66" s="16">
        <v>42</v>
      </c>
      <c r="B66" s="16">
        <v>15.049075320239112</v>
      </c>
      <c r="C66" s="16">
        <v>0.45092467976088813</v>
      </c>
      <c r="D66" s="16">
        <v>0.18586472549871261</v>
      </c>
      <c r="F66" s="16">
        <v>83</v>
      </c>
      <c r="G66" s="16">
        <v>15.7</v>
      </c>
    </row>
    <row r="67" spans="1:7">
      <c r="A67" s="16">
        <v>43</v>
      </c>
      <c r="B67" s="16">
        <v>11.951381041844581</v>
      </c>
      <c r="C67" s="16">
        <v>3.84861895815542</v>
      </c>
      <c r="D67" s="16">
        <v>1.5863458761805023</v>
      </c>
      <c r="F67" s="16">
        <v>85</v>
      </c>
      <c r="G67" s="16">
        <v>15.8</v>
      </c>
    </row>
    <row r="68" spans="1:7">
      <c r="A68" s="16">
        <v>44</v>
      </c>
      <c r="B68" s="16">
        <v>10.588395559350985</v>
      </c>
      <c r="C68" s="16">
        <v>-0.98839555935098566</v>
      </c>
      <c r="D68" s="16">
        <v>-0.40740256093397298</v>
      </c>
      <c r="F68" s="16">
        <v>87</v>
      </c>
      <c r="G68" s="16">
        <v>15.9</v>
      </c>
    </row>
    <row r="69" spans="1:7">
      <c r="A69" s="16">
        <v>45</v>
      </c>
      <c r="B69" s="16">
        <v>11.084026643894111</v>
      </c>
      <c r="C69" s="16">
        <v>-0.48402664389411143</v>
      </c>
      <c r="D69" s="16">
        <v>-0.19950888327768418</v>
      </c>
      <c r="F69" s="16">
        <v>89</v>
      </c>
      <c r="G69" s="16">
        <v>17</v>
      </c>
    </row>
    <row r="70" spans="1:7">
      <c r="A70" s="16">
        <v>46</v>
      </c>
      <c r="B70" s="16">
        <v>13.066550982066612</v>
      </c>
      <c r="C70" s="16">
        <v>-2.8665509820666131</v>
      </c>
      <c r="D70" s="16">
        <v>-1.1815514548735702</v>
      </c>
      <c r="F70" s="16">
        <v>91</v>
      </c>
      <c r="G70" s="16">
        <v>17.100000000000001</v>
      </c>
    </row>
    <row r="71" spans="1:7">
      <c r="A71" s="16">
        <v>47</v>
      </c>
      <c r="B71" s="16">
        <v>10.092764474807861</v>
      </c>
      <c r="C71" s="16">
        <v>1.2072355251921394</v>
      </c>
      <c r="D71" s="16">
        <v>0.49760527549992267</v>
      </c>
      <c r="F71" s="16">
        <v>93</v>
      </c>
      <c r="G71" s="16">
        <v>17.3</v>
      </c>
    </row>
    <row r="72" spans="1:7">
      <c r="A72" s="16">
        <v>48</v>
      </c>
      <c r="B72" s="16">
        <v>13.438274295473956</v>
      </c>
      <c r="C72" s="16">
        <v>3.5617257045260438</v>
      </c>
      <c r="D72" s="16">
        <v>1.4680925664225792</v>
      </c>
      <c r="F72" s="16">
        <v>95</v>
      </c>
      <c r="G72" s="16">
        <v>17.3</v>
      </c>
    </row>
    <row r="73" spans="1:7">
      <c r="A73" s="16">
        <v>49</v>
      </c>
      <c r="B73" s="16">
        <v>12.199196584116144</v>
      </c>
      <c r="C73" s="16">
        <v>-1.7991965841161441</v>
      </c>
      <c r="D73" s="16">
        <v>-0.74160318615138709</v>
      </c>
      <c r="F73" s="16">
        <v>97</v>
      </c>
      <c r="G73" s="16">
        <v>17.3</v>
      </c>
    </row>
    <row r="74" spans="1:7" ht="15.75" thickBot="1">
      <c r="A74" s="17">
        <v>50</v>
      </c>
      <c r="B74" s="17">
        <v>12.94264321093083</v>
      </c>
      <c r="C74" s="17">
        <v>-3.5426432109308301</v>
      </c>
      <c r="D74" s="17">
        <v>-1.4602270345652721</v>
      </c>
      <c r="F74" s="17">
        <v>99</v>
      </c>
      <c r="G74" s="17">
        <v>21.2</v>
      </c>
    </row>
  </sheetData>
  <sortState ref="G25:G74">
    <sortCondition ref="G25"/>
  </sortState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88"/>
  <dimension ref="A1:G36"/>
  <sheetViews>
    <sheetView workbookViewId="0"/>
  </sheetViews>
  <sheetFormatPr defaultRowHeight="15"/>
  <cols>
    <col min="1" max="1" width="17.7109375" customWidth="1"/>
    <col min="2" max="2" width="14.5703125" customWidth="1"/>
    <col min="3" max="3" width="13.42578125" customWidth="1"/>
    <col min="4" max="4" width="17" customWidth="1"/>
    <col min="6" max="6" width="13.28515625" customWidth="1"/>
    <col min="7" max="7" width="11.140625" customWidth="1"/>
  </cols>
  <sheetData>
    <row r="1" spans="1:7">
      <c r="A1" t="s">
        <v>206</v>
      </c>
    </row>
    <row r="2" spans="1:7" ht="15.75" thickBot="1"/>
    <row r="3" spans="1:7">
      <c r="A3" s="18" t="s">
        <v>207</v>
      </c>
      <c r="B3" s="18"/>
    </row>
    <row r="4" spans="1:7">
      <c r="A4" s="16" t="s">
        <v>208</v>
      </c>
      <c r="B4" s="16">
        <v>0.92233072739359667</v>
      </c>
    </row>
    <row r="5" spans="1:7">
      <c r="A5" s="16" t="s">
        <v>201</v>
      </c>
      <c r="B5" s="16">
        <v>0.85069397069440122</v>
      </c>
    </row>
    <row r="6" spans="1:7">
      <c r="A6" s="16" t="s">
        <v>209</v>
      </c>
      <c r="B6" s="16">
        <v>0.81336746336800148</v>
      </c>
    </row>
    <row r="7" spans="1:7">
      <c r="A7" s="16" t="s">
        <v>9</v>
      </c>
      <c r="B7" s="16">
        <v>5.8880844651320681</v>
      </c>
    </row>
    <row r="8" spans="1:7" ht="15.75" thickBot="1">
      <c r="A8" s="17" t="s">
        <v>42</v>
      </c>
      <c r="B8" s="17">
        <v>11</v>
      </c>
    </row>
    <row r="10" spans="1:7" ht="15.75" thickBot="1">
      <c r="A10" t="s">
        <v>210</v>
      </c>
    </row>
    <row r="11" spans="1:7">
      <c r="A11" s="15"/>
      <c r="B11" s="15" t="s">
        <v>26</v>
      </c>
      <c r="C11" s="15" t="s">
        <v>137</v>
      </c>
      <c r="D11" s="15" t="s">
        <v>156</v>
      </c>
      <c r="E11" s="15" t="s">
        <v>63</v>
      </c>
      <c r="F11" s="15" t="s">
        <v>213</v>
      </c>
    </row>
    <row r="12" spans="1:7">
      <c r="A12" s="16" t="s">
        <v>138</v>
      </c>
      <c r="B12" s="16">
        <v>2</v>
      </c>
      <c r="C12" s="16">
        <v>1580.2800542881264</v>
      </c>
      <c r="D12" s="16">
        <v>790.1400271440632</v>
      </c>
      <c r="E12" s="16">
        <v>22.790612667173818</v>
      </c>
      <c r="F12" s="16">
        <v>4.9694621069852531E-4</v>
      </c>
    </row>
    <row r="13" spans="1:7">
      <c r="A13" s="16" t="s">
        <v>211</v>
      </c>
      <c r="B13" s="16">
        <v>8</v>
      </c>
      <c r="C13" s="16">
        <v>277.35630934823678</v>
      </c>
      <c r="D13" s="16">
        <v>34.669538668529597</v>
      </c>
      <c r="E13" s="16"/>
      <c r="F13" s="16"/>
    </row>
    <row r="14" spans="1:7" ht="15.75" thickBot="1">
      <c r="A14" s="17" t="s">
        <v>1</v>
      </c>
      <c r="B14" s="17">
        <v>10</v>
      </c>
      <c r="C14" s="17">
        <v>1857.6363636363631</v>
      </c>
      <c r="D14" s="17"/>
      <c r="E14" s="17"/>
      <c r="F14" s="17"/>
    </row>
    <row r="15" spans="1:7" ht="15.75" thickBot="1"/>
    <row r="16" spans="1:7">
      <c r="A16" s="15"/>
      <c r="B16" s="15" t="s">
        <v>214</v>
      </c>
      <c r="C16" s="15" t="s">
        <v>9</v>
      </c>
      <c r="D16" s="15" t="s">
        <v>45</v>
      </c>
      <c r="E16" s="15" t="s">
        <v>56</v>
      </c>
      <c r="F16" s="15" t="s">
        <v>215</v>
      </c>
      <c r="G16" s="15" t="s">
        <v>216</v>
      </c>
    </row>
    <row r="17" spans="1:7">
      <c r="A17" s="16" t="s">
        <v>212</v>
      </c>
      <c r="B17" s="16">
        <v>1.7514036585681438</v>
      </c>
      <c r="C17" s="16">
        <v>6.9602026710152867</v>
      </c>
      <c r="D17" s="16">
        <v>0.25163112934363246</v>
      </c>
      <c r="E17" s="16">
        <v>0.80766962414536592</v>
      </c>
      <c r="F17" s="16">
        <v>-14.298852482652197</v>
      </c>
      <c r="G17" s="16">
        <v>17.801659799788485</v>
      </c>
    </row>
    <row r="18" spans="1:7">
      <c r="A18" s="16" t="s">
        <v>296</v>
      </c>
      <c r="B18" s="16">
        <v>4.8952883645113721</v>
      </c>
      <c r="C18" s="16">
        <v>0.82022977846272815</v>
      </c>
      <c r="D18" s="16">
        <v>5.9681914666474372</v>
      </c>
      <c r="E18" s="16">
        <v>3.3508360543825895E-4</v>
      </c>
      <c r="F18" s="16">
        <v>3.003835103558723</v>
      </c>
      <c r="G18" s="16">
        <v>6.7867416254640212</v>
      </c>
    </row>
    <row r="19" spans="1:7" ht="15.75" thickBot="1">
      <c r="A19" s="17" t="s">
        <v>297</v>
      </c>
      <c r="B19" s="17">
        <v>3.7584154829361673</v>
      </c>
      <c r="C19" s="17">
        <v>0.75651098735033695</v>
      </c>
      <c r="D19" s="17">
        <v>4.9680910730720971</v>
      </c>
      <c r="E19" s="17">
        <v>1.0957202090976618E-3</v>
      </c>
      <c r="F19" s="17">
        <v>2.013898017778903</v>
      </c>
      <c r="G19" s="17">
        <v>5.5029329480934317</v>
      </c>
    </row>
    <row r="23" spans="1:7">
      <c r="A23" t="s">
        <v>217</v>
      </c>
      <c r="F23" t="s">
        <v>221</v>
      </c>
    </row>
    <row r="24" spans="1:7" ht="15.75" thickBot="1"/>
    <row r="25" spans="1:7">
      <c r="A25" s="15" t="s">
        <v>218</v>
      </c>
      <c r="B25" s="15" t="s">
        <v>298</v>
      </c>
      <c r="C25" s="15" t="s">
        <v>219</v>
      </c>
      <c r="D25" s="15" t="s">
        <v>220</v>
      </c>
      <c r="F25" s="15" t="s">
        <v>222</v>
      </c>
      <c r="G25" s="15" t="s">
        <v>290</v>
      </c>
    </row>
    <row r="26" spans="1:7">
      <c r="A26" s="16">
        <v>1</v>
      </c>
      <c r="B26" s="16">
        <v>54.81049962482858</v>
      </c>
      <c r="C26" s="16">
        <v>10.18950037517142</v>
      </c>
      <c r="D26" s="16">
        <v>1.934790136806559</v>
      </c>
      <c r="F26" s="16">
        <v>4.5454545454545459</v>
      </c>
      <c r="G26" s="16">
        <v>25</v>
      </c>
    </row>
    <row r="27" spans="1:7">
      <c r="A27" s="16">
        <v>2</v>
      </c>
      <c r="B27" s="16">
        <v>42.746177132655433</v>
      </c>
      <c r="C27" s="16">
        <v>-4.7461771326554327</v>
      </c>
      <c r="D27" s="16">
        <v>-0.90120774971207374</v>
      </c>
      <c r="F27" s="16">
        <v>13.636363636363637</v>
      </c>
      <c r="G27" s="16">
        <v>33</v>
      </c>
    </row>
    <row r="28" spans="1:7">
      <c r="A28" s="16">
        <v>3</v>
      </c>
      <c r="B28" s="16">
        <v>56.295169344614344</v>
      </c>
      <c r="C28" s="16">
        <v>-5.2951693446143437</v>
      </c>
      <c r="D28" s="16">
        <v>-1.005450811469049</v>
      </c>
      <c r="F28" s="16">
        <v>22.72727272727273</v>
      </c>
      <c r="G28" s="16">
        <v>38</v>
      </c>
    </row>
    <row r="29" spans="1:7">
      <c r="A29" s="16">
        <v>4</v>
      </c>
      <c r="B29" s="16">
        <v>44.672126057595285</v>
      </c>
      <c r="C29" s="16">
        <v>-6.6721260575952854</v>
      </c>
      <c r="D29" s="16">
        <v>-1.2669084069343504</v>
      </c>
      <c r="F29" s="16">
        <v>31.81818181818182</v>
      </c>
      <c r="G29" s="16">
        <v>38</v>
      </c>
    </row>
    <row r="30" spans="1:7">
      <c r="A30" s="16">
        <v>5</v>
      </c>
      <c r="B30" s="16">
        <v>57.084245387978996</v>
      </c>
      <c r="C30" s="16">
        <v>-2.0842453879789957</v>
      </c>
      <c r="D30" s="16">
        <v>-0.39575811088563606</v>
      </c>
      <c r="F30" s="16">
        <v>40.909090909090914</v>
      </c>
      <c r="G30" s="16">
        <v>43</v>
      </c>
    </row>
    <row r="31" spans="1:7">
      <c r="A31" s="16">
        <v>6</v>
      </c>
      <c r="B31" s="16">
        <v>41.261507412869676</v>
      </c>
      <c r="C31" s="16">
        <v>1.7384925871303238</v>
      </c>
      <c r="D31" s="16">
        <v>0.33010630419987413</v>
      </c>
      <c r="F31" s="16">
        <v>50.000000000000007</v>
      </c>
      <c r="G31" s="16">
        <v>49</v>
      </c>
    </row>
    <row r="32" spans="1:7">
      <c r="A32" s="16">
        <v>7</v>
      </c>
      <c r="B32" s="16">
        <v>21.332557116613632</v>
      </c>
      <c r="C32" s="16">
        <v>3.6674428833863679</v>
      </c>
      <c r="D32" s="16">
        <v>0.69637686410684085</v>
      </c>
      <c r="F32" s="16">
        <v>59.090909090909093</v>
      </c>
      <c r="G32" s="16">
        <v>51</v>
      </c>
    </row>
    <row r="33" spans="1:7">
      <c r="A33" s="16">
        <v>8</v>
      </c>
      <c r="B33" s="16">
        <v>34.092473285207895</v>
      </c>
      <c r="C33" s="16">
        <v>-1.0924732852078947</v>
      </c>
      <c r="D33" s="16">
        <v>-0.20743966427395458</v>
      </c>
      <c r="F33" s="16">
        <v>68.181818181818187</v>
      </c>
      <c r="G33" s="16">
        <v>51</v>
      </c>
    </row>
    <row r="34" spans="1:7">
      <c r="A34" s="16">
        <v>9</v>
      </c>
      <c r="B34" s="16">
        <v>67.222618955212283</v>
      </c>
      <c r="C34" s="16">
        <v>3.7773810447877167</v>
      </c>
      <c r="D34" s="16">
        <v>0.71725200641080289</v>
      </c>
      <c r="F34" s="16">
        <v>77.27272727272728</v>
      </c>
      <c r="G34" s="16">
        <v>55</v>
      </c>
    </row>
    <row r="35" spans="1:7">
      <c r="A35" s="16">
        <v>10</v>
      </c>
      <c r="B35" s="16">
        <v>46.156795777381042</v>
      </c>
      <c r="C35" s="16">
        <v>4.843204222618958</v>
      </c>
      <c r="D35" s="16">
        <v>0.91963132788101942</v>
      </c>
      <c r="F35" s="16">
        <v>86.363636363636374</v>
      </c>
      <c r="G35" s="16">
        <v>65</v>
      </c>
    </row>
    <row r="36" spans="1:7" ht="15.75" thickBot="1">
      <c r="A36" s="17">
        <v>11</v>
      </c>
      <c r="B36" s="17">
        <v>53.325829905042831</v>
      </c>
      <c r="C36" s="17">
        <v>-4.3258299050428306</v>
      </c>
      <c r="D36" s="17">
        <v>-0.82139189613003172</v>
      </c>
      <c r="F36" s="17">
        <v>95.454545454545467</v>
      </c>
      <c r="G36" s="17">
        <v>71</v>
      </c>
    </row>
  </sheetData>
  <sortState ref="G26:G36">
    <sortCondition ref="G26"/>
  </sortState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94"/>
  <dimension ref="A1:AQ68"/>
  <sheetViews>
    <sheetView workbookViewId="0"/>
  </sheetViews>
  <sheetFormatPr defaultRowHeight="15"/>
  <cols>
    <col min="1" max="3" width="7.5703125" customWidth="1"/>
    <col min="4" max="4" width="6.5703125" customWidth="1"/>
    <col min="5" max="5" width="17.85546875" customWidth="1"/>
    <col min="6" max="6" width="13" customWidth="1"/>
    <col min="7" max="11" width="13.42578125" customWidth="1"/>
    <col min="14" max="14" width="17" customWidth="1"/>
    <col min="15" max="15" width="14" customWidth="1"/>
    <col min="17" max="17" width="14.28515625" customWidth="1"/>
    <col min="18" max="18" width="12.85546875" customWidth="1"/>
  </cols>
  <sheetData>
    <row r="1" spans="1:18">
      <c r="A1" s="1" t="s">
        <v>326</v>
      </c>
      <c r="E1" t="s">
        <v>331</v>
      </c>
    </row>
    <row r="3" spans="1:18">
      <c r="A3" s="112" t="s">
        <v>296</v>
      </c>
      <c r="B3" s="112" t="s">
        <v>297</v>
      </c>
      <c r="C3" s="112" t="s">
        <v>290</v>
      </c>
      <c r="E3" t="s">
        <v>206</v>
      </c>
      <c r="N3" t="s">
        <v>468</v>
      </c>
    </row>
    <row r="4" spans="1:18" ht="15.75" thickBot="1">
      <c r="A4" s="76">
        <v>7</v>
      </c>
      <c r="B4" s="76">
        <v>5</v>
      </c>
      <c r="C4" s="76">
        <v>65</v>
      </c>
    </row>
    <row r="5" spans="1:18">
      <c r="A5" s="76">
        <v>3</v>
      </c>
      <c r="B5" s="76">
        <v>7</v>
      </c>
      <c r="C5" s="76">
        <v>38</v>
      </c>
      <c r="E5" s="18" t="s">
        <v>207</v>
      </c>
      <c r="F5" s="18"/>
      <c r="N5" s="112" t="s">
        <v>290</v>
      </c>
      <c r="O5" s="139" t="s">
        <v>298</v>
      </c>
      <c r="Q5" s="742" t="s">
        <v>356</v>
      </c>
      <c r="R5" s="742"/>
    </row>
    <row r="6" spans="1:18">
      <c r="A6" s="76">
        <v>5</v>
      </c>
      <c r="B6" s="76">
        <v>8</v>
      </c>
      <c r="C6" s="76">
        <v>51</v>
      </c>
      <c r="E6" s="16" t="s">
        <v>208</v>
      </c>
      <c r="F6">
        <f>SQRT(F7)</f>
        <v>0.92233072739359589</v>
      </c>
      <c r="N6" s="76">
        <f>C4</f>
        <v>65</v>
      </c>
      <c r="O6" s="16">
        <f>F26</f>
        <v>54.810499624828537</v>
      </c>
      <c r="Q6" t="s">
        <v>327</v>
      </c>
      <c r="R6">
        <f>CORREL(C4:C14,A4:A14)</f>
        <v>0.62453892636382968</v>
      </c>
    </row>
    <row r="7" spans="1:18">
      <c r="A7" s="76">
        <v>8</v>
      </c>
      <c r="B7" s="76">
        <v>1</v>
      </c>
      <c r="C7" s="76">
        <v>38</v>
      </c>
      <c r="E7" s="16" t="s">
        <v>201</v>
      </c>
      <c r="F7">
        <f>G14/G16</f>
        <v>0.85069397069439978</v>
      </c>
      <c r="N7" s="76">
        <f t="shared" ref="N7:N16" si="0">C5</f>
        <v>38</v>
      </c>
      <c r="O7" s="16">
        <f t="shared" ref="O7:O16" si="1">F27</f>
        <v>42.746177132655433</v>
      </c>
      <c r="Q7" t="s">
        <v>328</v>
      </c>
      <c r="R7">
        <f>CORREL(C4:C14,B4:B14)</f>
        <v>0.43118646126661814</v>
      </c>
    </row>
    <row r="8" spans="1:18">
      <c r="A8" s="76">
        <v>9</v>
      </c>
      <c r="B8" s="76">
        <v>3</v>
      </c>
      <c r="C8" s="76">
        <v>55</v>
      </c>
      <c r="E8" s="16" t="s">
        <v>209</v>
      </c>
      <c r="F8">
        <f>1-(1-F7)*(F10-1)/(F10-F14-1)</f>
        <v>0.8133674633679997</v>
      </c>
      <c r="N8" s="76">
        <f t="shared" si="0"/>
        <v>51</v>
      </c>
      <c r="O8" s="16">
        <f t="shared" si="1"/>
        <v>56.295169344614322</v>
      </c>
      <c r="Q8" t="s">
        <v>329</v>
      </c>
      <c r="R8">
        <f>CORREL(A4:A14,B4:B14)</f>
        <v>-0.33394197307213463</v>
      </c>
    </row>
    <row r="9" spans="1:18">
      <c r="A9" s="76">
        <v>5</v>
      </c>
      <c r="B9" s="76">
        <v>4</v>
      </c>
      <c r="C9" s="76">
        <v>43</v>
      </c>
      <c r="E9" s="16" t="s">
        <v>9</v>
      </c>
      <c r="F9">
        <f>SQRT(H15)</f>
        <v>5.8880844651320965</v>
      </c>
      <c r="N9" s="76">
        <f t="shared" si="0"/>
        <v>38</v>
      </c>
      <c r="O9" s="16">
        <f t="shared" si="1"/>
        <v>44.672126057595207</v>
      </c>
    </row>
    <row r="10" spans="1:18" ht="15.75" thickBot="1">
      <c r="A10" s="76">
        <v>4</v>
      </c>
      <c r="B10" s="76">
        <v>0</v>
      </c>
      <c r="C10" s="76">
        <v>25</v>
      </c>
      <c r="E10" s="17" t="s">
        <v>42</v>
      </c>
      <c r="F10" s="17">
        <f>COUNT(A4:A14)</f>
        <v>11</v>
      </c>
      <c r="N10" s="76">
        <f t="shared" si="0"/>
        <v>55</v>
      </c>
      <c r="O10" s="16">
        <f t="shared" si="1"/>
        <v>57.08424538797891</v>
      </c>
      <c r="Q10" t="s">
        <v>208</v>
      </c>
      <c r="R10">
        <f>SQRT((R6^2+R7^2-2*R6*R7*R8)/(1-R8^2))</f>
        <v>0.92233072739359701</v>
      </c>
    </row>
    <row r="11" spans="1:18">
      <c r="A11" s="76">
        <v>2</v>
      </c>
      <c r="B11" s="76">
        <v>6</v>
      </c>
      <c r="C11" s="76">
        <v>33</v>
      </c>
      <c r="N11" s="76">
        <f t="shared" si="0"/>
        <v>43</v>
      </c>
      <c r="O11" s="16">
        <f t="shared" si="1"/>
        <v>41.261507412869634</v>
      </c>
    </row>
    <row r="12" spans="1:18" ht="15.75" thickBot="1">
      <c r="A12" s="76">
        <v>8</v>
      </c>
      <c r="B12" s="76">
        <v>7</v>
      </c>
      <c r="C12" s="76">
        <v>71</v>
      </c>
      <c r="E12" t="s">
        <v>210</v>
      </c>
      <c r="N12" s="76">
        <f t="shared" si="0"/>
        <v>25</v>
      </c>
      <c r="O12" s="16">
        <f t="shared" si="1"/>
        <v>21.332557116613586</v>
      </c>
    </row>
    <row r="13" spans="1:18">
      <c r="A13" s="76">
        <v>6</v>
      </c>
      <c r="B13" s="76">
        <v>4</v>
      </c>
      <c r="C13" s="76">
        <v>51</v>
      </c>
      <c r="E13" s="15"/>
      <c r="F13" s="15" t="s">
        <v>26</v>
      </c>
      <c r="G13" s="15" t="s">
        <v>137</v>
      </c>
      <c r="H13" s="15" t="s">
        <v>156</v>
      </c>
      <c r="I13" s="15" t="s">
        <v>63</v>
      </c>
      <c r="J13" s="15" t="s">
        <v>213</v>
      </c>
      <c r="N13" s="76">
        <f t="shared" si="0"/>
        <v>33</v>
      </c>
      <c r="O13" s="16">
        <f t="shared" si="1"/>
        <v>34.092473285207895</v>
      </c>
    </row>
    <row r="14" spans="1:18">
      <c r="A14" s="111">
        <v>9</v>
      </c>
      <c r="B14" s="111">
        <v>2</v>
      </c>
      <c r="C14" s="111">
        <v>49</v>
      </c>
      <c r="E14" s="16" t="s">
        <v>138</v>
      </c>
      <c r="F14">
        <f>COUNT(A4:B4)</f>
        <v>2</v>
      </c>
      <c r="G14" s="16">
        <f>DEVSQ('Mult Reg 2'!M4:M14)</f>
        <v>1580.2800542881239</v>
      </c>
      <c r="H14" s="16">
        <f>G14/F14</f>
        <v>790.14002714406195</v>
      </c>
      <c r="I14" s="16">
        <f>H14/H15</f>
        <v>22.790612667173569</v>
      </c>
      <c r="J14">
        <f>FDIST(I14,F14,F15)</f>
        <v>4.9694621069854385E-4</v>
      </c>
      <c r="N14" s="76">
        <f t="shared" si="0"/>
        <v>71</v>
      </c>
      <c r="O14" s="16">
        <f t="shared" si="1"/>
        <v>67.222618955212241</v>
      </c>
    </row>
    <row r="15" spans="1:18">
      <c r="E15" s="16" t="s">
        <v>211</v>
      </c>
      <c r="F15" s="16">
        <f>F16-F14</f>
        <v>8</v>
      </c>
      <c r="G15" s="16">
        <f>G16-G14</f>
        <v>277.35630934823939</v>
      </c>
      <c r="H15" s="16">
        <f>G15/F15</f>
        <v>34.669538668529924</v>
      </c>
      <c r="I15" s="16"/>
      <c r="J15" s="16"/>
      <c r="N15" s="76">
        <f t="shared" si="0"/>
        <v>51</v>
      </c>
      <c r="O15" s="16">
        <f t="shared" si="1"/>
        <v>46.156795777380999</v>
      </c>
    </row>
    <row r="16" spans="1:18" ht="15.75" thickBot="1">
      <c r="E16" s="17" t="s">
        <v>1</v>
      </c>
      <c r="F16" s="17">
        <f>F10-1</f>
        <v>10</v>
      </c>
      <c r="G16" s="17">
        <f>DEVSQ(C4:C14)</f>
        <v>1857.6363636363633</v>
      </c>
      <c r="H16" s="17"/>
      <c r="I16" s="17"/>
      <c r="J16" s="17"/>
      <c r="N16" s="140">
        <f t="shared" si="0"/>
        <v>49</v>
      </c>
      <c r="O16" s="141">
        <f t="shared" si="1"/>
        <v>53.325829905042738</v>
      </c>
    </row>
    <row r="17" spans="5:43" ht="15.75" thickBot="1">
      <c r="N17" s="33" t="s">
        <v>208</v>
      </c>
      <c r="O17">
        <f>CORREL(N6:N16,O6:O16)</f>
        <v>0.92233072739359689</v>
      </c>
    </row>
    <row r="18" spans="5:43">
      <c r="E18" s="15"/>
      <c r="F18" s="15" t="s">
        <v>214</v>
      </c>
      <c r="G18" s="15" t="s">
        <v>9</v>
      </c>
      <c r="H18" s="15" t="s">
        <v>45</v>
      </c>
      <c r="I18" s="15" t="s">
        <v>56</v>
      </c>
      <c r="J18" s="15" t="s">
        <v>215</v>
      </c>
      <c r="K18" s="15" t="s">
        <v>216</v>
      </c>
    </row>
    <row r="19" spans="5:43" ht="18.75">
      <c r="E19" s="16" t="s">
        <v>212</v>
      </c>
      <c r="F19" s="16">
        <f>'Mult Reg 2'!K4</f>
        <v>1.7514036585681367</v>
      </c>
      <c r="G19" s="16">
        <f>SQRT($H$15*'Mult Reg 2'!E17)</f>
        <v>6.9602026710153257</v>
      </c>
      <c r="H19" s="16">
        <f>F19/G19</f>
        <v>0.25163112934363002</v>
      </c>
      <c r="I19" s="16">
        <f>TDIST(ABS(H19),$F$15,2)</f>
        <v>0.8076696241453678</v>
      </c>
      <c r="J19" s="16">
        <f>F19-TINV(0.05,$F$15)*G19</f>
        <v>-14.298852482652293</v>
      </c>
      <c r="K19" s="16">
        <f>F19+TINV(0.05,$F$15)*G19</f>
        <v>17.801659799788567</v>
      </c>
      <c r="N19" s="166" t="s">
        <v>355</v>
      </c>
      <c r="O19">
        <f>G16*(1-F7)</f>
        <v>277.35630934823951</v>
      </c>
    </row>
    <row r="20" spans="5:43">
      <c r="E20" s="16" t="s">
        <v>296</v>
      </c>
      <c r="F20" s="16">
        <f>'Mult Reg 2'!K5</f>
        <v>4.8952883645113623</v>
      </c>
      <c r="G20" s="16">
        <f>SQRT($H$15*'Mult Reg 2'!F18)</f>
        <v>0.82022977846273259</v>
      </c>
      <c r="H20" s="16">
        <f>F20/G20</f>
        <v>5.9681914666473928</v>
      </c>
      <c r="I20" s="16">
        <f>TDIST(ABS(H20),$F$15,2)</f>
        <v>3.3508360543827521E-4</v>
      </c>
      <c r="J20" s="16">
        <f>F20-TINV(0.05,$F$15)*G20</f>
        <v>3.003835103558703</v>
      </c>
      <c r="K20" s="16">
        <f>F20+TINV(0.05,$F$15)*G20</f>
        <v>6.7867416254640212</v>
      </c>
    </row>
    <row r="21" spans="5:43" ht="15.75" thickBot="1">
      <c r="E21" s="17" t="s">
        <v>297</v>
      </c>
      <c r="F21" s="17">
        <f>'Mult Reg 2'!K6</f>
        <v>3.7584154829361722</v>
      </c>
      <c r="G21" s="17">
        <f>SQRT($H$15*'Mult Reg 2'!G19)</f>
        <v>0.75651098735034072</v>
      </c>
      <c r="H21" s="17">
        <f>F21/G21</f>
        <v>4.9680910730720793</v>
      </c>
      <c r="I21" s="17">
        <f>TDIST(ABS(H21),$F$15,2)</f>
        <v>1.0957202090976868E-3</v>
      </c>
      <c r="J21" s="17">
        <f>F21-TINV(0.05,$F$15)*G21</f>
        <v>2.0138980177788994</v>
      </c>
      <c r="K21" s="17">
        <f>F21+TINV(0.05,$F$15)*G21</f>
        <v>5.502932948093445</v>
      </c>
    </row>
    <row r="23" spans="5:43">
      <c r="E23" t="s">
        <v>217</v>
      </c>
      <c r="J23" t="s">
        <v>221</v>
      </c>
      <c r="AC23" t="s">
        <v>32</v>
      </c>
    </row>
    <row r="24" spans="5:43" ht="15.75" thickBot="1"/>
    <row r="25" spans="5:43">
      <c r="E25" s="15" t="s">
        <v>218</v>
      </c>
      <c r="F25" s="15" t="s">
        <v>298</v>
      </c>
      <c r="G25" s="15" t="s">
        <v>219</v>
      </c>
      <c r="H25" s="15" t="s">
        <v>332</v>
      </c>
      <c r="J25" s="15" t="s">
        <v>222</v>
      </c>
      <c r="K25" s="15" t="s">
        <v>290</v>
      </c>
      <c r="AC25" t="s">
        <v>11</v>
      </c>
      <c r="AD25">
        <f>COUNT(C4:C14)</f>
        <v>11</v>
      </c>
      <c r="AE25">
        <f>2*AD25</f>
        <v>22</v>
      </c>
    </row>
    <row r="26" spans="5:43">
      <c r="E26" s="16">
        <v>1</v>
      </c>
      <c r="F26" s="16">
        <f>$F$19+A4*$F$20+B4*$F$21</f>
        <v>54.810499624828537</v>
      </c>
      <c r="G26" s="16">
        <f>C4-F26</f>
        <v>10.189500375171463</v>
      </c>
      <c r="H26" s="16">
        <f>G26/STDEV($G$26:$G$36)</f>
        <v>1.9347901368065681</v>
      </c>
      <c r="J26">
        <f>100/(2*$E$36)</f>
        <v>4.5454545454545459</v>
      </c>
      <c r="K26" s="16" t="e">
        <f t="array" aca="1" ref="K26:K36" ca="1">QSORT(C4:C14)</f>
        <v>#NAME?</v>
      </c>
      <c r="AC26" t="s">
        <v>8</v>
      </c>
      <c r="AD26">
        <f>AVERAGE(C4:C14)</f>
        <v>47.18181818181818</v>
      </c>
    </row>
    <row r="27" spans="5:43">
      <c r="E27" s="16">
        <v>2</v>
      </c>
      <c r="F27" s="16">
        <f t="shared" ref="F27:F36" si="2">$F$19+A5*$F$20+B5*$F$21</f>
        <v>42.746177132655433</v>
      </c>
      <c r="G27" s="16">
        <f t="shared" ref="G27:G36" si="3">C5-F27</f>
        <v>-4.7461771326554327</v>
      </c>
      <c r="H27" s="16">
        <f t="shared" ref="H27:H36" si="4">G27/STDEV($G$26:$G$36)</f>
        <v>-0.90120774971207429</v>
      </c>
      <c r="J27">
        <f>J26+100/$E$36</f>
        <v>13.636363636363637</v>
      </c>
      <c r="K27" s="16" t="e">
        <f ca="1"/>
        <v>#NAME?</v>
      </c>
      <c r="AC27" t="s">
        <v>25</v>
      </c>
      <c r="AD27">
        <f>STDEV(C4:C14)</f>
        <v>13.629513430920284</v>
      </c>
      <c r="AP27" t="s">
        <v>464</v>
      </c>
    </row>
    <row r="28" spans="5:43">
      <c r="E28" s="16">
        <v>3</v>
      </c>
      <c r="F28" s="16">
        <f t="shared" si="2"/>
        <v>56.295169344614322</v>
      </c>
      <c r="G28" s="16">
        <f t="shared" si="3"/>
        <v>-5.2951693446143224</v>
      </c>
      <c r="H28" s="16">
        <f t="shared" si="4"/>
        <v>-1.0054508114690455</v>
      </c>
      <c r="J28">
        <f t="shared" ref="J28:J36" si="5">J27+100/$E$36</f>
        <v>22.727272727272727</v>
      </c>
      <c r="K28" s="16" t="e">
        <f ca="1"/>
        <v>#NAME?</v>
      </c>
    </row>
    <row r="29" spans="5:43">
      <c r="E29" s="16">
        <v>4</v>
      </c>
      <c r="F29" s="16">
        <f t="shared" si="2"/>
        <v>44.672126057595207</v>
      </c>
      <c r="G29" s="16">
        <f t="shared" si="3"/>
        <v>-6.6721260575952073</v>
      </c>
      <c r="H29" s="16">
        <f t="shared" si="4"/>
        <v>-1.2669084069343362</v>
      </c>
      <c r="J29">
        <f t="shared" si="5"/>
        <v>31.81818181818182</v>
      </c>
      <c r="K29" s="16" t="e">
        <f ca="1"/>
        <v>#NAME?</v>
      </c>
      <c r="AC29" t="s">
        <v>33</v>
      </c>
      <c r="AD29" t="s">
        <v>34</v>
      </c>
      <c r="AE29" t="s">
        <v>135</v>
      </c>
      <c r="AF29" t="s">
        <v>35</v>
      </c>
      <c r="AP29" t="s">
        <v>135</v>
      </c>
      <c r="AQ29" t="s">
        <v>34</v>
      </c>
    </row>
    <row r="30" spans="5:43">
      <c r="E30" s="16">
        <v>5</v>
      </c>
      <c r="F30" s="16">
        <f t="shared" si="2"/>
        <v>57.08424538797891</v>
      </c>
      <c r="G30" s="16">
        <f t="shared" si="3"/>
        <v>-2.0842453879789105</v>
      </c>
      <c r="H30" s="16">
        <f t="shared" si="4"/>
        <v>-0.39575811088562007</v>
      </c>
      <c r="J30">
        <f t="shared" si="5"/>
        <v>40.909090909090914</v>
      </c>
      <c r="K30" s="16" t="e">
        <f ca="1"/>
        <v>#NAME?</v>
      </c>
      <c r="AC30">
        <v>1</v>
      </c>
      <c r="AD30">
        <v>25</v>
      </c>
      <c r="AE30">
        <f t="shared" ref="AE30:AE40" si="6">NORMSINV(AC30/AE$25)</f>
        <v>-1.6906216295848977</v>
      </c>
      <c r="AF30">
        <f t="shared" ref="AF30:AF40" si="7">STANDARDIZE(AD30,AD$26,AD$27)</f>
        <v>-1.6274842307646806</v>
      </c>
      <c r="AP30">
        <f t="shared" ref="AP30:AP40" si="8">AE30</f>
        <v>-1.6906216295848977</v>
      </c>
      <c r="AQ30">
        <f t="shared" ref="AQ30:AQ40" si="9">AD30</f>
        <v>25</v>
      </c>
    </row>
    <row r="31" spans="5:43">
      <c r="E31" s="16">
        <v>6</v>
      </c>
      <c r="F31" s="16">
        <f t="shared" si="2"/>
        <v>41.261507412869634</v>
      </c>
      <c r="G31" s="16">
        <f t="shared" si="3"/>
        <v>1.7384925871303665</v>
      </c>
      <c r="H31" s="16">
        <f t="shared" si="4"/>
        <v>0.33010630419988235</v>
      </c>
      <c r="J31">
        <f t="shared" si="5"/>
        <v>50.000000000000007</v>
      </c>
      <c r="K31" s="16" t="e">
        <f ca="1"/>
        <v>#NAME?</v>
      </c>
      <c r="AC31">
        <f>AC30+2</f>
        <v>3</v>
      </c>
      <c r="AD31">
        <v>33</v>
      </c>
      <c r="AE31">
        <f t="shared" si="6"/>
        <v>-1.096803562093513</v>
      </c>
      <c r="AF31">
        <f t="shared" si="7"/>
        <v>-1.0405227049151236</v>
      </c>
      <c r="AP31">
        <f t="shared" si="8"/>
        <v>-1.096803562093513</v>
      </c>
      <c r="AQ31">
        <f t="shared" si="9"/>
        <v>33</v>
      </c>
    </row>
    <row r="32" spans="5:43">
      <c r="E32" s="16">
        <v>7</v>
      </c>
      <c r="F32" s="16">
        <f t="shared" si="2"/>
        <v>21.332557116613586</v>
      </c>
      <c r="G32" s="16">
        <f t="shared" si="3"/>
        <v>3.6674428833864141</v>
      </c>
      <c r="H32" s="16">
        <f t="shared" si="4"/>
        <v>0.69637686410685007</v>
      </c>
      <c r="J32">
        <f t="shared" si="5"/>
        <v>59.090909090909101</v>
      </c>
      <c r="K32" s="16" t="e">
        <f ca="1"/>
        <v>#NAME?</v>
      </c>
      <c r="AC32">
        <f t="shared" ref="AC32:AC40" si="10">AC31+2</f>
        <v>5</v>
      </c>
      <c r="AD32">
        <v>38</v>
      </c>
      <c r="AE32">
        <f t="shared" si="6"/>
        <v>-0.74785859476330196</v>
      </c>
      <c r="AF32">
        <f t="shared" si="7"/>
        <v>-0.67367175125915046</v>
      </c>
      <c r="AP32">
        <f t="shared" si="8"/>
        <v>-0.74785859476330196</v>
      </c>
      <c r="AQ32">
        <f t="shared" si="9"/>
        <v>38</v>
      </c>
    </row>
    <row r="33" spans="5:43">
      <c r="E33" s="16">
        <v>8</v>
      </c>
      <c r="F33" s="16">
        <f t="shared" si="2"/>
        <v>34.092473285207895</v>
      </c>
      <c r="G33" s="16">
        <f t="shared" si="3"/>
        <v>-1.0924732852078947</v>
      </c>
      <c r="H33" s="16">
        <f t="shared" si="4"/>
        <v>-0.20743966427395469</v>
      </c>
      <c r="J33">
        <f t="shared" si="5"/>
        <v>68.181818181818187</v>
      </c>
      <c r="K33" s="16" t="e">
        <f ca="1"/>
        <v>#NAME?</v>
      </c>
      <c r="AC33">
        <f t="shared" si="10"/>
        <v>7</v>
      </c>
      <c r="AD33">
        <v>38</v>
      </c>
      <c r="AE33">
        <f t="shared" si="6"/>
        <v>-0.47278912099226744</v>
      </c>
      <c r="AF33">
        <f t="shared" si="7"/>
        <v>-0.67367175125915046</v>
      </c>
      <c r="AP33">
        <f t="shared" si="8"/>
        <v>-0.47278912099226744</v>
      </c>
      <c r="AQ33">
        <f t="shared" si="9"/>
        <v>38</v>
      </c>
    </row>
    <row r="34" spans="5:43">
      <c r="E34" s="16">
        <v>9</v>
      </c>
      <c r="F34" s="16">
        <f t="shared" si="2"/>
        <v>67.222618955212241</v>
      </c>
      <c r="G34" s="16">
        <f t="shared" si="3"/>
        <v>3.7773810447877594</v>
      </c>
      <c r="H34" s="16">
        <f t="shared" si="4"/>
        <v>0.71725200641081133</v>
      </c>
      <c r="J34">
        <f t="shared" si="5"/>
        <v>77.27272727272728</v>
      </c>
      <c r="K34" s="16" t="e">
        <f ca="1"/>
        <v>#NAME?</v>
      </c>
      <c r="AC34">
        <f t="shared" si="10"/>
        <v>9</v>
      </c>
      <c r="AD34">
        <v>43</v>
      </c>
      <c r="AE34">
        <f t="shared" si="6"/>
        <v>-0.22988411757923208</v>
      </c>
      <c r="AF34">
        <f t="shared" si="7"/>
        <v>-0.30682079760317738</v>
      </c>
      <c r="AP34">
        <f t="shared" si="8"/>
        <v>-0.22988411757923208</v>
      </c>
      <c r="AQ34">
        <f t="shared" si="9"/>
        <v>43</v>
      </c>
    </row>
    <row r="35" spans="5:43">
      <c r="E35" s="16">
        <v>10</v>
      </c>
      <c r="F35" s="16">
        <f t="shared" si="2"/>
        <v>46.156795777380999</v>
      </c>
      <c r="G35" s="16">
        <f t="shared" si="3"/>
        <v>4.8432042226190006</v>
      </c>
      <c r="H35" s="16">
        <f t="shared" si="4"/>
        <v>0.91963132788102797</v>
      </c>
      <c r="J35">
        <f t="shared" si="5"/>
        <v>86.363636363636374</v>
      </c>
      <c r="K35" s="16" t="e">
        <f ca="1"/>
        <v>#NAME?</v>
      </c>
      <c r="AC35">
        <f t="shared" si="10"/>
        <v>11</v>
      </c>
      <c r="AD35">
        <v>49</v>
      </c>
      <c r="AE35">
        <f t="shared" si="6"/>
        <v>0</v>
      </c>
      <c r="AF35">
        <f t="shared" si="7"/>
        <v>0.13340034678399038</v>
      </c>
      <c r="AP35">
        <f t="shared" si="8"/>
        <v>0</v>
      </c>
      <c r="AQ35">
        <f t="shared" si="9"/>
        <v>49</v>
      </c>
    </row>
    <row r="36" spans="5:43" ht="15.75" thickBot="1">
      <c r="E36" s="17">
        <v>11</v>
      </c>
      <c r="F36" s="17">
        <f t="shared" si="2"/>
        <v>53.325829905042738</v>
      </c>
      <c r="G36" s="17">
        <f t="shared" si="3"/>
        <v>-4.3258299050427382</v>
      </c>
      <c r="H36" s="17">
        <f t="shared" si="4"/>
        <v>-0.82139189613001462</v>
      </c>
      <c r="J36" s="17">
        <f t="shared" si="5"/>
        <v>95.454545454545467</v>
      </c>
      <c r="K36" s="17" t="e">
        <f ca="1"/>
        <v>#NAME?</v>
      </c>
      <c r="AC36">
        <f t="shared" si="10"/>
        <v>13</v>
      </c>
      <c r="AD36">
        <v>51</v>
      </c>
      <c r="AE36">
        <f t="shared" si="6"/>
        <v>0.22988411757923222</v>
      </c>
      <c r="AF36">
        <f t="shared" si="7"/>
        <v>0.28014072824637959</v>
      </c>
      <c r="AP36">
        <f t="shared" si="8"/>
        <v>0.22988411757923222</v>
      </c>
      <c r="AQ36">
        <f t="shared" si="9"/>
        <v>51</v>
      </c>
    </row>
    <row r="37" spans="5:43">
      <c r="AC37">
        <f t="shared" si="10"/>
        <v>15</v>
      </c>
      <c r="AD37">
        <v>51</v>
      </c>
      <c r="AE37">
        <f t="shared" si="6"/>
        <v>0.47278912099226728</v>
      </c>
      <c r="AF37">
        <f t="shared" si="7"/>
        <v>0.28014072824637959</v>
      </c>
      <c r="AP37">
        <f t="shared" si="8"/>
        <v>0.47278912099226728</v>
      </c>
      <c r="AQ37">
        <f t="shared" si="9"/>
        <v>51</v>
      </c>
    </row>
    <row r="38" spans="5:43">
      <c r="AC38">
        <f t="shared" si="10"/>
        <v>17</v>
      </c>
      <c r="AD38">
        <v>55</v>
      </c>
      <c r="AE38">
        <f t="shared" si="6"/>
        <v>0.74785859476330196</v>
      </c>
      <c r="AF38">
        <f t="shared" si="7"/>
        <v>0.57362149117115813</v>
      </c>
      <c r="AP38">
        <f t="shared" si="8"/>
        <v>0.74785859476330196</v>
      </c>
      <c r="AQ38">
        <f t="shared" si="9"/>
        <v>55</v>
      </c>
    </row>
    <row r="39" spans="5:43">
      <c r="F39" t="s">
        <v>463</v>
      </c>
      <c r="AC39">
        <f t="shared" si="10"/>
        <v>19</v>
      </c>
      <c r="AD39">
        <v>65</v>
      </c>
      <c r="AE39">
        <f t="shared" si="6"/>
        <v>1.096803562093513</v>
      </c>
      <c r="AF39">
        <f t="shared" si="7"/>
        <v>1.3073233984831043</v>
      </c>
      <c r="AP39">
        <f t="shared" si="8"/>
        <v>1.096803562093513</v>
      </c>
      <c r="AQ39">
        <f t="shared" si="9"/>
        <v>65</v>
      </c>
    </row>
    <row r="40" spans="5:43">
      <c r="AC40">
        <f t="shared" si="10"/>
        <v>21</v>
      </c>
      <c r="AD40">
        <v>71</v>
      </c>
      <c r="AE40">
        <f t="shared" si="6"/>
        <v>1.6906216295848984</v>
      </c>
      <c r="AF40">
        <f t="shared" si="7"/>
        <v>1.7475445428702721</v>
      </c>
      <c r="AP40">
        <f t="shared" si="8"/>
        <v>1.6906216295848984</v>
      </c>
      <c r="AQ40">
        <f t="shared" si="9"/>
        <v>71</v>
      </c>
    </row>
    <row r="41" spans="5:43">
      <c r="F41" s="112" t="s">
        <v>296</v>
      </c>
      <c r="G41" s="112" t="s">
        <v>219</v>
      </c>
      <c r="I41" s="112" t="s">
        <v>297</v>
      </c>
      <c r="J41" s="112" t="s">
        <v>219</v>
      </c>
    </row>
    <row r="42" spans="5:43">
      <c r="F42" s="232">
        <f>A4</f>
        <v>7</v>
      </c>
      <c r="G42">
        <f>G26</f>
        <v>10.189500375171463</v>
      </c>
      <c r="I42" s="232">
        <f>B4</f>
        <v>5</v>
      </c>
      <c r="J42">
        <f>G42</f>
        <v>10.189500375171463</v>
      </c>
    </row>
    <row r="43" spans="5:43">
      <c r="F43" s="232">
        <f t="shared" ref="F43:F52" si="11">A5</f>
        <v>3</v>
      </c>
      <c r="G43">
        <f t="shared" ref="G43:G52" si="12">G27</f>
        <v>-4.7461771326554327</v>
      </c>
      <c r="I43" s="232">
        <f t="shared" ref="I43:I52" si="13">B5</f>
        <v>7</v>
      </c>
      <c r="J43">
        <f t="shared" ref="J43:J52" si="14">G43</f>
        <v>-4.7461771326554327</v>
      </c>
    </row>
    <row r="44" spans="5:43">
      <c r="F44" s="232">
        <f t="shared" si="11"/>
        <v>5</v>
      </c>
      <c r="G44">
        <f t="shared" si="12"/>
        <v>-5.2951693446143224</v>
      </c>
      <c r="I44" s="232">
        <f t="shared" si="13"/>
        <v>8</v>
      </c>
      <c r="J44">
        <f t="shared" si="14"/>
        <v>-5.2951693446143224</v>
      </c>
    </row>
    <row r="45" spans="5:43">
      <c r="F45" s="232">
        <f t="shared" si="11"/>
        <v>8</v>
      </c>
      <c r="G45">
        <f t="shared" si="12"/>
        <v>-6.6721260575952073</v>
      </c>
      <c r="I45" s="232">
        <f t="shared" si="13"/>
        <v>1</v>
      </c>
      <c r="J45">
        <f t="shared" si="14"/>
        <v>-6.6721260575952073</v>
      </c>
    </row>
    <row r="46" spans="5:43">
      <c r="F46" s="232">
        <f t="shared" si="11"/>
        <v>9</v>
      </c>
      <c r="G46">
        <f t="shared" si="12"/>
        <v>-2.0842453879789105</v>
      </c>
      <c r="I46" s="232">
        <f t="shared" si="13"/>
        <v>3</v>
      </c>
      <c r="J46">
        <f t="shared" si="14"/>
        <v>-2.0842453879789105</v>
      </c>
    </row>
    <row r="47" spans="5:43">
      <c r="F47" s="232">
        <f t="shared" si="11"/>
        <v>5</v>
      </c>
      <c r="G47">
        <f t="shared" si="12"/>
        <v>1.7384925871303665</v>
      </c>
      <c r="I47" s="232">
        <f t="shared" si="13"/>
        <v>4</v>
      </c>
      <c r="J47">
        <f t="shared" si="14"/>
        <v>1.7384925871303665</v>
      </c>
    </row>
    <row r="48" spans="5:43">
      <c r="F48" s="232">
        <f t="shared" si="11"/>
        <v>4</v>
      </c>
      <c r="G48">
        <f t="shared" si="12"/>
        <v>3.6674428833864141</v>
      </c>
      <c r="I48" s="232">
        <f t="shared" si="13"/>
        <v>0</v>
      </c>
      <c r="J48">
        <f t="shared" si="14"/>
        <v>3.6674428833864141</v>
      </c>
    </row>
    <row r="49" spans="6:12">
      <c r="F49" s="232">
        <f t="shared" si="11"/>
        <v>2</v>
      </c>
      <c r="G49">
        <f t="shared" si="12"/>
        <v>-1.0924732852078947</v>
      </c>
      <c r="I49" s="232">
        <f t="shared" si="13"/>
        <v>6</v>
      </c>
      <c r="J49">
        <f t="shared" si="14"/>
        <v>-1.0924732852078947</v>
      </c>
    </row>
    <row r="50" spans="6:12">
      <c r="F50" s="232">
        <f t="shared" si="11"/>
        <v>8</v>
      </c>
      <c r="G50">
        <f t="shared" si="12"/>
        <v>3.7773810447877594</v>
      </c>
      <c r="I50" s="232">
        <f t="shared" si="13"/>
        <v>7</v>
      </c>
      <c r="J50">
        <f t="shared" si="14"/>
        <v>3.7773810447877594</v>
      </c>
    </row>
    <row r="51" spans="6:12">
      <c r="F51" s="232">
        <f t="shared" si="11"/>
        <v>6</v>
      </c>
      <c r="G51">
        <f t="shared" si="12"/>
        <v>4.8432042226190006</v>
      </c>
      <c r="I51" s="232">
        <f t="shared" si="13"/>
        <v>4</v>
      </c>
      <c r="J51">
        <f t="shared" si="14"/>
        <v>4.8432042226190006</v>
      </c>
    </row>
    <row r="52" spans="6:12">
      <c r="F52" s="233">
        <f t="shared" si="11"/>
        <v>9</v>
      </c>
      <c r="G52" s="255">
        <f t="shared" si="12"/>
        <v>-4.3258299050427382</v>
      </c>
      <c r="I52" s="233">
        <f t="shared" si="13"/>
        <v>2</v>
      </c>
      <c r="J52" s="255">
        <f t="shared" si="14"/>
        <v>-4.3258299050427382</v>
      </c>
    </row>
    <row r="55" spans="6:12">
      <c r="F55" t="s">
        <v>466</v>
      </c>
    </row>
    <row r="57" spans="6:12">
      <c r="F57" s="112" t="s">
        <v>296</v>
      </c>
      <c r="G57" s="112" t="s">
        <v>290</v>
      </c>
      <c r="H57" s="112" t="s">
        <v>467</v>
      </c>
      <c r="J57" s="112" t="s">
        <v>297</v>
      </c>
      <c r="K57" s="112" t="s">
        <v>290</v>
      </c>
      <c r="L57" s="112" t="s">
        <v>467</v>
      </c>
    </row>
    <row r="58" spans="6:12">
      <c r="F58" s="232">
        <f>A4</f>
        <v>7</v>
      </c>
      <c r="G58" s="232">
        <f>C4</f>
        <v>65</v>
      </c>
      <c r="H58">
        <f>F26</f>
        <v>54.810499624828537</v>
      </c>
      <c r="J58" s="232">
        <f t="shared" ref="J58:J68" si="15">B4</f>
        <v>5</v>
      </c>
      <c r="K58" s="232">
        <f t="shared" ref="K58:K68" si="16">C4</f>
        <v>65</v>
      </c>
      <c r="L58">
        <f>H58</f>
        <v>54.810499624828537</v>
      </c>
    </row>
    <row r="59" spans="6:12">
      <c r="F59" s="232">
        <f t="shared" ref="F59:F68" si="17">A5</f>
        <v>3</v>
      </c>
      <c r="G59" s="232">
        <f t="shared" ref="G59:G68" si="18">C5</f>
        <v>38</v>
      </c>
      <c r="H59">
        <f t="shared" ref="H59:H68" si="19">F27</f>
        <v>42.746177132655433</v>
      </c>
      <c r="J59" s="232">
        <f t="shared" si="15"/>
        <v>7</v>
      </c>
      <c r="K59" s="232">
        <f t="shared" si="16"/>
        <v>38</v>
      </c>
      <c r="L59">
        <f t="shared" ref="L59:L68" si="20">H59</f>
        <v>42.746177132655433</v>
      </c>
    </row>
    <row r="60" spans="6:12">
      <c r="F60" s="232">
        <f t="shared" si="17"/>
        <v>5</v>
      </c>
      <c r="G60" s="232">
        <f t="shared" si="18"/>
        <v>51</v>
      </c>
      <c r="H60">
        <f t="shared" si="19"/>
        <v>56.295169344614322</v>
      </c>
      <c r="J60" s="232">
        <f t="shared" si="15"/>
        <v>8</v>
      </c>
      <c r="K60" s="232">
        <f t="shared" si="16"/>
        <v>51</v>
      </c>
      <c r="L60">
        <f t="shared" si="20"/>
        <v>56.295169344614322</v>
      </c>
    </row>
    <row r="61" spans="6:12">
      <c r="F61" s="232">
        <f t="shared" si="17"/>
        <v>8</v>
      </c>
      <c r="G61" s="232">
        <f t="shared" si="18"/>
        <v>38</v>
      </c>
      <c r="H61">
        <f t="shared" si="19"/>
        <v>44.672126057595207</v>
      </c>
      <c r="J61" s="232">
        <f t="shared" si="15"/>
        <v>1</v>
      </c>
      <c r="K61" s="232">
        <f t="shared" si="16"/>
        <v>38</v>
      </c>
      <c r="L61">
        <f t="shared" si="20"/>
        <v>44.672126057595207</v>
      </c>
    </row>
    <row r="62" spans="6:12">
      <c r="F62" s="232">
        <f t="shared" si="17"/>
        <v>9</v>
      </c>
      <c r="G62" s="232">
        <f t="shared" si="18"/>
        <v>55</v>
      </c>
      <c r="H62">
        <f t="shared" si="19"/>
        <v>57.08424538797891</v>
      </c>
      <c r="J62" s="232">
        <f t="shared" si="15"/>
        <v>3</v>
      </c>
      <c r="K62" s="232">
        <f t="shared" si="16"/>
        <v>55</v>
      </c>
      <c r="L62">
        <f t="shared" si="20"/>
        <v>57.08424538797891</v>
      </c>
    </row>
    <row r="63" spans="6:12">
      <c r="F63" s="232">
        <f t="shared" si="17"/>
        <v>5</v>
      </c>
      <c r="G63" s="232">
        <f t="shared" si="18"/>
        <v>43</v>
      </c>
      <c r="H63">
        <f t="shared" si="19"/>
        <v>41.261507412869634</v>
      </c>
      <c r="J63" s="232">
        <f t="shared" si="15"/>
        <v>4</v>
      </c>
      <c r="K63" s="232">
        <f t="shared" si="16"/>
        <v>43</v>
      </c>
      <c r="L63">
        <f t="shared" si="20"/>
        <v>41.261507412869634</v>
      </c>
    </row>
    <row r="64" spans="6:12">
      <c r="F64" s="232">
        <f t="shared" si="17"/>
        <v>4</v>
      </c>
      <c r="G64" s="232">
        <f t="shared" si="18"/>
        <v>25</v>
      </c>
      <c r="H64">
        <f t="shared" si="19"/>
        <v>21.332557116613586</v>
      </c>
      <c r="J64" s="232">
        <f t="shared" si="15"/>
        <v>0</v>
      </c>
      <c r="K64" s="232">
        <f t="shared" si="16"/>
        <v>25</v>
      </c>
      <c r="L64">
        <f t="shared" si="20"/>
        <v>21.332557116613586</v>
      </c>
    </row>
    <row r="65" spans="6:12">
      <c r="F65" s="232">
        <f t="shared" si="17"/>
        <v>2</v>
      </c>
      <c r="G65" s="232">
        <f t="shared" si="18"/>
        <v>33</v>
      </c>
      <c r="H65">
        <f t="shared" si="19"/>
        <v>34.092473285207895</v>
      </c>
      <c r="J65" s="232">
        <f t="shared" si="15"/>
        <v>6</v>
      </c>
      <c r="K65" s="232">
        <f t="shared" si="16"/>
        <v>33</v>
      </c>
      <c r="L65">
        <f t="shared" si="20"/>
        <v>34.092473285207895</v>
      </c>
    </row>
    <row r="66" spans="6:12">
      <c r="F66" s="232">
        <f t="shared" si="17"/>
        <v>8</v>
      </c>
      <c r="G66" s="232">
        <f t="shared" si="18"/>
        <v>71</v>
      </c>
      <c r="H66">
        <f t="shared" si="19"/>
        <v>67.222618955212241</v>
      </c>
      <c r="J66" s="232">
        <f t="shared" si="15"/>
        <v>7</v>
      </c>
      <c r="K66" s="232">
        <f t="shared" si="16"/>
        <v>71</v>
      </c>
      <c r="L66">
        <f t="shared" si="20"/>
        <v>67.222618955212241</v>
      </c>
    </row>
    <row r="67" spans="6:12">
      <c r="F67" s="232">
        <f t="shared" si="17"/>
        <v>6</v>
      </c>
      <c r="G67" s="232">
        <f t="shared" si="18"/>
        <v>51</v>
      </c>
      <c r="H67">
        <f t="shared" si="19"/>
        <v>46.156795777380999</v>
      </c>
      <c r="J67" s="232">
        <f t="shared" si="15"/>
        <v>4</v>
      </c>
      <c r="K67" s="232">
        <f t="shared" si="16"/>
        <v>51</v>
      </c>
      <c r="L67">
        <f t="shared" si="20"/>
        <v>46.156795777380999</v>
      </c>
    </row>
    <row r="68" spans="6:12">
      <c r="F68" s="233">
        <f t="shared" si="17"/>
        <v>9</v>
      </c>
      <c r="G68" s="233">
        <f t="shared" si="18"/>
        <v>49</v>
      </c>
      <c r="H68" s="255">
        <f t="shared" si="19"/>
        <v>53.325829905042738</v>
      </c>
      <c r="J68" s="233">
        <f t="shared" si="15"/>
        <v>2</v>
      </c>
      <c r="K68" s="233">
        <f t="shared" si="16"/>
        <v>49</v>
      </c>
      <c r="L68" s="255">
        <f t="shared" si="20"/>
        <v>53.325829905042738</v>
      </c>
    </row>
  </sheetData>
  <mergeCells count="1">
    <mergeCell ref="Q5:R5"/>
  </mergeCells>
  <pageMargins left="0.7" right="0.7" top="0.75" bottom="0.75" header="0.3" footer="0.3"/>
  <ignoredErrors>
    <ignoredError sqref="F14" formulaRange="1"/>
  </ignoredError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07"/>
  <dimension ref="A1:K21"/>
  <sheetViews>
    <sheetView workbookViewId="0"/>
  </sheetViews>
  <sheetFormatPr defaultRowHeight="15"/>
  <cols>
    <col min="1" max="3" width="7.5703125" customWidth="1"/>
    <col min="4" max="4" width="6.5703125" customWidth="1"/>
    <col min="5" max="5" width="17.85546875" customWidth="1"/>
    <col min="6" max="6" width="13" customWidth="1"/>
    <col min="7" max="11" width="13.42578125" customWidth="1"/>
  </cols>
  <sheetData>
    <row r="1" spans="1:10">
      <c r="A1" s="1" t="s">
        <v>326</v>
      </c>
      <c r="E1" t="s">
        <v>707</v>
      </c>
    </row>
    <row r="3" spans="1:10">
      <c r="A3" s="112" t="s">
        <v>296</v>
      </c>
      <c r="B3" s="112" t="s">
        <v>297</v>
      </c>
      <c r="C3" s="112" t="s">
        <v>290</v>
      </c>
      <c r="E3" t="s">
        <v>206</v>
      </c>
    </row>
    <row r="4" spans="1:10" ht="15.75" thickBot="1">
      <c r="A4" s="297">
        <v>7</v>
      </c>
      <c r="B4" s="297">
        <v>5</v>
      </c>
      <c r="C4" s="297">
        <v>65</v>
      </c>
    </row>
    <row r="5" spans="1:10">
      <c r="A5" s="297">
        <v>3</v>
      </c>
      <c r="B5" s="297">
        <v>7</v>
      </c>
      <c r="C5" s="297">
        <v>38</v>
      </c>
      <c r="E5" s="18" t="s">
        <v>207</v>
      </c>
      <c r="F5" s="18"/>
    </row>
    <row r="6" spans="1:10">
      <c r="A6" s="297">
        <v>5</v>
      </c>
      <c r="B6" s="297">
        <v>8</v>
      </c>
      <c r="C6" s="297">
        <v>51</v>
      </c>
      <c r="E6" s="16" t="s">
        <v>208</v>
      </c>
      <c r="F6" t="e">
        <f ca="1">MultipleR(A4:B14,C4:C14)</f>
        <v>#NAME?</v>
      </c>
    </row>
    <row r="7" spans="1:10">
      <c r="A7" s="297">
        <v>8</v>
      </c>
      <c r="B7" s="297">
        <v>1</v>
      </c>
      <c r="C7" s="297">
        <v>38</v>
      </c>
      <c r="E7" s="16" t="s">
        <v>201</v>
      </c>
      <c r="F7" t="e">
        <f ca="1">RSquare(A4:B14,C4:C14)</f>
        <v>#NAME?</v>
      </c>
    </row>
    <row r="8" spans="1:10">
      <c r="A8" s="297">
        <v>9</v>
      </c>
      <c r="B8" s="297">
        <v>3</v>
      </c>
      <c r="C8" s="297">
        <v>55</v>
      </c>
      <c r="E8" s="16" t="s">
        <v>209</v>
      </c>
      <c r="F8" t="e">
        <f ca="1">AdjRSquare(A4:B14,C4:C14)</f>
        <v>#NAME?</v>
      </c>
    </row>
    <row r="9" spans="1:10">
      <c r="A9" s="297">
        <v>5</v>
      </c>
      <c r="B9" s="297">
        <v>4</v>
      </c>
      <c r="C9" s="297">
        <v>43</v>
      </c>
      <c r="E9" s="16" t="s">
        <v>9</v>
      </c>
      <c r="F9" t="e">
        <f ca="1">RegSE(A4:B14,C4:C14)</f>
        <v>#NAME?</v>
      </c>
    </row>
    <row r="10" spans="1:10" ht="15.75" thickBot="1">
      <c r="A10" s="297">
        <v>4</v>
      </c>
      <c r="B10" s="297">
        <v>0</v>
      </c>
      <c r="C10" s="297">
        <v>25</v>
      </c>
      <c r="E10" s="17" t="s">
        <v>42</v>
      </c>
      <c r="F10" s="17">
        <f>COUNT(A4:A14)</f>
        <v>11</v>
      </c>
    </row>
    <row r="11" spans="1:10">
      <c r="A11" s="297">
        <v>2</v>
      </c>
      <c r="B11" s="297">
        <v>6</v>
      </c>
      <c r="C11" s="297">
        <v>33</v>
      </c>
    </row>
    <row r="12" spans="1:10" ht="15.75" thickBot="1">
      <c r="A12" s="297">
        <v>8</v>
      </c>
      <c r="B12" s="297">
        <v>7</v>
      </c>
      <c r="C12" s="297">
        <v>71</v>
      </c>
      <c r="E12" t="s">
        <v>210</v>
      </c>
    </row>
    <row r="13" spans="1:10">
      <c r="A13" s="297">
        <v>6</v>
      </c>
      <c r="B13" s="297">
        <v>4</v>
      </c>
      <c r="C13" s="297">
        <v>51</v>
      </c>
      <c r="E13" s="299"/>
      <c r="F13" s="299" t="s">
        <v>26</v>
      </c>
      <c r="G13" s="299" t="s">
        <v>137</v>
      </c>
      <c r="H13" s="299" t="s">
        <v>156</v>
      </c>
      <c r="I13" s="299" t="s">
        <v>63</v>
      </c>
      <c r="J13" s="299" t="s">
        <v>213</v>
      </c>
    </row>
    <row r="14" spans="1:10">
      <c r="A14" s="298">
        <v>9</v>
      </c>
      <c r="B14" s="298">
        <v>2</v>
      </c>
      <c r="C14" s="298">
        <v>49</v>
      </c>
      <c r="E14" s="16" t="s">
        <v>138</v>
      </c>
      <c r="F14" t="e">
        <f ca="1">dfReg(A4:B14)</f>
        <v>#NAME?</v>
      </c>
      <c r="G14" s="16" t="e">
        <f ca="1">SSReg(A4:B14,C4:C14)</f>
        <v>#NAME?</v>
      </c>
      <c r="H14" s="16" t="e">
        <f ca="1">MSReg(A4:B14,C4:C14)</f>
        <v>#NAME?</v>
      </c>
      <c r="I14" s="16" t="e">
        <f ca="1">RegF(A4:B14,C4:C14)</f>
        <v>#NAME?</v>
      </c>
      <c r="J14" t="e">
        <f ca="1">RegTEST(A4:B14,C4:C14)</f>
        <v>#NAME?</v>
      </c>
    </row>
    <row r="15" spans="1:10">
      <c r="E15" s="16" t="s">
        <v>211</v>
      </c>
      <c r="F15" s="16" t="e">
        <f ca="1">dfRes(A4:B14)</f>
        <v>#NAME?</v>
      </c>
      <c r="G15" s="16" t="e">
        <f ca="1">SSRes(A4:B14,C4:C14)</f>
        <v>#NAME?</v>
      </c>
      <c r="H15" s="16" t="e">
        <f ca="1">MSRes(A4:B14,C4:C14)</f>
        <v>#NAME?</v>
      </c>
      <c r="I15" s="16"/>
      <c r="J15" s="16"/>
    </row>
    <row r="16" spans="1:10" ht="15.75" thickBot="1">
      <c r="E16" s="17" t="s">
        <v>1</v>
      </c>
      <c r="F16" s="17" t="e">
        <f ca="1">dfRegTot(A4:B14)</f>
        <v>#NAME?</v>
      </c>
      <c r="G16" s="17" t="e">
        <f ca="1">SSRegTot(C4:C14)</f>
        <v>#NAME?</v>
      </c>
      <c r="H16" s="17"/>
      <c r="I16" s="17"/>
      <c r="J16" s="17"/>
    </row>
    <row r="17" spans="5:11" ht="15.75" thickBot="1"/>
    <row r="18" spans="5:11">
      <c r="E18" s="299"/>
      <c r="F18" s="299" t="s">
        <v>214</v>
      </c>
      <c r="G18" s="299" t="s">
        <v>9</v>
      </c>
      <c r="H18" s="299" t="s">
        <v>45</v>
      </c>
      <c r="I18" s="299" t="s">
        <v>56</v>
      </c>
      <c r="J18" s="299" t="s">
        <v>215</v>
      </c>
      <c r="K18" s="299" t="s">
        <v>216</v>
      </c>
    </row>
    <row r="19" spans="5:11">
      <c r="E19" s="16" t="s">
        <v>212</v>
      </c>
      <c r="F19" s="16" t="e">
        <f t="array" aca="1" ref="F19:F21" ca="1">RegCoeff(A4:B14,C4:C14)</f>
        <v>#NAME?</v>
      </c>
      <c r="G19" s="16" t="e">
        <f t="array" aca="1" ref="G19:G21" ca="1">RegCoeffSE(A4:B14,C4:C14)</f>
        <v>#NAME?</v>
      </c>
      <c r="H19" s="16" t="e">
        <f ca="1">F19/G19</f>
        <v>#NAME?</v>
      </c>
      <c r="I19" s="16" t="e">
        <f ca="1">TDIST(ABS(H19),$F$15,2)</f>
        <v>#NAME?</v>
      </c>
      <c r="J19" s="16" t="e">
        <f ca="1">F19-TINV(0.05,$F$15)*G19</f>
        <v>#NAME?</v>
      </c>
      <c r="K19" s="16" t="e">
        <f ca="1">F19+TINV(0.05,$F$15)*G19</f>
        <v>#NAME?</v>
      </c>
    </row>
    <row r="20" spans="5:11">
      <c r="E20" s="16" t="s">
        <v>296</v>
      </c>
      <c r="F20" s="16" t="e">
        <f ca="1"/>
        <v>#NAME?</v>
      </c>
      <c r="G20" s="16" t="e">
        <f ca="1"/>
        <v>#NAME?</v>
      </c>
      <c r="H20" s="16" t="e">
        <f ca="1">F20/G20</f>
        <v>#NAME?</v>
      </c>
      <c r="I20" s="16" t="e">
        <f ca="1">TDIST(ABS(H20),$F$15,2)</f>
        <v>#NAME?</v>
      </c>
      <c r="J20" s="16" t="e">
        <f ca="1">F20-TINV(0.05,$F$15)*G20</f>
        <v>#NAME?</v>
      </c>
      <c r="K20" s="16" t="e">
        <f ca="1">F20+TINV(0.05,$F$15)*G20</f>
        <v>#NAME?</v>
      </c>
    </row>
    <row r="21" spans="5:11" ht="15.75" thickBot="1">
      <c r="E21" s="17" t="s">
        <v>297</v>
      </c>
      <c r="F21" s="17" t="e">
        <f ca="1"/>
        <v>#NAME?</v>
      </c>
      <c r="G21" s="17" t="e">
        <f ca="1"/>
        <v>#NAME?</v>
      </c>
      <c r="H21" s="17" t="e">
        <f ca="1">F21/G21</f>
        <v>#NAME?</v>
      </c>
      <c r="I21" s="17" t="e">
        <f ca="1">TDIST(ABS(H21),$F$15,2)</f>
        <v>#NAME?</v>
      </c>
      <c r="J21" s="17" t="e">
        <f ca="1">F21-TINV(0.05,$F$15)*G21</f>
        <v>#NAME?</v>
      </c>
      <c r="K21" s="17" t="e">
        <f ca="1">F21+TINV(0.05,$F$15)*G21</f>
        <v>#NAME?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53"/>
  <dimension ref="A1:L21"/>
  <sheetViews>
    <sheetView workbookViewId="0"/>
  </sheetViews>
  <sheetFormatPr defaultRowHeight="15"/>
  <cols>
    <col min="1" max="3" width="7.5703125" customWidth="1"/>
    <col min="4" max="4" width="6.5703125" customWidth="1"/>
    <col min="5" max="5" width="17.28515625" customWidth="1"/>
  </cols>
  <sheetData>
    <row r="1" spans="1:11">
      <c r="A1" s="1" t="s">
        <v>708</v>
      </c>
    </row>
    <row r="3" spans="1:11">
      <c r="A3" s="112" t="s">
        <v>296</v>
      </c>
      <c r="B3" s="112" t="s">
        <v>297</v>
      </c>
      <c r="C3" s="112" t="s">
        <v>290</v>
      </c>
      <c r="E3" t="s">
        <v>601</v>
      </c>
    </row>
    <row r="4" spans="1:11">
      <c r="A4" s="357">
        <v>7</v>
      </c>
      <c r="B4" s="357">
        <v>5</v>
      </c>
      <c r="C4" s="357">
        <v>65</v>
      </c>
    </row>
    <row r="5" spans="1:11" ht="15.75" thickBot="1">
      <c r="A5" s="357">
        <v>3</v>
      </c>
      <c r="B5" s="357">
        <v>7</v>
      </c>
      <c r="C5" s="357">
        <v>38</v>
      </c>
      <c r="E5" s="364" t="s">
        <v>606</v>
      </c>
      <c r="F5" s="364"/>
      <c r="H5" s="364"/>
      <c r="I5" s="364"/>
    </row>
    <row r="6" spans="1:11" ht="15.75" thickTop="1">
      <c r="A6" s="357">
        <v>5</v>
      </c>
      <c r="B6" s="357">
        <v>8</v>
      </c>
      <c r="C6" s="357">
        <v>51</v>
      </c>
      <c r="E6" t="s">
        <v>208</v>
      </c>
      <c r="F6" t="e">
        <f ca="1">SQRT(F7)</f>
        <v>#NAME?</v>
      </c>
      <c r="H6" t="s">
        <v>498</v>
      </c>
      <c r="I6" t="e">
        <f ca="1">F10*LN(G15/F10)+2*(F14+1)</f>
        <v>#NAME?</v>
      </c>
    </row>
    <row r="7" spans="1:11">
      <c r="A7" s="357">
        <v>8</v>
      </c>
      <c r="B7" s="357">
        <v>1</v>
      </c>
      <c r="C7" s="357">
        <v>38</v>
      </c>
      <c r="E7" t="s">
        <v>201</v>
      </c>
      <c r="F7" t="e">
        <f ca="1">G14/G16</f>
        <v>#NAME?</v>
      </c>
      <c r="H7" t="s">
        <v>499</v>
      </c>
      <c r="I7" t="e">
        <f ca="1">I6+2*(F14+2)*(F14+3)/(F10-F14-3)</f>
        <v>#NAME?</v>
      </c>
    </row>
    <row r="8" spans="1:11">
      <c r="A8" s="357">
        <v>9</v>
      </c>
      <c r="B8" s="357">
        <v>3</v>
      </c>
      <c r="C8" s="357">
        <v>55</v>
      </c>
      <c r="E8" t="s">
        <v>209</v>
      </c>
      <c r="F8" t="e">
        <f ca="1">1-(1-F7)*(F10-1)/(F10-F14-1)</f>
        <v>#NAME?</v>
      </c>
      <c r="H8" s="380" t="s">
        <v>762</v>
      </c>
      <c r="I8" s="380" t="e">
        <f ca="1">F10*LN(G15/F10)+(F14+1)*LN(F10)</f>
        <v>#NAME?</v>
      </c>
    </row>
    <row r="9" spans="1:11">
      <c r="A9" s="357">
        <v>5</v>
      </c>
      <c r="B9" s="357">
        <v>4</v>
      </c>
      <c r="C9" s="357">
        <v>43</v>
      </c>
      <c r="E9" t="s">
        <v>9</v>
      </c>
      <c r="F9" t="e">
        <f ca="1">SQRT(H15)</f>
        <v>#NAME?</v>
      </c>
    </row>
    <row r="10" spans="1:11">
      <c r="A10" s="357">
        <v>4</v>
      </c>
      <c r="B10" s="357">
        <v>0</v>
      </c>
      <c r="C10" s="357">
        <v>25</v>
      </c>
      <c r="E10" s="380" t="s">
        <v>42</v>
      </c>
      <c r="F10" s="380">
        <f>COUNT(C4:C14)</f>
        <v>11</v>
      </c>
    </row>
    <row r="11" spans="1:11">
      <c r="A11" s="357">
        <v>2</v>
      </c>
      <c r="B11" s="357">
        <v>6</v>
      </c>
      <c r="C11" s="357">
        <v>33</v>
      </c>
    </row>
    <row r="12" spans="1:11" ht="15.75" thickBot="1">
      <c r="A12" s="357">
        <v>8</v>
      </c>
      <c r="B12" s="357">
        <v>7</v>
      </c>
      <c r="C12" s="357">
        <v>71</v>
      </c>
      <c r="E12" t="s">
        <v>210</v>
      </c>
      <c r="I12" s="512" t="s">
        <v>16</v>
      </c>
      <c r="J12" s="512">
        <v>0.05</v>
      </c>
    </row>
    <row r="13" spans="1:11" ht="15.75" thickTop="1">
      <c r="A13" s="357">
        <v>6</v>
      </c>
      <c r="B13" s="357">
        <v>4</v>
      </c>
      <c r="C13" s="357">
        <v>51</v>
      </c>
      <c r="E13" s="398"/>
      <c r="F13" s="398" t="s">
        <v>26</v>
      </c>
      <c r="G13" s="398" t="s">
        <v>137</v>
      </c>
      <c r="H13" s="398" t="s">
        <v>156</v>
      </c>
      <c r="I13" s="398" t="s">
        <v>63</v>
      </c>
      <c r="J13" s="398" t="s">
        <v>30</v>
      </c>
      <c r="K13" s="398" t="s">
        <v>374</v>
      </c>
    </row>
    <row r="14" spans="1:11">
      <c r="A14" s="359">
        <v>9</v>
      </c>
      <c r="B14" s="359">
        <v>2</v>
      </c>
      <c r="C14" s="359">
        <v>49</v>
      </c>
      <c r="E14" t="s">
        <v>138</v>
      </c>
      <c r="F14">
        <f>COUNT(A4:B4)</f>
        <v>2</v>
      </c>
      <c r="G14" t="e">
        <f ca="1">DEVSQ(MMULT(DESIGN(A4:B14),F19:F21))</f>
        <v>#NAME?</v>
      </c>
      <c r="H14" t="e">
        <f ca="1">G14/F14</f>
        <v>#NAME?</v>
      </c>
      <c r="I14" t="e">
        <f ca="1">H14/H15</f>
        <v>#NAME?</v>
      </c>
      <c r="J14" t="e">
        <f ca="1">FDIST(I14,F14,F15)</f>
        <v>#NAME?</v>
      </c>
      <c r="K14" s="512" t="e">
        <f ca="1">IF(J14&lt;J12,"yes","no")</f>
        <v>#NAME?</v>
      </c>
    </row>
    <row r="15" spans="1:11">
      <c r="E15" t="s">
        <v>211</v>
      </c>
      <c r="F15">
        <f>F16-F14</f>
        <v>8</v>
      </c>
      <c r="G15" t="e">
        <f ca="1">G16-G14</f>
        <v>#NAME?</v>
      </c>
      <c r="H15" t="e">
        <f ca="1">G15/F15</f>
        <v>#NAME?</v>
      </c>
    </row>
    <row r="16" spans="1:11">
      <c r="E16" s="380" t="s">
        <v>1</v>
      </c>
      <c r="F16" s="380">
        <f>F10-1</f>
        <v>10</v>
      </c>
      <c r="G16" s="380">
        <f>DEVSQ(C4:C14)</f>
        <v>1857.6363636363633</v>
      </c>
      <c r="H16" s="380"/>
      <c r="I16" s="380"/>
      <c r="J16" s="380"/>
      <c r="K16" s="380"/>
    </row>
    <row r="17" spans="5:12" ht="15.75" thickBot="1"/>
    <row r="18" spans="5:12" ht="15.75" thickTop="1">
      <c r="E18" s="398"/>
      <c r="F18" s="398" t="s">
        <v>600</v>
      </c>
      <c r="G18" s="398" t="s">
        <v>503</v>
      </c>
      <c r="H18" s="398" t="s">
        <v>27</v>
      </c>
      <c r="I18" s="398" t="s">
        <v>30</v>
      </c>
      <c r="J18" s="398" t="s">
        <v>13</v>
      </c>
      <c r="K18" s="398" t="s">
        <v>14</v>
      </c>
      <c r="L18" s="398" t="s">
        <v>750</v>
      </c>
    </row>
    <row r="19" spans="5:12">
      <c r="E19" t="s">
        <v>212</v>
      </c>
      <c r="F19" t="e">
        <f t="array" aca="1" ref="F19:G21" ca="1">RegCoeff(A4:B14,C4:C14)</f>
        <v>#NAME?</v>
      </c>
      <c r="G19" t="e">
        <f ca="1"/>
        <v>#NAME?</v>
      </c>
      <c r="H19" t="e">
        <f ca="1">F19/G19</f>
        <v>#NAME?</v>
      </c>
      <c r="I19" t="e">
        <f ca="1">TDIST(ABS(H19),$F$15,2)</f>
        <v>#NAME?</v>
      </c>
      <c r="J19" t="e">
        <f ca="1">F19-TINV(J$12,$F$15)*G19</f>
        <v>#NAME?</v>
      </c>
      <c r="K19" t="e">
        <f ca="1">F19+TINV(J$12,$F$15)*G19</f>
        <v>#NAME?</v>
      </c>
    </row>
    <row r="20" spans="5:12">
      <c r="E20" t="str">
        <f t="array" ref="E20:E21">TRANSPOSE(A3:B3)</f>
        <v>Color</v>
      </c>
      <c r="F20" t="e">
        <f ca="1"/>
        <v>#NAME?</v>
      </c>
      <c r="G20" t="e">
        <f ca="1"/>
        <v>#NAME?</v>
      </c>
      <c r="H20" t="e">
        <f ca="1">F20/G20</f>
        <v>#NAME?</v>
      </c>
      <c r="I20" t="e">
        <f ca="1">TDIST(ABS(H20),$F$15,2)</f>
        <v>#NAME?</v>
      </c>
      <c r="J20" t="e">
        <f ca="1">F20-TINV(J$12,$F$15)*G20</f>
        <v>#NAME?</v>
      </c>
      <c r="K20" t="e">
        <f ca="1">F20+TINV(J$12,$F$15)*G20</f>
        <v>#NAME?</v>
      </c>
      <c r="L20" t="e">
        <f ca="1">VIF(A4:B14,1)</f>
        <v>#NAME?</v>
      </c>
    </row>
    <row r="21" spans="5:12">
      <c r="E21" s="380" t="str">
        <v>Quality</v>
      </c>
      <c r="F21" s="380" t="e">
        <f ca="1"/>
        <v>#NAME?</v>
      </c>
      <c r="G21" s="380" t="e">
        <f ca="1"/>
        <v>#NAME?</v>
      </c>
      <c r="H21" s="380" t="e">
        <f ca="1">F21/G21</f>
        <v>#NAME?</v>
      </c>
      <c r="I21" s="380" t="e">
        <f ca="1">TDIST(ABS(H21),$F$15,2)</f>
        <v>#NAME?</v>
      </c>
      <c r="J21" s="380" t="e">
        <f ca="1">F21-TINV(J$12,$F$15)*G21</f>
        <v>#NAME?</v>
      </c>
      <c r="K21" s="380" t="e">
        <f ca="1">F21+TINV(J$12,$F$15)*G21</f>
        <v>#NAME?</v>
      </c>
      <c r="L21" s="380" t="e">
        <f ca="1">VIF(A4:B14,2)</f>
        <v>#NAME?</v>
      </c>
    </row>
  </sheetData>
  <pageMargins left="0.7" right="0.7" top="0.75" bottom="0.75" header="0.3" footer="0.3"/>
  <pageSetup paperSize="9" orientation="portrait" verticalDpi="0" r:id="rId1"/>
  <ignoredErrors>
    <ignoredError sqref="F14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0"/>
  <dimension ref="A1:S45"/>
  <sheetViews>
    <sheetView workbookViewId="0"/>
  </sheetViews>
  <sheetFormatPr defaultRowHeight="15"/>
  <cols>
    <col min="1" max="1" width="6.5703125" customWidth="1"/>
    <col min="6" max="6" width="7.140625" customWidth="1"/>
    <col min="12" max="12" width="17" customWidth="1"/>
    <col min="13" max="13" width="10.140625" customWidth="1"/>
    <col min="14" max="14" width="12.5703125" customWidth="1"/>
    <col min="15" max="15" width="11" customWidth="1"/>
  </cols>
  <sheetData>
    <row r="1" spans="1:19">
      <c r="A1" s="1" t="s">
        <v>711</v>
      </c>
      <c r="L1" t="s">
        <v>601</v>
      </c>
    </row>
    <row r="3" spans="1:19" ht="15.75" thickBot="1">
      <c r="A3" s="11" t="s">
        <v>2</v>
      </c>
      <c r="B3" s="11" t="s">
        <v>712</v>
      </c>
      <c r="C3" s="11" t="s">
        <v>398</v>
      </c>
      <c r="D3" s="11" t="s">
        <v>3</v>
      </c>
      <c r="F3" s="11" t="s">
        <v>2</v>
      </c>
      <c r="G3" s="11" t="s">
        <v>716</v>
      </c>
      <c r="H3" s="11" t="s">
        <v>717</v>
      </c>
      <c r="I3" s="11" t="s">
        <v>718</v>
      </c>
      <c r="J3" s="11" t="s">
        <v>3</v>
      </c>
      <c r="L3" s="364" t="s">
        <v>606</v>
      </c>
      <c r="M3" s="364"/>
      <c r="O3" s="364"/>
      <c r="P3" s="364"/>
    </row>
    <row r="4" spans="1:19" ht="15.75" thickTop="1">
      <c r="A4" s="411">
        <v>20</v>
      </c>
      <c r="B4" s="416" t="s">
        <v>713</v>
      </c>
      <c r="C4" s="416" t="s">
        <v>59</v>
      </c>
      <c r="D4" s="412">
        <v>45000</v>
      </c>
      <c r="F4" s="411">
        <v>20</v>
      </c>
      <c r="G4" s="416">
        <v>1</v>
      </c>
      <c r="H4" s="416">
        <v>0</v>
      </c>
      <c r="I4" s="416">
        <v>1</v>
      </c>
      <c r="J4" s="412">
        <v>45000</v>
      </c>
      <c r="L4" t="s">
        <v>208</v>
      </c>
      <c r="M4" t="e">
        <f ca="1">SQRT(M5)</f>
        <v>#NAME?</v>
      </c>
      <c r="O4" t="s">
        <v>498</v>
      </c>
      <c r="P4" t="e">
        <f ca="1">M8*LN(N13/M8)+2*(M12+1)</f>
        <v>#NAME?</v>
      </c>
    </row>
    <row r="5" spans="1:19">
      <c r="A5" s="294">
        <v>25</v>
      </c>
      <c r="B5" s="22" t="s">
        <v>714</v>
      </c>
      <c r="C5" s="22" t="s">
        <v>59</v>
      </c>
      <c r="D5" s="295">
        <v>39000</v>
      </c>
      <c r="F5" s="294">
        <v>25</v>
      </c>
      <c r="G5" s="22">
        <v>0</v>
      </c>
      <c r="H5" s="22">
        <v>1</v>
      </c>
      <c r="I5" s="22">
        <v>1</v>
      </c>
      <c r="J5" s="295">
        <v>39000</v>
      </c>
      <c r="L5" t="s">
        <v>201</v>
      </c>
      <c r="M5" t="e">
        <f ca="1">N12/N14</f>
        <v>#NAME?</v>
      </c>
      <c r="O5" t="s">
        <v>499</v>
      </c>
      <c r="P5" t="e">
        <f ca="1">P4+2*(M12+2)*(M12+3)/(M8-M12-3)</f>
        <v>#NAME?</v>
      </c>
    </row>
    <row r="6" spans="1:19">
      <c r="A6" s="294">
        <v>45</v>
      </c>
      <c r="B6" s="22" t="s">
        <v>715</v>
      </c>
      <c r="C6" s="22" t="s">
        <v>59</v>
      </c>
      <c r="D6" s="295">
        <v>56000</v>
      </c>
      <c r="F6" s="294">
        <v>45</v>
      </c>
      <c r="G6" s="22">
        <v>0</v>
      </c>
      <c r="H6" s="22">
        <v>0</v>
      </c>
      <c r="I6" s="22">
        <v>1</v>
      </c>
      <c r="J6" s="295">
        <v>56000</v>
      </c>
      <c r="L6" t="s">
        <v>209</v>
      </c>
      <c r="M6" t="e">
        <f ca="1">1-(1-M5)*(M8-1)/(M8-M12-1)</f>
        <v>#NAME?</v>
      </c>
      <c r="O6" s="380" t="s">
        <v>762</v>
      </c>
      <c r="P6" s="380" t="e">
        <f ca="1">M8*LN(N13/M8)+(M12+1)*LN(M8)</f>
        <v>#NAME?</v>
      </c>
    </row>
    <row r="7" spans="1:19">
      <c r="A7" s="294">
        <v>35</v>
      </c>
      <c r="B7" s="22" t="s">
        <v>713</v>
      </c>
      <c r="C7" s="22" t="s">
        <v>54</v>
      </c>
      <c r="D7" s="295">
        <v>49000</v>
      </c>
      <c r="F7" s="294">
        <v>35</v>
      </c>
      <c r="G7" s="22">
        <v>1</v>
      </c>
      <c r="H7" s="22">
        <v>0</v>
      </c>
      <c r="I7" s="22">
        <v>0</v>
      </c>
      <c r="J7" s="295">
        <v>49000</v>
      </c>
      <c r="L7" t="s">
        <v>9</v>
      </c>
      <c r="M7" t="e">
        <f ca="1">SQRT(O13)</f>
        <v>#NAME?</v>
      </c>
    </row>
    <row r="8" spans="1:19">
      <c r="A8" s="294">
        <v>50</v>
      </c>
      <c r="B8" s="22" t="s">
        <v>714</v>
      </c>
      <c r="C8" s="22" t="s">
        <v>54</v>
      </c>
      <c r="D8" s="295">
        <v>41000</v>
      </c>
      <c r="F8" s="294">
        <v>50</v>
      </c>
      <c r="G8" s="22">
        <v>0</v>
      </c>
      <c r="H8" s="22">
        <v>1</v>
      </c>
      <c r="I8" s="22">
        <v>0</v>
      </c>
      <c r="J8" s="295">
        <v>41000</v>
      </c>
      <c r="L8" s="380" t="s">
        <v>42</v>
      </c>
      <c r="M8" s="380">
        <f>COUNT(J4:J19)</f>
        <v>16</v>
      </c>
    </row>
    <row r="9" spans="1:19">
      <c r="A9" s="294">
        <v>55</v>
      </c>
      <c r="B9" s="22" t="s">
        <v>715</v>
      </c>
      <c r="C9" s="22" t="s">
        <v>54</v>
      </c>
      <c r="D9" s="295">
        <v>42000</v>
      </c>
      <c r="F9" s="294">
        <v>55</v>
      </c>
      <c r="G9" s="22">
        <v>0</v>
      </c>
      <c r="H9" s="22">
        <v>0</v>
      </c>
      <c r="I9" s="22">
        <v>0</v>
      </c>
      <c r="J9" s="295">
        <v>42000</v>
      </c>
    </row>
    <row r="10" spans="1:19" ht="15.75" thickBot="1">
      <c r="A10" s="294">
        <v>39</v>
      </c>
      <c r="B10" s="22" t="s">
        <v>713</v>
      </c>
      <c r="C10" s="22" t="s">
        <v>59</v>
      </c>
      <c r="D10" s="295">
        <v>58000</v>
      </c>
      <c r="F10" s="294">
        <v>39</v>
      </c>
      <c r="G10" s="22">
        <v>1</v>
      </c>
      <c r="H10" s="22">
        <v>0</v>
      </c>
      <c r="I10" s="22">
        <v>1</v>
      </c>
      <c r="J10" s="295">
        <v>58000</v>
      </c>
      <c r="L10" t="s">
        <v>210</v>
      </c>
      <c r="P10" s="512" t="s">
        <v>16</v>
      </c>
      <c r="Q10" s="512">
        <v>0.05</v>
      </c>
    </row>
    <row r="11" spans="1:19" ht="15.75" thickTop="1">
      <c r="A11" s="294">
        <v>48</v>
      </c>
      <c r="B11" s="22" t="s">
        <v>714</v>
      </c>
      <c r="C11" s="22" t="s">
        <v>59</v>
      </c>
      <c r="D11" s="295">
        <v>55000</v>
      </c>
      <c r="F11" s="294">
        <v>48</v>
      </c>
      <c r="G11" s="22">
        <v>0</v>
      </c>
      <c r="H11" s="22">
        <v>1</v>
      </c>
      <c r="I11" s="22">
        <v>1</v>
      </c>
      <c r="J11" s="295">
        <v>55000</v>
      </c>
      <c r="L11" s="398"/>
      <c r="M11" s="398" t="s">
        <v>26</v>
      </c>
      <c r="N11" s="398" t="s">
        <v>137</v>
      </c>
      <c r="O11" s="398" t="s">
        <v>156</v>
      </c>
      <c r="P11" s="398" t="s">
        <v>63</v>
      </c>
      <c r="Q11" s="398" t="s">
        <v>30</v>
      </c>
      <c r="R11" s="398" t="s">
        <v>374</v>
      </c>
    </row>
    <row r="12" spans="1:19">
      <c r="A12" s="294">
        <v>30</v>
      </c>
      <c r="B12" s="22" t="s">
        <v>715</v>
      </c>
      <c r="C12" s="22" t="s">
        <v>59</v>
      </c>
      <c r="D12" s="295">
        <v>46000</v>
      </c>
      <c r="F12" s="294">
        <v>30</v>
      </c>
      <c r="G12" s="22">
        <v>0</v>
      </c>
      <c r="H12" s="22">
        <v>0</v>
      </c>
      <c r="I12" s="22">
        <v>1</v>
      </c>
      <c r="J12" s="295">
        <v>46000</v>
      </c>
      <c r="L12" t="s">
        <v>138</v>
      </c>
      <c r="M12">
        <f>COUNT(F4:I4)</f>
        <v>4</v>
      </c>
      <c r="N12" t="e">
        <f ca="1">DEVSQ(MMULT(DESIGN(F4:I19),M17:M21))</f>
        <v>#NAME?</v>
      </c>
      <c r="O12" t="e">
        <f ca="1">N12/M12</f>
        <v>#NAME?</v>
      </c>
      <c r="P12" t="e">
        <f ca="1">O12/O13</f>
        <v>#NAME?</v>
      </c>
      <c r="Q12" t="e">
        <f ca="1">FDIST(P12,M12,M13)</f>
        <v>#NAME?</v>
      </c>
      <c r="R12" s="512" t="e">
        <f ca="1">IF(Q12&lt;Q10,"yes","no")</f>
        <v>#NAME?</v>
      </c>
    </row>
    <row r="13" spans="1:19">
      <c r="A13" s="294">
        <v>27</v>
      </c>
      <c r="B13" s="22" t="s">
        <v>713</v>
      </c>
      <c r="C13" s="22" t="s">
        <v>54</v>
      </c>
      <c r="D13" s="295">
        <v>42000</v>
      </c>
      <c r="F13" s="294">
        <v>27</v>
      </c>
      <c r="G13" s="22">
        <v>1</v>
      </c>
      <c r="H13" s="22">
        <v>0</v>
      </c>
      <c r="I13" s="22">
        <v>0</v>
      </c>
      <c r="J13" s="295">
        <v>42000</v>
      </c>
      <c r="L13" t="s">
        <v>211</v>
      </c>
      <c r="M13">
        <f>M14-M12</f>
        <v>11</v>
      </c>
      <c r="N13" t="e">
        <f ca="1">N14-N12</f>
        <v>#NAME?</v>
      </c>
      <c r="O13" t="e">
        <f ca="1">N13/M13</f>
        <v>#NAME?</v>
      </c>
    </row>
    <row r="14" spans="1:19">
      <c r="A14" s="294">
        <v>47</v>
      </c>
      <c r="B14" s="22" t="s">
        <v>714</v>
      </c>
      <c r="C14" s="22" t="s">
        <v>54</v>
      </c>
      <c r="D14" s="295">
        <v>37000</v>
      </c>
      <c r="F14" s="294">
        <v>47</v>
      </c>
      <c r="G14" s="22">
        <v>0</v>
      </c>
      <c r="H14" s="22">
        <v>1</v>
      </c>
      <c r="I14" s="22">
        <v>0</v>
      </c>
      <c r="J14" s="295">
        <v>37000</v>
      </c>
      <c r="L14" s="380" t="s">
        <v>1</v>
      </c>
      <c r="M14" s="380">
        <f>M8-1</f>
        <v>15</v>
      </c>
      <c r="N14" s="380">
        <f>DEVSQ(J4:J19)</f>
        <v>2065000000</v>
      </c>
      <c r="O14" s="380"/>
      <c r="P14" s="380"/>
      <c r="Q14" s="380"/>
      <c r="R14" s="380"/>
    </row>
    <row r="15" spans="1:19" ht="15.75" thickBot="1">
      <c r="A15" s="294">
        <v>21</v>
      </c>
      <c r="B15" s="22" t="s">
        <v>715</v>
      </c>
      <c r="C15" s="22" t="s">
        <v>54</v>
      </c>
      <c r="D15" s="295">
        <v>25000</v>
      </c>
      <c r="F15" s="294">
        <v>21</v>
      </c>
      <c r="G15" s="22">
        <v>0</v>
      </c>
      <c r="H15" s="22">
        <v>0</v>
      </c>
      <c r="I15" s="22">
        <v>0</v>
      </c>
      <c r="J15" s="295">
        <v>25000</v>
      </c>
    </row>
    <row r="16" spans="1:19" ht="15.75" thickTop="1">
      <c r="A16" s="294">
        <v>48</v>
      </c>
      <c r="B16" s="22" t="s">
        <v>713</v>
      </c>
      <c r="C16" s="22" t="s">
        <v>59</v>
      </c>
      <c r="D16" s="295">
        <v>75000</v>
      </c>
      <c r="F16" s="294">
        <v>48</v>
      </c>
      <c r="G16" s="22">
        <v>1</v>
      </c>
      <c r="H16" s="22">
        <v>0</v>
      </c>
      <c r="I16" s="22">
        <v>1</v>
      </c>
      <c r="J16" s="295">
        <v>75000</v>
      </c>
      <c r="L16" s="398"/>
      <c r="M16" s="398" t="s">
        <v>600</v>
      </c>
      <c r="N16" s="398" t="s">
        <v>503</v>
      </c>
      <c r="O16" s="398" t="s">
        <v>27</v>
      </c>
      <c r="P16" s="398" t="s">
        <v>30</v>
      </c>
      <c r="Q16" s="398" t="s">
        <v>13</v>
      </c>
      <c r="R16" s="398" t="s">
        <v>14</v>
      </c>
      <c r="S16" s="398" t="s">
        <v>750</v>
      </c>
    </row>
    <row r="17" spans="1:19">
      <c r="A17" s="294">
        <v>24</v>
      </c>
      <c r="B17" s="22" t="s">
        <v>715</v>
      </c>
      <c r="C17" s="22" t="s">
        <v>59</v>
      </c>
      <c r="D17" s="295">
        <v>43000</v>
      </c>
      <c r="F17" s="294">
        <v>24</v>
      </c>
      <c r="G17" s="22">
        <v>0</v>
      </c>
      <c r="H17" s="22">
        <v>0</v>
      </c>
      <c r="I17" s="22">
        <v>1</v>
      </c>
      <c r="J17" s="295">
        <v>43000</v>
      </c>
      <c r="L17" t="s">
        <v>212</v>
      </c>
      <c r="M17" t="e">
        <f t="array" aca="1" ref="M17:N21" ca="1">RegCoeff(F4:I19,J4:J19)</f>
        <v>#NAME?</v>
      </c>
      <c r="N17" t="e">
        <f ca="1"/>
        <v>#NAME?</v>
      </c>
      <c r="O17" t="e">
        <f ca="1">M17/N17</f>
        <v>#NAME?</v>
      </c>
      <c r="P17" t="e">
        <f ca="1">TDIST(ABS(O17),$M$13,2)</f>
        <v>#NAME?</v>
      </c>
      <c r="Q17" t="e">
        <f ca="1">M17-TINV(Q$10,$M$13)*N17</f>
        <v>#NAME?</v>
      </c>
      <c r="R17" t="e">
        <f ca="1">M17+TINV(Q$10,$M$13)*N17</f>
        <v>#NAME?</v>
      </c>
    </row>
    <row r="18" spans="1:19">
      <c r="A18" s="294">
        <v>28</v>
      </c>
      <c r="B18" s="22" t="s">
        <v>715</v>
      </c>
      <c r="C18" s="22" t="s">
        <v>54</v>
      </c>
      <c r="D18" s="295">
        <v>40000</v>
      </c>
      <c r="F18" s="294">
        <v>28</v>
      </c>
      <c r="G18" s="22">
        <v>0</v>
      </c>
      <c r="H18" s="22">
        <v>0</v>
      </c>
      <c r="I18" s="22">
        <v>0</v>
      </c>
      <c r="J18" s="295">
        <v>40000</v>
      </c>
      <c r="L18" t="str">
        <f t="array" ref="L18:L21">TRANSPOSE(F3:I3)</f>
        <v>Age</v>
      </c>
      <c r="M18" t="e">
        <f ca="1"/>
        <v>#NAME?</v>
      </c>
      <c r="N18" t="e">
        <f ca="1"/>
        <v>#NAME?</v>
      </c>
      <c r="O18" t="e">
        <f ca="1">M18/N18</f>
        <v>#NAME?</v>
      </c>
      <c r="P18" t="e">
        <f ca="1">TDIST(ABS(O18),$M$13,2)</f>
        <v>#NAME?</v>
      </c>
      <c r="Q18" t="e">
        <f ca="1">M18-TINV(Q$10,$M$13)*N18</f>
        <v>#NAME?</v>
      </c>
      <c r="R18" t="e">
        <f ca="1">M18+TINV(Q$10,$M$13)*N18</f>
        <v>#NAME?</v>
      </c>
      <c r="S18" t="e">
        <f ca="1">VIF(F4:I19,1)</f>
        <v>#NAME?</v>
      </c>
    </row>
    <row r="19" spans="1:19">
      <c r="A19" s="284">
        <v>40</v>
      </c>
      <c r="B19" s="415" t="s">
        <v>714</v>
      </c>
      <c r="C19" s="415" t="s">
        <v>54</v>
      </c>
      <c r="D19" s="288">
        <v>31000</v>
      </c>
      <c r="F19" s="284">
        <v>40</v>
      </c>
      <c r="G19" s="415">
        <v>0</v>
      </c>
      <c r="H19" s="415">
        <v>1</v>
      </c>
      <c r="I19" s="415">
        <v>0</v>
      </c>
      <c r="J19" s="288">
        <v>31000</v>
      </c>
      <c r="L19" t="str">
        <v>Party 1</v>
      </c>
      <c r="M19" t="e">
        <f ca="1"/>
        <v>#NAME?</v>
      </c>
      <c r="N19" t="e">
        <f ca="1"/>
        <v>#NAME?</v>
      </c>
      <c r="O19" t="e">
        <f ca="1">M19/N19</f>
        <v>#NAME?</v>
      </c>
      <c r="P19" t="e">
        <f ca="1">TDIST(ABS(O19),$M$13,2)</f>
        <v>#NAME?</v>
      </c>
      <c r="Q19" t="e">
        <f ca="1">M19-TINV(Q$10,$M$13)*N19</f>
        <v>#NAME?</v>
      </c>
      <c r="R19" t="e">
        <f ca="1">M19+TINV(Q$10,$M$13)*N19</f>
        <v>#NAME?</v>
      </c>
      <c r="S19" t="e">
        <f ca="1">VIF(F4:I19,2)</f>
        <v>#NAME?</v>
      </c>
    </row>
    <row r="20" spans="1:19">
      <c r="L20" t="str">
        <v>Party 2</v>
      </c>
      <c r="M20" t="e">
        <f ca="1"/>
        <v>#NAME?</v>
      </c>
      <c r="N20" t="e">
        <f ca="1"/>
        <v>#NAME?</v>
      </c>
      <c r="O20" t="e">
        <f ca="1">M20/N20</f>
        <v>#NAME?</v>
      </c>
      <c r="P20" t="e">
        <f ca="1">TDIST(ABS(O20),$M$13,2)</f>
        <v>#NAME?</v>
      </c>
      <c r="Q20" t="e">
        <f ca="1">M20-TINV(Q$10,$M$13)*N20</f>
        <v>#NAME?</v>
      </c>
      <c r="R20" t="e">
        <f ca="1">M20+TINV(Q$10,$M$13)*N20</f>
        <v>#NAME?</v>
      </c>
      <c r="S20" t="e">
        <f ca="1">VIF(F4:I19,3)</f>
        <v>#NAME?</v>
      </c>
    </row>
    <row r="21" spans="1:19">
      <c r="A21" s="11" t="s">
        <v>2</v>
      </c>
      <c r="B21" s="11" t="s">
        <v>712</v>
      </c>
      <c r="C21" s="11" t="s">
        <v>398</v>
      </c>
      <c r="D21" s="11" t="s">
        <v>3</v>
      </c>
      <c r="F21" s="11" t="s">
        <v>2</v>
      </c>
      <c r="G21" s="11" t="s">
        <v>716</v>
      </c>
      <c r="H21" s="11" t="s">
        <v>717</v>
      </c>
      <c r="I21" s="11" t="s">
        <v>718</v>
      </c>
      <c r="J21" s="11" t="s">
        <v>3</v>
      </c>
      <c r="L21" s="380" t="str">
        <v>Gender 1</v>
      </c>
      <c r="M21" s="380" t="e">
        <f ca="1"/>
        <v>#NAME?</v>
      </c>
      <c r="N21" s="380" t="e">
        <f ca="1"/>
        <v>#NAME?</v>
      </c>
      <c r="O21" s="380" t="e">
        <f ca="1">M21/N21</f>
        <v>#NAME?</v>
      </c>
      <c r="P21" s="380" t="e">
        <f ca="1">TDIST(ABS(O21),$M$13,2)</f>
        <v>#NAME?</v>
      </c>
      <c r="Q21" s="380" t="e">
        <f ca="1">M21-TINV(Q$10,$M$13)*N21</f>
        <v>#NAME?</v>
      </c>
      <c r="R21" s="380" t="e">
        <f ca="1">M21+TINV(Q$10,$M$13)*N21</f>
        <v>#NAME?</v>
      </c>
      <c r="S21" s="380" t="e">
        <f ca="1">VIF(F4:I19,4)</f>
        <v>#NAME?</v>
      </c>
    </row>
    <row r="22" spans="1:19">
      <c r="A22" s="411">
        <v>25</v>
      </c>
      <c r="B22" s="464" t="s">
        <v>714</v>
      </c>
      <c r="C22" s="464" t="s">
        <v>54</v>
      </c>
      <c r="D22" s="413" t="s">
        <v>710</v>
      </c>
      <c r="F22" s="411">
        <v>25</v>
      </c>
      <c r="G22" s="464">
        <v>0</v>
      </c>
      <c r="H22" s="464">
        <v>1</v>
      </c>
      <c r="I22" s="464">
        <v>0</v>
      </c>
      <c r="J22" s="466">
        <f t="array" ref="J22:J23">TREND(J4:J19,F4:I19,F22:I23)</f>
        <v>24493.58936824683</v>
      </c>
    </row>
    <row r="23" spans="1:19">
      <c r="A23" s="284">
        <v>40</v>
      </c>
      <c r="B23" s="465" t="s">
        <v>715</v>
      </c>
      <c r="C23" s="465" t="s">
        <v>59</v>
      </c>
      <c r="D23" s="414" t="s">
        <v>710</v>
      </c>
      <c r="F23" s="284">
        <v>40</v>
      </c>
      <c r="G23" s="465">
        <v>0</v>
      </c>
      <c r="H23" s="465">
        <v>0</v>
      </c>
      <c r="I23" s="465">
        <v>1</v>
      </c>
      <c r="J23" s="467">
        <v>52696.700705764786</v>
      </c>
    </row>
    <row r="24" spans="1:19">
      <c r="A24" s="5"/>
      <c r="B24" s="23"/>
      <c r="C24" s="23"/>
      <c r="D24" s="22"/>
      <c r="F24" s="5"/>
      <c r="G24" s="23"/>
      <c r="H24" s="23"/>
      <c r="I24" s="23"/>
      <c r="J24" s="5"/>
    </row>
    <row r="25" spans="1:19">
      <c r="L25" t="s">
        <v>601</v>
      </c>
    </row>
    <row r="27" spans="1:19" ht="15.75" thickBot="1">
      <c r="F27" s="11" t="s">
        <v>2</v>
      </c>
      <c r="G27" s="11" t="s">
        <v>716</v>
      </c>
      <c r="H27" s="11" t="s">
        <v>717</v>
      </c>
      <c r="I27" s="11" t="s">
        <v>718</v>
      </c>
      <c r="J27" s="11" t="s">
        <v>3</v>
      </c>
      <c r="L27" s="364" t="s">
        <v>606</v>
      </c>
      <c r="M27" s="364"/>
      <c r="O27" s="364"/>
      <c r="P27" s="364"/>
    </row>
    <row r="28" spans="1:19" ht="15.75" thickTop="1">
      <c r="F28" s="411">
        <v>20</v>
      </c>
      <c r="G28" s="416">
        <v>1</v>
      </c>
      <c r="H28" s="416">
        <v>0</v>
      </c>
      <c r="I28" s="416">
        <v>1</v>
      </c>
      <c r="J28" s="412">
        <v>45000</v>
      </c>
      <c r="L28" t="s">
        <v>208</v>
      </c>
      <c r="M28" t="e">
        <f ca="1">SQRT(M29)</f>
        <v>#NAME?</v>
      </c>
      <c r="O28" t="s">
        <v>498</v>
      </c>
      <c r="P28" t="e">
        <f ca="1">M32*LN(N37/M32)+2*(M36+1)</f>
        <v>#NAME?</v>
      </c>
    </row>
    <row r="29" spans="1:19">
      <c r="F29" s="294">
        <v>25</v>
      </c>
      <c r="G29" s="22">
        <v>0</v>
      </c>
      <c r="H29" s="22">
        <v>1</v>
      </c>
      <c r="I29" s="22">
        <v>1</v>
      </c>
      <c r="J29" s="295">
        <v>39000</v>
      </c>
      <c r="L29" t="s">
        <v>201</v>
      </c>
      <c r="M29" t="e">
        <f ca="1">N36/N38</f>
        <v>#NAME?</v>
      </c>
      <c r="O29" t="s">
        <v>499</v>
      </c>
      <c r="P29" t="e">
        <f ca="1">P28+2*(M36+2)*(M36+3)/(M32-M36-3)</f>
        <v>#NAME?</v>
      </c>
    </row>
    <row r="30" spans="1:19">
      <c r="F30" s="294">
        <v>45</v>
      </c>
      <c r="G30" s="22">
        <v>-1</v>
      </c>
      <c r="H30" s="22">
        <v>-1</v>
      </c>
      <c r="I30" s="22">
        <v>1</v>
      </c>
      <c r="J30" s="295">
        <v>56000</v>
      </c>
      <c r="L30" t="s">
        <v>209</v>
      </c>
      <c r="M30" t="e">
        <f ca="1">1-(1-M29)*(M32-1)/(M32-M36-1)</f>
        <v>#NAME?</v>
      </c>
      <c r="O30" s="380" t="s">
        <v>762</v>
      </c>
      <c r="P30" s="380" t="e">
        <f ca="1">M32*LN(N37/M32)+(M36+1)*LN(M32)</f>
        <v>#NAME?</v>
      </c>
    </row>
    <row r="31" spans="1:19">
      <c r="F31" s="294">
        <v>35</v>
      </c>
      <c r="G31" s="22">
        <v>1</v>
      </c>
      <c r="H31" s="22">
        <v>0</v>
      </c>
      <c r="I31" s="22">
        <v>-1</v>
      </c>
      <c r="J31" s="295">
        <v>49000</v>
      </c>
      <c r="L31" t="s">
        <v>9</v>
      </c>
      <c r="M31" t="e">
        <f ca="1">SQRT(O37)</f>
        <v>#NAME?</v>
      </c>
    </row>
    <row r="32" spans="1:19">
      <c r="F32" s="294">
        <v>50</v>
      </c>
      <c r="G32" s="22">
        <v>0</v>
      </c>
      <c r="H32" s="22">
        <v>1</v>
      </c>
      <c r="I32" s="22">
        <v>-1</v>
      </c>
      <c r="J32" s="295">
        <v>41000</v>
      </c>
      <c r="L32" s="380" t="s">
        <v>42</v>
      </c>
      <c r="M32" s="380">
        <f>COUNT(J28:J43)</f>
        <v>16</v>
      </c>
    </row>
    <row r="33" spans="6:19">
      <c r="F33" s="294">
        <v>55</v>
      </c>
      <c r="G33" s="22">
        <v>-1</v>
      </c>
      <c r="H33" s="22">
        <v>-1</v>
      </c>
      <c r="I33" s="22">
        <v>-1</v>
      </c>
      <c r="J33" s="295">
        <v>42000</v>
      </c>
    </row>
    <row r="34" spans="6:19" ht="15.75" thickBot="1">
      <c r="F34" s="294">
        <v>39</v>
      </c>
      <c r="G34" s="22">
        <v>1</v>
      </c>
      <c r="H34" s="22">
        <v>0</v>
      </c>
      <c r="I34" s="22">
        <v>1</v>
      </c>
      <c r="J34" s="295">
        <v>58000</v>
      </c>
      <c r="L34" t="s">
        <v>210</v>
      </c>
      <c r="P34" s="512" t="s">
        <v>16</v>
      </c>
      <c r="Q34" s="512">
        <v>0.05</v>
      </c>
    </row>
    <row r="35" spans="6:19" ht="15.75" thickTop="1">
      <c r="F35" s="294">
        <v>48</v>
      </c>
      <c r="G35" s="22">
        <v>0</v>
      </c>
      <c r="H35" s="22">
        <v>1</v>
      </c>
      <c r="I35" s="22">
        <v>1</v>
      </c>
      <c r="J35" s="295">
        <v>55000</v>
      </c>
      <c r="L35" s="398"/>
      <c r="M35" s="398" t="s">
        <v>26</v>
      </c>
      <c r="N35" s="398" t="s">
        <v>137</v>
      </c>
      <c r="O35" s="398" t="s">
        <v>156</v>
      </c>
      <c r="P35" s="398" t="s">
        <v>63</v>
      </c>
      <c r="Q35" s="398" t="s">
        <v>30</v>
      </c>
      <c r="R35" s="398" t="s">
        <v>374</v>
      </c>
    </row>
    <row r="36" spans="6:19">
      <c r="F36" s="294">
        <v>30</v>
      </c>
      <c r="G36" s="22">
        <v>-1</v>
      </c>
      <c r="H36" s="22">
        <v>-1</v>
      </c>
      <c r="I36" s="22">
        <v>1</v>
      </c>
      <c r="J36" s="295">
        <v>46000</v>
      </c>
      <c r="L36" t="s">
        <v>138</v>
      </c>
      <c r="M36">
        <f>COUNT(F28:I28)</f>
        <v>4</v>
      </c>
      <c r="N36" t="e">
        <f ca="1">DEVSQ(MMULT(DESIGN(F28:I43),M41:M45))</f>
        <v>#NAME?</v>
      </c>
      <c r="O36" t="e">
        <f ca="1">N36/M36</f>
        <v>#NAME?</v>
      </c>
      <c r="P36" t="e">
        <f ca="1">O36/O37</f>
        <v>#NAME?</v>
      </c>
      <c r="Q36" t="e">
        <f ca="1">FDIST(P36,M36,M37)</f>
        <v>#NAME?</v>
      </c>
      <c r="R36" s="512" t="e">
        <f ca="1">IF(Q36&lt;Q34,"yes","no")</f>
        <v>#NAME?</v>
      </c>
    </row>
    <row r="37" spans="6:19">
      <c r="F37" s="294">
        <v>27</v>
      </c>
      <c r="G37" s="22">
        <v>1</v>
      </c>
      <c r="H37" s="22">
        <v>0</v>
      </c>
      <c r="I37" s="22">
        <v>-1</v>
      </c>
      <c r="J37" s="295">
        <v>42000</v>
      </c>
      <c r="L37" t="s">
        <v>211</v>
      </c>
      <c r="M37">
        <f>M38-M36</f>
        <v>11</v>
      </c>
      <c r="N37" t="e">
        <f ca="1">N38-N36</f>
        <v>#NAME?</v>
      </c>
      <c r="O37" t="e">
        <f ca="1">N37/M37</f>
        <v>#NAME?</v>
      </c>
    </row>
    <row r="38" spans="6:19">
      <c r="F38" s="294">
        <v>47</v>
      </c>
      <c r="G38" s="22">
        <v>0</v>
      </c>
      <c r="H38" s="22">
        <v>1</v>
      </c>
      <c r="I38" s="22">
        <v>-1</v>
      </c>
      <c r="J38" s="295">
        <v>37000</v>
      </c>
      <c r="L38" s="380" t="s">
        <v>1</v>
      </c>
      <c r="M38" s="380">
        <f>M32-1</f>
        <v>15</v>
      </c>
      <c r="N38" s="380">
        <f>DEVSQ(J28:J43)</f>
        <v>2065000000</v>
      </c>
      <c r="O38" s="380"/>
      <c r="P38" s="380"/>
      <c r="Q38" s="380"/>
      <c r="R38" s="380"/>
    </row>
    <row r="39" spans="6:19" ht="15.75" thickBot="1">
      <c r="F39" s="294">
        <v>21</v>
      </c>
      <c r="G39" s="22">
        <v>-1</v>
      </c>
      <c r="H39" s="22">
        <v>-1</v>
      </c>
      <c r="I39" s="22">
        <v>-1</v>
      </c>
      <c r="J39" s="295">
        <v>25000</v>
      </c>
    </row>
    <row r="40" spans="6:19" ht="15.75" thickTop="1">
      <c r="F40" s="294">
        <v>48</v>
      </c>
      <c r="G40" s="22">
        <v>1</v>
      </c>
      <c r="H40" s="22">
        <v>0</v>
      </c>
      <c r="I40" s="22">
        <v>1</v>
      </c>
      <c r="J40" s="295">
        <v>75000</v>
      </c>
      <c r="L40" s="398"/>
      <c r="M40" s="398" t="s">
        <v>600</v>
      </c>
      <c r="N40" s="398" t="s">
        <v>503</v>
      </c>
      <c r="O40" s="398" t="s">
        <v>27</v>
      </c>
      <c r="P40" s="398" t="s">
        <v>30</v>
      </c>
      <c r="Q40" s="398" t="s">
        <v>13</v>
      </c>
      <c r="R40" s="398" t="s">
        <v>14</v>
      </c>
      <c r="S40" s="398" t="s">
        <v>750</v>
      </c>
    </row>
    <row r="41" spans="6:19">
      <c r="F41" s="294">
        <v>24</v>
      </c>
      <c r="G41" s="22">
        <v>-1</v>
      </c>
      <c r="H41" s="22">
        <v>-1</v>
      </c>
      <c r="I41" s="22">
        <v>1</v>
      </c>
      <c r="J41" s="295">
        <v>43000</v>
      </c>
      <c r="L41" t="s">
        <v>212</v>
      </c>
      <c r="M41" t="e">
        <f t="array" aca="1" ref="M41:N45" ca="1">RegCoeff(F28:I43,J28:J43)</f>
        <v>#NAME?</v>
      </c>
      <c r="N41" t="e">
        <f ca="1"/>
        <v>#NAME?</v>
      </c>
      <c r="O41" t="e">
        <f ca="1">M41/N41</f>
        <v>#NAME?</v>
      </c>
      <c r="P41" t="e">
        <f ca="1">TDIST(ABS(O41),$M$37,2)</f>
        <v>#NAME?</v>
      </c>
      <c r="Q41" t="e">
        <f ca="1">M41-TINV(Q$34,$M$37)*N41</f>
        <v>#NAME?</v>
      </c>
      <c r="R41" t="e">
        <f ca="1">M41+TINV(Q$34,$M$37)*N41</f>
        <v>#NAME?</v>
      </c>
    </row>
    <row r="42" spans="6:19">
      <c r="F42" s="294">
        <v>28</v>
      </c>
      <c r="G42" s="22">
        <v>-1</v>
      </c>
      <c r="H42" s="22">
        <v>-1</v>
      </c>
      <c r="I42" s="22">
        <v>-1</v>
      </c>
      <c r="J42" s="295">
        <v>40000</v>
      </c>
      <c r="L42" t="str">
        <f t="array" ref="L42:L45">TRANSPOSE(F27:I27)</f>
        <v>Age</v>
      </c>
      <c r="M42" t="e">
        <f ca="1"/>
        <v>#NAME?</v>
      </c>
      <c r="N42" t="e">
        <f ca="1"/>
        <v>#NAME?</v>
      </c>
      <c r="O42" t="e">
        <f ca="1">M42/N42</f>
        <v>#NAME?</v>
      </c>
      <c r="P42" t="e">
        <f ca="1">TDIST(ABS(O42),$M$37,2)</f>
        <v>#NAME?</v>
      </c>
      <c r="Q42" t="e">
        <f ca="1">M42-TINV(Q$34,$M$37)*N42</f>
        <v>#NAME?</v>
      </c>
      <c r="R42" t="e">
        <f ca="1">M42+TINV(Q$34,$M$37)*N42</f>
        <v>#NAME?</v>
      </c>
      <c r="S42" t="e">
        <f ca="1">VIF(F28:I43,1)</f>
        <v>#NAME?</v>
      </c>
    </row>
    <row r="43" spans="6:19">
      <c r="F43" s="284">
        <v>40</v>
      </c>
      <c r="G43" s="415">
        <v>0</v>
      </c>
      <c r="H43" s="415">
        <v>1</v>
      </c>
      <c r="I43" s="415">
        <v>-1</v>
      </c>
      <c r="J43" s="288">
        <v>31000</v>
      </c>
      <c r="L43" t="str">
        <v>Party 1</v>
      </c>
      <c r="M43" t="e">
        <f ca="1"/>
        <v>#NAME?</v>
      </c>
      <c r="N43" t="e">
        <f ca="1"/>
        <v>#NAME?</v>
      </c>
      <c r="O43" t="e">
        <f ca="1">M43/N43</f>
        <v>#NAME?</v>
      </c>
      <c r="P43" t="e">
        <f ca="1">TDIST(ABS(O43),$M$37,2)</f>
        <v>#NAME?</v>
      </c>
      <c r="Q43" t="e">
        <f ca="1">M43-TINV(Q$34,$M$37)*N43</f>
        <v>#NAME?</v>
      </c>
      <c r="R43" t="e">
        <f ca="1">M43+TINV(Q$34,$M$37)*N43</f>
        <v>#NAME?</v>
      </c>
      <c r="S43" t="e">
        <f ca="1">VIF(F28:I43,2)</f>
        <v>#NAME?</v>
      </c>
    </row>
    <row r="44" spans="6:19">
      <c r="L44" t="str">
        <v>Party 2</v>
      </c>
      <c r="M44" t="e">
        <f ca="1"/>
        <v>#NAME?</v>
      </c>
      <c r="N44" t="e">
        <f ca="1"/>
        <v>#NAME?</v>
      </c>
      <c r="O44" t="e">
        <f ca="1">M44/N44</f>
        <v>#NAME?</v>
      </c>
      <c r="P44" t="e">
        <f ca="1">TDIST(ABS(O44),$M$37,2)</f>
        <v>#NAME?</v>
      </c>
      <c r="Q44" t="e">
        <f ca="1">M44-TINV(Q$34,$M$37)*N44</f>
        <v>#NAME?</v>
      </c>
      <c r="R44" t="e">
        <f ca="1">M44+TINV(Q$34,$M$37)*N44</f>
        <v>#NAME?</v>
      </c>
      <c r="S44" t="e">
        <f ca="1">VIF(F28:I43,3)</f>
        <v>#NAME?</v>
      </c>
    </row>
    <row r="45" spans="6:19">
      <c r="L45" s="380" t="str">
        <v>Gender 1</v>
      </c>
      <c r="M45" s="380" t="e">
        <f ca="1"/>
        <v>#NAME?</v>
      </c>
      <c r="N45" s="380" t="e">
        <f ca="1"/>
        <v>#NAME?</v>
      </c>
      <c r="O45" s="380" t="e">
        <f ca="1">M45/N45</f>
        <v>#NAME?</v>
      </c>
      <c r="P45" s="380" t="e">
        <f ca="1">TDIST(ABS(O45),$M$37,2)</f>
        <v>#NAME?</v>
      </c>
      <c r="Q45" s="380" t="e">
        <f ca="1">M45-TINV(Q$34,$M$37)*N45</f>
        <v>#NAME?</v>
      </c>
      <c r="R45" s="380" t="e">
        <f ca="1">M45+TINV(Q$34,$M$37)*N45</f>
        <v>#NAME?</v>
      </c>
      <c r="S45" s="380" t="e">
        <f ca="1">VIF(F28:I43,4)</f>
        <v>#NAME?</v>
      </c>
    </row>
  </sheetData>
  <pageMargins left="0.7" right="0.7" top="0.75" bottom="0.75" header="0.3" footer="0.3"/>
  <ignoredErrors>
    <ignoredError sqref="M12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95"/>
  <dimension ref="A1:F14"/>
  <sheetViews>
    <sheetView workbookViewId="0"/>
  </sheetViews>
  <sheetFormatPr defaultRowHeight="15"/>
  <sheetData>
    <row r="1" spans="1:6">
      <c r="A1" s="1" t="s">
        <v>357</v>
      </c>
    </row>
    <row r="3" spans="1:6">
      <c r="A3" s="112" t="s">
        <v>296</v>
      </c>
      <c r="B3" s="112" t="s">
        <v>297</v>
      </c>
      <c r="C3" s="112" t="s">
        <v>290</v>
      </c>
      <c r="E3" s="113" t="s">
        <v>15</v>
      </c>
      <c r="F3" s="142">
        <f>COUNT(A4:A14)</f>
        <v>11</v>
      </c>
    </row>
    <row r="4" spans="1:6">
      <c r="A4" s="76">
        <v>7</v>
      </c>
      <c r="B4" s="76">
        <v>5</v>
      </c>
      <c r="C4" s="76">
        <v>65</v>
      </c>
      <c r="E4" s="42" t="s">
        <v>23</v>
      </c>
      <c r="F4" s="143">
        <f>COUNT(A4:B4)</f>
        <v>2</v>
      </c>
    </row>
    <row r="5" spans="1:6">
      <c r="A5" s="76">
        <v>3</v>
      </c>
      <c r="B5" s="76">
        <v>7</v>
      </c>
      <c r="C5" s="76">
        <v>38</v>
      </c>
      <c r="E5" s="42" t="s">
        <v>201</v>
      </c>
      <c r="F5" s="143">
        <f>'Mult Reg 6'!O17^2</f>
        <v>0.85069397069440156</v>
      </c>
    </row>
    <row r="6" spans="1:6">
      <c r="A6" s="76">
        <v>5</v>
      </c>
      <c r="B6" s="76">
        <v>8</v>
      </c>
      <c r="C6" s="76">
        <v>51</v>
      </c>
      <c r="E6" s="42" t="s">
        <v>333</v>
      </c>
      <c r="F6" s="143">
        <f>F4</f>
        <v>2</v>
      </c>
    </row>
    <row r="7" spans="1:6">
      <c r="A7" s="76">
        <v>8</v>
      </c>
      <c r="B7" s="76">
        <v>1</v>
      </c>
      <c r="C7" s="76">
        <v>38</v>
      </c>
      <c r="E7" s="42" t="s">
        <v>334</v>
      </c>
      <c r="F7" s="143">
        <f>F3-F4-1</f>
        <v>8</v>
      </c>
    </row>
    <row r="8" spans="1:6">
      <c r="A8" s="76">
        <v>9</v>
      </c>
      <c r="B8" s="76">
        <v>3</v>
      </c>
      <c r="C8" s="76">
        <v>55</v>
      </c>
      <c r="E8" s="190" t="s">
        <v>21</v>
      </c>
      <c r="F8" s="143">
        <v>0.05</v>
      </c>
    </row>
    <row r="9" spans="1:6">
      <c r="A9" s="76">
        <v>5</v>
      </c>
      <c r="B9" s="76">
        <v>4</v>
      </c>
      <c r="C9" s="76">
        <v>43</v>
      </c>
      <c r="E9" s="42" t="s">
        <v>63</v>
      </c>
      <c r="F9" s="143">
        <f>F7*F5/(F4*(1-F5))</f>
        <v>22.790612667173878</v>
      </c>
    </row>
    <row r="10" spans="1:6">
      <c r="A10" s="76">
        <v>4</v>
      </c>
      <c r="B10" s="76">
        <v>0</v>
      </c>
      <c r="C10" s="76">
        <v>25</v>
      </c>
      <c r="E10" t="s">
        <v>30</v>
      </c>
      <c r="F10" s="143">
        <f>FDIST(F9,F6,F7)</f>
        <v>4.9694621069852087E-4</v>
      </c>
    </row>
    <row r="11" spans="1:6">
      <c r="A11" s="76">
        <v>2</v>
      </c>
      <c r="B11" s="76">
        <v>6</v>
      </c>
      <c r="C11" s="76">
        <v>33</v>
      </c>
      <c r="E11" s="42" t="s">
        <v>162</v>
      </c>
      <c r="F11" s="143">
        <f>FINV(F8,F6,F7)</f>
        <v>4.4589701075245118</v>
      </c>
    </row>
    <row r="12" spans="1:6">
      <c r="A12" s="76">
        <v>8</v>
      </c>
      <c r="B12" s="76">
        <v>7</v>
      </c>
      <c r="C12" s="76">
        <v>71</v>
      </c>
      <c r="E12" s="42" t="s">
        <v>374</v>
      </c>
      <c r="F12" s="144" t="str">
        <f>IF(F10&lt;F8,"yes","no")</f>
        <v>yes</v>
      </c>
    </row>
    <row r="13" spans="1:6">
      <c r="A13" s="76">
        <v>6</v>
      </c>
      <c r="B13" s="76">
        <v>4</v>
      </c>
      <c r="C13" s="76">
        <v>51</v>
      </c>
    </row>
    <row r="14" spans="1:6">
      <c r="A14" s="111">
        <v>9</v>
      </c>
      <c r="B14" s="111">
        <v>2</v>
      </c>
      <c r="C14" s="111">
        <v>49</v>
      </c>
    </row>
  </sheetData>
  <pageMargins left="0.7" right="0.7" top="0.75" bottom="0.75" header="0.3" footer="0.3"/>
  <ignoredErrors>
    <ignoredError sqref="F4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381"/>
  <dimension ref="A1:T58"/>
  <sheetViews>
    <sheetView workbookViewId="0"/>
  </sheetViews>
  <sheetFormatPr defaultRowHeight="15"/>
  <cols>
    <col min="1" max="1" width="13.140625" customWidth="1"/>
    <col min="2" max="5" width="10.28515625" customWidth="1"/>
    <col min="7" max="7" width="17.7109375" customWidth="1"/>
    <col min="10" max="12" width="9.28515625" bestFit="1" customWidth="1"/>
    <col min="13" max="13" width="9.28515625" customWidth="1"/>
    <col min="15" max="15" width="9.140625" customWidth="1"/>
    <col min="19" max="19" width="11.7109375" customWidth="1"/>
  </cols>
  <sheetData>
    <row r="1" spans="1:20">
      <c r="A1" s="1" t="s">
        <v>670</v>
      </c>
    </row>
    <row r="3" spans="1:20">
      <c r="A3" s="45"/>
      <c r="B3" s="46" t="s">
        <v>66</v>
      </c>
      <c r="C3" s="46" t="s">
        <v>67</v>
      </c>
      <c r="D3" s="46" t="s">
        <v>68</v>
      </c>
      <c r="E3" s="46" t="s">
        <v>69</v>
      </c>
      <c r="G3" t="s">
        <v>601</v>
      </c>
      <c r="O3" t="s">
        <v>675</v>
      </c>
      <c r="S3" t="s">
        <v>669</v>
      </c>
    </row>
    <row r="4" spans="1:20">
      <c r="A4" s="44" t="s">
        <v>74</v>
      </c>
      <c r="B4" s="47">
        <v>15.7</v>
      </c>
      <c r="C4" s="48">
        <v>9</v>
      </c>
      <c r="D4" s="49">
        <v>71.027177760140717</v>
      </c>
      <c r="E4" s="50">
        <v>448</v>
      </c>
    </row>
    <row r="5" spans="1:20" ht="15.75" thickBot="1">
      <c r="A5" s="44" t="s">
        <v>75</v>
      </c>
      <c r="B5" s="47">
        <v>8.4</v>
      </c>
      <c r="C5" s="48">
        <v>6.9</v>
      </c>
      <c r="D5" s="49">
        <v>70.62318863808899</v>
      </c>
      <c r="E5" s="50">
        <v>661.2</v>
      </c>
      <c r="G5" s="364" t="s">
        <v>606</v>
      </c>
      <c r="H5" s="364"/>
      <c r="J5" t="s">
        <v>674</v>
      </c>
      <c r="P5" s="454" t="s">
        <v>676</v>
      </c>
      <c r="Q5" s="454" t="s">
        <v>638</v>
      </c>
    </row>
    <row r="6" spans="1:20" ht="15.75" thickTop="1">
      <c r="A6" s="44" t="s">
        <v>76</v>
      </c>
      <c r="B6" s="47">
        <v>14.7</v>
      </c>
      <c r="C6" s="48">
        <v>6.4</v>
      </c>
      <c r="D6" s="49">
        <v>86.505696765320337</v>
      </c>
      <c r="E6" s="50">
        <v>482.7</v>
      </c>
      <c r="G6" t="s">
        <v>208</v>
      </c>
      <c r="H6" t="e">
        <f ca="1">SQRT(H7)</f>
        <v>#NAME?</v>
      </c>
      <c r="J6" s="411" t="e">
        <f t="array" aca="1" ref="J6:M9" ca="1">CORE(C4:E53)</f>
        <v>#NAME?</v>
      </c>
      <c r="K6" s="399" t="e">
        <f ca="1"/>
        <v>#NAME?</v>
      </c>
      <c r="L6" s="399" t="e">
        <f ca="1"/>
        <v>#NAME?</v>
      </c>
      <c r="M6" s="412" t="e">
        <f ca="1"/>
        <v>#NAME?</v>
      </c>
      <c r="O6" t="s">
        <v>53</v>
      </c>
      <c r="P6" s="411">
        <v>0.05</v>
      </c>
      <c r="Q6" s="412">
        <f>P6</f>
        <v>0.05</v>
      </c>
      <c r="S6" t="e">
        <f t="array" aca="1" ref="S6:T12" ca="1">RegPred(O20:O22,C4:E53,B4:B53,TRUE)</f>
        <v>#NAME?</v>
      </c>
      <c r="T6" s="410" t="e">
        <f ca="1"/>
        <v>#NAME?</v>
      </c>
    </row>
    <row r="7" spans="1:20">
      <c r="A7" s="44" t="s">
        <v>77</v>
      </c>
      <c r="B7" s="47">
        <v>17.3</v>
      </c>
      <c r="C7" s="48">
        <v>8.5</v>
      </c>
      <c r="D7" s="49">
        <v>80.783955956979611</v>
      </c>
      <c r="E7" s="50">
        <v>529.4</v>
      </c>
      <c r="G7" t="s">
        <v>201</v>
      </c>
      <c r="H7" t="e">
        <f ca="1">I14/I16</f>
        <v>#NAME?</v>
      </c>
      <c r="J7" s="294" t="e">
        <f ca="1"/>
        <v>#NAME?</v>
      </c>
      <c r="K7" s="5" t="e">
        <f ca="1"/>
        <v>#NAME?</v>
      </c>
      <c r="L7" s="5" t="e">
        <f ca="1"/>
        <v>#NAME?</v>
      </c>
      <c r="M7" s="295" t="e">
        <f ca="1"/>
        <v>#NAME?</v>
      </c>
      <c r="O7" t="s">
        <v>677</v>
      </c>
      <c r="P7" s="294" t="e">
        <f ca="1">SUMPRODUCT(H19:H22,O19:O22)</f>
        <v>#NAME?</v>
      </c>
      <c r="Q7" s="295" t="e">
        <f ca="1">P7</f>
        <v>#NAME?</v>
      </c>
      <c r="S7" t="e">
        <f ca="1"/>
        <v>#NAME?</v>
      </c>
      <c r="T7" s="293" t="e">
        <f ca="1"/>
        <v>#NAME?</v>
      </c>
    </row>
    <row r="8" spans="1:20">
      <c r="A8" s="44" t="s">
        <v>78</v>
      </c>
      <c r="B8" s="47">
        <v>13.3</v>
      </c>
      <c r="C8" s="48">
        <v>5</v>
      </c>
      <c r="D8" s="49">
        <v>76.640052174481781</v>
      </c>
      <c r="E8" s="50">
        <v>522.6</v>
      </c>
      <c r="G8" t="s">
        <v>209</v>
      </c>
      <c r="H8" t="e">
        <f ca="1">1-(1-H7)*(H10-1)/(H10-H14-1)</f>
        <v>#NAME?</v>
      </c>
      <c r="J8" s="294" t="e">
        <f ca="1"/>
        <v>#NAME?</v>
      </c>
      <c r="K8" s="5" t="e">
        <f ca="1"/>
        <v>#NAME?</v>
      </c>
      <c r="L8" s="5" t="e">
        <f ca="1"/>
        <v>#NAME?</v>
      </c>
      <c r="M8" s="295" t="e">
        <f ca="1"/>
        <v>#NAME?</v>
      </c>
      <c r="O8" t="s">
        <v>678</v>
      </c>
      <c r="P8" s="294" t="e">
        <f ca="1">J15</f>
        <v>#NAME?</v>
      </c>
      <c r="Q8" s="295" t="e">
        <f ca="1">P8</f>
        <v>#NAME?</v>
      </c>
      <c r="S8" t="e">
        <f ca="1"/>
        <v>#NAME?</v>
      </c>
      <c r="T8" s="293" t="e">
        <f ca="1"/>
        <v>#NAME?</v>
      </c>
    </row>
    <row r="9" spans="1:20">
      <c r="A9" s="44" t="s">
        <v>79</v>
      </c>
      <c r="B9" s="47">
        <v>11.4</v>
      </c>
      <c r="C9" s="48">
        <v>5.7</v>
      </c>
      <c r="D9" s="49">
        <v>89.734092175332663</v>
      </c>
      <c r="E9" s="50">
        <v>347.8</v>
      </c>
      <c r="G9" t="s">
        <v>9</v>
      </c>
      <c r="H9" t="e">
        <f ca="1">SQRT(J15)</f>
        <v>#NAME?</v>
      </c>
      <c r="J9" s="284" t="e">
        <f ca="1"/>
        <v>#NAME?</v>
      </c>
      <c r="K9" s="380" t="e">
        <f ca="1"/>
        <v>#NAME?</v>
      </c>
      <c r="L9" s="380" t="e">
        <f ca="1"/>
        <v>#NAME?</v>
      </c>
      <c r="M9" s="288" t="e">
        <f ca="1"/>
        <v>#NAME?</v>
      </c>
      <c r="O9" s="14" t="s">
        <v>671</v>
      </c>
      <c r="P9" s="294">
        <f>H15</f>
        <v>46</v>
      </c>
      <c r="Q9" s="295">
        <f>P9</f>
        <v>46</v>
      </c>
      <c r="S9" t="e">
        <f ca="1"/>
        <v>#NAME?</v>
      </c>
      <c r="T9" s="293" t="e">
        <f ca="1"/>
        <v>#NAME?</v>
      </c>
    </row>
    <row r="10" spans="1:20">
      <c r="A10" s="44" t="s">
        <v>80</v>
      </c>
      <c r="B10" s="47">
        <v>9.3000000000000007</v>
      </c>
      <c r="C10" s="48">
        <v>6.2</v>
      </c>
      <c r="D10" s="49">
        <v>84.278652322083644</v>
      </c>
      <c r="E10" s="50">
        <v>256</v>
      </c>
      <c r="G10" s="380" t="s">
        <v>42</v>
      </c>
      <c r="H10" s="380">
        <f>COUNT(B4:B53)</f>
        <v>50</v>
      </c>
      <c r="O10" s="14" t="s">
        <v>31</v>
      </c>
      <c r="P10" s="294">
        <f>TINV(P6,P9)</f>
        <v>2.0128955989194299</v>
      </c>
      <c r="Q10" s="295">
        <f>P10</f>
        <v>2.0128955989194299</v>
      </c>
      <c r="S10" t="e">
        <f ca="1"/>
        <v>#NAME?</v>
      </c>
      <c r="T10" s="293" t="e">
        <f ca="1"/>
        <v>#NAME?</v>
      </c>
    </row>
    <row r="11" spans="1:20">
      <c r="A11" s="44" t="s">
        <v>81</v>
      </c>
      <c r="B11" s="56">
        <v>10</v>
      </c>
      <c r="C11" s="48">
        <v>8.3000000000000007</v>
      </c>
      <c r="D11" s="49">
        <v>74.266056727126113</v>
      </c>
      <c r="E11" s="50">
        <v>689.2</v>
      </c>
      <c r="O11" s="14" t="s">
        <v>337</v>
      </c>
      <c r="P11" s="294" t="e">
        <f t="array" aca="1" ref="P11" ca="1">SQRT(P8*MMULT(TRANSPOSE(O19:O22),MMULT(J6:M9,O19:O22)))</f>
        <v>#NAME?</v>
      </c>
      <c r="Q11" s="295" t="e">
        <f t="array" aca="1" ref="Q11" ca="1">SQRT(P8*(1+MMULT(TRANSPOSE(O19:O22),MMULT(J6:M9,O19:O22))))</f>
        <v>#NAME?</v>
      </c>
      <c r="S11" t="e">
        <f ca="1"/>
        <v>#NAME?</v>
      </c>
      <c r="T11" s="293" t="e">
        <f ca="1"/>
        <v>#NAME?</v>
      </c>
    </row>
    <row r="12" spans="1:20" ht="15.75" thickBot="1">
      <c r="A12" s="44" t="s">
        <v>82</v>
      </c>
      <c r="B12" s="47">
        <v>13.2</v>
      </c>
      <c r="C12" s="48">
        <v>7.3</v>
      </c>
      <c r="D12" s="49">
        <v>79.811068541941054</v>
      </c>
      <c r="E12" s="50">
        <v>722.6</v>
      </c>
      <c r="G12" t="s">
        <v>210</v>
      </c>
      <c r="K12" s="454" t="s">
        <v>16</v>
      </c>
      <c r="L12" s="454">
        <v>0.05</v>
      </c>
      <c r="O12" s="14" t="s">
        <v>13</v>
      </c>
      <c r="P12" s="294" t="e">
        <f ca="1">P7-P11*P10</f>
        <v>#NAME?</v>
      </c>
      <c r="Q12" s="295" t="e">
        <f ca="1">Q7-Q11*Q10</f>
        <v>#NAME?</v>
      </c>
      <c r="S12" t="e">
        <f ca="1"/>
        <v>#NAME?</v>
      </c>
      <c r="T12" s="289" t="e">
        <f ca="1"/>
        <v>#NAME?</v>
      </c>
    </row>
    <row r="13" spans="1:20" ht="15.75" thickTop="1">
      <c r="A13" s="44" t="s">
        <v>83</v>
      </c>
      <c r="B13" s="47">
        <v>14.7</v>
      </c>
      <c r="C13" s="48">
        <v>8.1</v>
      </c>
      <c r="D13" s="49">
        <v>65.387718279566343</v>
      </c>
      <c r="E13" s="50">
        <v>493.2</v>
      </c>
      <c r="G13" s="398"/>
      <c r="H13" s="398" t="s">
        <v>26</v>
      </c>
      <c r="I13" s="398" t="s">
        <v>137</v>
      </c>
      <c r="J13" s="398" t="s">
        <v>156</v>
      </c>
      <c r="K13" s="398" t="s">
        <v>63</v>
      </c>
      <c r="L13" s="398" t="s">
        <v>30</v>
      </c>
      <c r="M13" s="398" t="s">
        <v>374</v>
      </c>
      <c r="O13" s="14" t="s">
        <v>14</v>
      </c>
      <c r="P13" s="284" t="e">
        <f ca="1">P7+P11*P10</f>
        <v>#NAME?</v>
      </c>
      <c r="Q13" s="288" t="e">
        <f ca="1">Q7+Q11*Q10</f>
        <v>#NAME?</v>
      </c>
    </row>
    <row r="14" spans="1:20">
      <c r="A14" s="44" t="s">
        <v>84</v>
      </c>
      <c r="B14" s="47">
        <v>9.1</v>
      </c>
      <c r="C14" s="48">
        <v>5.6</v>
      </c>
      <c r="D14" s="49">
        <v>29.667333748383395</v>
      </c>
      <c r="E14" s="50">
        <v>272.8</v>
      </c>
      <c r="G14" t="s">
        <v>138</v>
      </c>
      <c r="H14">
        <f>COUNT(C4:E4)</f>
        <v>3</v>
      </c>
      <c r="I14" t="e">
        <f ca="1">DEVSQ(MMULT(DESIGN(C4:E53),H19:H22))</f>
        <v>#NAME?</v>
      </c>
      <c r="J14" t="e">
        <f ca="1">I14/H14</f>
        <v>#NAME?</v>
      </c>
      <c r="K14" t="e">
        <f ca="1">J14/J15</f>
        <v>#NAME?</v>
      </c>
      <c r="L14" t="e">
        <f ca="1">FDIST(K14,H14,H15)</f>
        <v>#NAME?</v>
      </c>
      <c r="M14" s="454" t="e">
        <f ca="1">IF(L14&lt;L12,"yes","no")</f>
        <v>#NAME?</v>
      </c>
    </row>
    <row r="15" spans="1:20">
      <c r="A15" s="44" t="s">
        <v>85</v>
      </c>
      <c r="B15" s="47">
        <v>12.6</v>
      </c>
      <c r="C15" s="48">
        <v>6.8</v>
      </c>
      <c r="D15" s="49">
        <v>94.600660447193093</v>
      </c>
      <c r="E15" s="50">
        <v>239.4</v>
      </c>
      <c r="G15" t="s">
        <v>211</v>
      </c>
      <c r="H15">
        <f>H16-H14</f>
        <v>46</v>
      </c>
      <c r="I15" t="e">
        <f ca="1">I16-I14</f>
        <v>#NAME?</v>
      </c>
      <c r="J15" t="e">
        <f ca="1">I15/H15</f>
        <v>#NAME?</v>
      </c>
    </row>
    <row r="16" spans="1:20">
      <c r="A16" s="44" t="s">
        <v>86</v>
      </c>
      <c r="B16" s="47">
        <v>12.2</v>
      </c>
      <c r="C16" s="48">
        <v>7.3</v>
      </c>
      <c r="D16" s="49">
        <v>79.13310968601246</v>
      </c>
      <c r="E16" s="50">
        <v>533.20000000000005</v>
      </c>
      <c r="G16" s="380" t="s">
        <v>1</v>
      </c>
      <c r="H16" s="380">
        <f>H10-1</f>
        <v>49</v>
      </c>
      <c r="I16" s="380">
        <f>DEVSQ(B4:B53)</f>
        <v>423.24879999999996</v>
      </c>
      <c r="J16" s="380"/>
      <c r="K16" s="380"/>
      <c r="L16" s="380"/>
      <c r="M16" s="380"/>
    </row>
    <row r="17" spans="1:15" ht="15.75" thickBot="1">
      <c r="A17" s="44" t="s">
        <v>87</v>
      </c>
      <c r="B17" s="47">
        <v>13.1</v>
      </c>
      <c r="C17" s="48">
        <v>8</v>
      </c>
      <c r="D17" s="49">
        <v>88.000000627274659</v>
      </c>
      <c r="E17" s="50">
        <v>333.6</v>
      </c>
    </row>
    <row r="18" spans="1:15" ht="15.75" thickTop="1">
      <c r="A18" s="44" t="s">
        <v>88</v>
      </c>
      <c r="B18" s="47">
        <v>11.5</v>
      </c>
      <c r="C18" s="48">
        <v>5.0999999999999996</v>
      </c>
      <c r="D18" s="49">
        <v>94.170464820794294</v>
      </c>
      <c r="E18" s="50">
        <v>294.7</v>
      </c>
      <c r="G18" s="398"/>
      <c r="H18" s="398" t="s">
        <v>600</v>
      </c>
      <c r="I18" s="398" t="s">
        <v>503</v>
      </c>
      <c r="J18" s="398" t="s">
        <v>27</v>
      </c>
      <c r="K18" s="398" t="s">
        <v>30</v>
      </c>
      <c r="L18" s="398" t="s">
        <v>13</v>
      </c>
      <c r="M18" s="398" t="s">
        <v>14</v>
      </c>
      <c r="O18" s="398" t="s">
        <v>665</v>
      </c>
    </row>
    <row r="19" spans="1:15">
      <c r="A19" s="44" t="s">
        <v>89</v>
      </c>
      <c r="B19" s="47">
        <v>11.3</v>
      </c>
      <c r="C19" s="48">
        <v>7.1</v>
      </c>
      <c r="D19" s="49">
        <v>88.703716524620162</v>
      </c>
      <c r="E19" s="50">
        <v>452.7</v>
      </c>
      <c r="G19" t="s">
        <v>212</v>
      </c>
      <c r="H19" t="e">
        <f t="array" aca="1" ref="H19:I22" ca="1">RegCoeff(C4:E53,B4:B53)</f>
        <v>#NAME?</v>
      </c>
      <c r="I19" t="e">
        <f ca="1"/>
        <v>#NAME?</v>
      </c>
      <c r="J19" t="e">
        <f ca="1">H19/I19</f>
        <v>#NAME?</v>
      </c>
      <c r="K19" t="e">
        <f ca="1">TDIST(ABS(J19),$H$15,2)</f>
        <v>#NAME?</v>
      </c>
      <c r="L19" t="e">
        <f ca="1">H19-TINV(L$12,$H$15)*I19</f>
        <v>#NAME?</v>
      </c>
      <c r="M19" t="e">
        <f ca="1">H19+TINV(L$12,$H$15)*I19</f>
        <v>#NAME?</v>
      </c>
      <c r="O19">
        <v>1</v>
      </c>
    </row>
    <row r="20" spans="1:15">
      <c r="A20" s="44" t="s">
        <v>90</v>
      </c>
      <c r="B20" s="47">
        <v>17.3</v>
      </c>
      <c r="C20" s="48">
        <v>7.5</v>
      </c>
      <c r="D20" s="49">
        <v>89.904327345935869</v>
      </c>
      <c r="E20" s="50">
        <v>295</v>
      </c>
      <c r="G20" t="str">
        <f t="array" ref="G20:G22">TRANSPOSE(C3:E3)</f>
        <v>Infant Mort</v>
      </c>
      <c r="H20" t="e">
        <f ca="1"/>
        <v>#NAME?</v>
      </c>
      <c r="I20" t="e">
        <f ca="1"/>
        <v>#NAME?</v>
      </c>
      <c r="J20" t="e">
        <f ca="1">H20/I20</f>
        <v>#NAME?</v>
      </c>
      <c r="K20" t="e">
        <f ca="1">TDIST(ABS(J20),$H$15,2)</f>
        <v>#NAME?</v>
      </c>
      <c r="L20" t="e">
        <f ca="1">H20-TINV(L$12,$H$15)*I20</f>
        <v>#NAME?</v>
      </c>
      <c r="M20" t="e">
        <f ca="1">H20+TINV(L$12,$H$15)*I20</f>
        <v>#NAME?</v>
      </c>
      <c r="O20">
        <v>7</v>
      </c>
    </row>
    <row r="21" spans="1:15">
      <c r="A21" s="44" t="s">
        <v>91</v>
      </c>
      <c r="B21" s="47">
        <v>17.3</v>
      </c>
      <c r="C21" s="48">
        <v>9.9</v>
      </c>
      <c r="D21" s="49">
        <v>64.839543701408999</v>
      </c>
      <c r="E21" s="50">
        <v>729.5</v>
      </c>
      <c r="G21" t="str">
        <v>White</v>
      </c>
      <c r="H21" t="e">
        <f ca="1"/>
        <v>#NAME?</v>
      </c>
      <c r="I21" t="e">
        <f ca="1"/>
        <v>#NAME?</v>
      </c>
      <c r="J21" t="e">
        <f ca="1">H21/I21</f>
        <v>#NAME?</v>
      </c>
      <c r="K21" t="e">
        <f ca="1">TDIST(ABS(J21),$H$15,2)</f>
        <v>#NAME?</v>
      </c>
      <c r="L21" t="e">
        <f ca="1">H21-TINV(L$12,$H$15)*I21</f>
        <v>#NAME?</v>
      </c>
      <c r="M21" t="e">
        <f ca="1">H21+TINV(L$12,$H$15)*I21</f>
        <v>#NAME?</v>
      </c>
      <c r="O21">
        <v>80</v>
      </c>
    </row>
    <row r="22" spans="1:15">
      <c r="A22" s="44" t="s">
        <v>92</v>
      </c>
      <c r="B22" s="47">
        <v>12.3</v>
      </c>
      <c r="C22" s="48">
        <v>6.3</v>
      </c>
      <c r="D22" s="49">
        <v>96.389852756187835</v>
      </c>
      <c r="E22" s="50">
        <v>118</v>
      </c>
      <c r="G22" s="380" t="str">
        <v>Crime</v>
      </c>
      <c r="H22" s="380" t="e">
        <f ca="1"/>
        <v>#NAME?</v>
      </c>
      <c r="I22" s="380" t="e">
        <f ca="1"/>
        <v>#NAME?</v>
      </c>
      <c r="J22" s="380" t="e">
        <f ca="1">H22/I22</f>
        <v>#NAME?</v>
      </c>
      <c r="K22" s="380" t="e">
        <f ca="1">TDIST(ABS(J22),$H$15,2)</f>
        <v>#NAME?</v>
      </c>
      <c r="L22" s="380" t="e">
        <f ca="1">H22-TINV(L$12,$H$15)*I22</f>
        <v>#NAME?</v>
      </c>
      <c r="M22" s="380" t="e">
        <f ca="1">H22+TINV(L$12,$H$15)*I22</f>
        <v>#NAME?</v>
      </c>
      <c r="O22" s="380">
        <v>400</v>
      </c>
    </row>
    <row r="23" spans="1:15">
      <c r="A23" s="44" t="s">
        <v>93</v>
      </c>
      <c r="B23" s="47">
        <v>8.1</v>
      </c>
      <c r="C23" s="48">
        <v>8</v>
      </c>
      <c r="D23" s="49">
        <v>63.398020838196281</v>
      </c>
      <c r="E23" s="50">
        <v>641.9</v>
      </c>
      <c r="N23" s="454"/>
    </row>
    <row r="24" spans="1:15">
      <c r="A24" s="44" t="s">
        <v>94</v>
      </c>
      <c r="B24" s="56">
        <v>10</v>
      </c>
      <c r="C24" s="48">
        <v>4.8</v>
      </c>
      <c r="D24" s="49">
        <v>86.203669547721617</v>
      </c>
      <c r="E24" s="50">
        <v>431.5</v>
      </c>
    </row>
    <row r="25" spans="1:15">
      <c r="A25" s="44" t="s">
        <v>95</v>
      </c>
      <c r="B25" s="47">
        <v>14.4</v>
      </c>
      <c r="C25" s="48">
        <v>7.4</v>
      </c>
      <c r="D25" s="49">
        <v>81.183409037427396</v>
      </c>
      <c r="E25" s="50">
        <v>536</v>
      </c>
    </row>
    <row r="26" spans="1:15">
      <c r="A26" s="44" t="s">
        <v>96</v>
      </c>
      <c r="B26" s="47">
        <v>9.6</v>
      </c>
      <c r="C26" s="48">
        <v>5.2</v>
      </c>
      <c r="D26" s="49">
        <v>89.045556531854984</v>
      </c>
      <c r="E26" s="50">
        <v>288.7</v>
      </c>
    </row>
    <row r="27" spans="1:15">
      <c r="A27" s="44" t="s">
        <v>97</v>
      </c>
      <c r="B27" s="47">
        <v>21.2</v>
      </c>
      <c r="C27" s="48">
        <v>10.6</v>
      </c>
      <c r="D27" s="49">
        <v>60.598179144073846</v>
      </c>
      <c r="E27" s="50">
        <v>291.3</v>
      </c>
    </row>
    <row r="28" spans="1:15">
      <c r="A28" s="44" t="s">
        <v>98</v>
      </c>
      <c r="B28" s="47">
        <v>13.4</v>
      </c>
      <c r="C28" s="48">
        <v>7.4</v>
      </c>
      <c r="D28" s="49">
        <v>85.028888093842554</v>
      </c>
      <c r="E28" s="50">
        <v>504.9</v>
      </c>
    </row>
    <row r="29" spans="1:15">
      <c r="A29" s="44" t="s">
        <v>99</v>
      </c>
      <c r="B29" s="47">
        <v>14.8</v>
      </c>
      <c r="C29" s="48">
        <v>5.8</v>
      </c>
      <c r="D29" s="49">
        <v>90.467729264863962</v>
      </c>
      <c r="E29" s="50">
        <v>287.5</v>
      </c>
    </row>
    <row r="30" spans="1:15">
      <c r="A30" s="44" t="s">
        <v>100</v>
      </c>
      <c r="B30" s="47">
        <v>10.8</v>
      </c>
      <c r="C30" s="48">
        <v>5.6</v>
      </c>
      <c r="D30" s="49">
        <v>91.372477335833381</v>
      </c>
      <c r="E30" s="50">
        <v>302.39999999999998</v>
      </c>
    </row>
    <row r="31" spans="1:15">
      <c r="A31" s="44" t="s">
        <v>101</v>
      </c>
      <c r="B31" s="47">
        <v>11.3</v>
      </c>
      <c r="C31" s="48">
        <v>6.4</v>
      </c>
      <c r="D31" s="49">
        <v>80.891227371165002</v>
      </c>
      <c r="E31" s="50">
        <v>750.6</v>
      </c>
    </row>
    <row r="32" spans="1:15">
      <c r="A32" s="44" t="s">
        <v>102</v>
      </c>
      <c r="B32" s="47">
        <v>7.6</v>
      </c>
      <c r="C32" s="48">
        <v>6.1</v>
      </c>
      <c r="D32" s="49">
        <v>95.487186970145373</v>
      </c>
      <c r="E32" s="50">
        <v>137.30000000000001</v>
      </c>
    </row>
    <row r="33" spans="1:5">
      <c r="A33" s="44" t="s">
        <v>103</v>
      </c>
      <c r="B33" s="47">
        <v>8.6999999999999993</v>
      </c>
      <c r="C33" s="48">
        <v>5.5</v>
      </c>
      <c r="D33" s="49">
        <v>76.032117342828414</v>
      </c>
      <c r="E33" s="50">
        <v>329.3</v>
      </c>
    </row>
    <row r="34" spans="1:5">
      <c r="A34" s="44" t="s">
        <v>104</v>
      </c>
      <c r="B34" s="47">
        <v>17.100000000000001</v>
      </c>
      <c r="C34" s="48">
        <v>5.8</v>
      </c>
      <c r="D34" s="49">
        <v>83.996520785584835</v>
      </c>
      <c r="E34" s="50">
        <v>664.2</v>
      </c>
    </row>
    <row r="35" spans="1:5">
      <c r="A35" s="44" t="s">
        <v>105</v>
      </c>
      <c r="B35" s="47">
        <v>13.6</v>
      </c>
      <c r="C35" s="48">
        <v>5.6</v>
      </c>
      <c r="D35" s="49">
        <v>73.422529169257928</v>
      </c>
      <c r="E35" s="50">
        <v>414.1</v>
      </c>
    </row>
    <row r="36" spans="1:5">
      <c r="A36" s="44" t="s">
        <v>106</v>
      </c>
      <c r="B36" s="47">
        <v>14.6</v>
      </c>
      <c r="C36" s="48">
        <v>8.1</v>
      </c>
      <c r="D36" s="49">
        <v>73.937344387272134</v>
      </c>
      <c r="E36" s="50">
        <v>466.4</v>
      </c>
    </row>
    <row r="37" spans="1:5">
      <c r="A37" s="44" t="s">
        <v>107</v>
      </c>
      <c r="B37" s="57">
        <v>12</v>
      </c>
      <c r="C37" s="48">
        <v>5.8</v>
      </c>
      <c r="D37" s="49">
        <v>91.393509706444945</v>
      </c>
      <c r="E37" s="50">
        <v>142.4</v>
      </c>
    </row>
    <row r="38" spans="1:5">
      <c r="A38" s="44" t="s">
        <v>108</v>
      </c>
      <c r="B38" s="47">
        <v>13.4</v>
      </c>
      <c r="C38" s="48">
        <v>7.8</v>
      </c>
      <c r="D38" s="49">
        <v>84.764237226305966</v>
      </c>
      <c r="E38" s="50">
        <v>343.2</v>
      </c>
    </row>
    <row r="39" spans="1:5">
      <c r="A39" s="44" t="s">
        <v>109</v>
      </c>
      <c r="B39" s="47">
        <v>15.9</v>
      </c>
      <c r="C39" s="48">
        <v>8</v>
      </c>
      <c r="D39" s="49">
        <v>78.141238608693655</v>
      </c>
      <c r="E39" s="50">
        <v>499.6</v>
      </c>
    </row>
    <row r="40" spans="1:5">
      <c r="A40" s="44" t="s">
        <v>110</v>
      </c>
      <c r="B40" s="47">
        <v>13.6</v>
      </c>
      <c r="C40" s="48">
        <v>5.5</v>
      </c>
      <c r="D40" s="49">
        <v>90.140446325387984</v>
      </c>
      <c r="E40" s="50">
        <v>287.60000000000002</v>
      </c>
    </row>
    <row r="41" spans="1:5">
      <c r="A41" s="44" t="s">
        <v>111</v>
      </c>
      <c r="B41" s="47">
        <v>12.1</v>
      </c>
      <c r="C41" s="48">
        <v>7.6</v>
      </c>
      <c r="D41" s="49">
        <v>85.424563507935517</v>
      </c>
      <c r="E41" s="50">
        <v>416.5</v>
      </c>
    </row>
    <row r="42" spans="1:5">
      <c r="A42" s="44" t="s">
        <v>112</v>
      </c>
      <c r="B42" s="47">
        <v>11.7</v>
      </c>
      <c r="C42" s="48">
        <v>6.1</v>
      </c>
      <c r="D42" s="49">
        <v>88.483880668602993</v>
      </c>
      <c r="E42" s="50">
        <v>227.3</v>
      </c>
    </row>
    <row r="43" spans="1:5">
      <c r="A43" s="44" t="s">
        <v>113</v>
      </c>
      <c r="B43" s="47">
        <v>15.7</v>
      </c>
      <c r="C43" s="48">
        <v>8.4</v>
      </c>
      <c r="D43" s="49">
        <v>68.748136077503446</v>
      </c>
      <c r="E43" s="50">
        <v>788.3</v>
      </c>
    </row>
    <row r="44" spans="1:5">
      <c r="A44" s="44" t="s">
        <v>114</v>
      </c>
      <c r="B44" s="47">
        <v>12.5</v>
      </c>
      <c r="C44" s="48">
        <v>6.9</v>
      </c>
      <c r="D44" s="49">
        <v>88.189790025789804</v>
      </c>
      <c r="E44" s="50">
        <v>169.2</v>
      </c>
    </row>
    <row r="45" spans="1:5">
      <c r="A45" s="44" t="s">
        <v>115</v>
      </c>
      <c r="B45" s="47">
        <v>15.5</v>
      </c>
      <c r="C45" s="48">
        <v>8.6999999999999993</v>
      </c>
      <c r="D45" s="49">
        <v>80.371971305033981</v>
      </c>
      <c r="E45" s="50">
        <v>753.3</v>
      </c>
    </row>
    <row r="46" spans="1:5">
      <c r="A46" s="44" t="s">
        <v>116</v>
      </c>
      <c r="B46" s="47">
        <v>15.8</v>
      </c>
      <c r="C46" s="48">
        <v>6.2</v>
      </c>
      <c r="D46" s="49">
        <v>82.402677784750395</v>
      </c>
      <c r="E46" s="50">
        <v>510.6</v>
      </c>
    </row>
    <row r="47" spans="1:5">
      <c r="A47" s="44" t="s">
        <v>117</v>
      </c>
      <c r="B47" s="47">
        <v>9.6</v>
      </c>
      <c r="C47" s="48">
        <v>5.0999999999999996</v>
      </c>
      <c r="D47" s="49">
        <v>92.915461931338129</v>
      </c>
      <c r="E47" s="50">
        <v>234.8</v>
      </c>
    </row>
    <row r="48" spans="1:5">
      <c r="A48" s="44" t="s">
        <v>118</v>
      </c>
      <c r="B48" s="47">
        <v>10.6</v>
      </c>
      <c r="C48" s="48">
        <v>5.5</v>
      </c>
      <c r="D48" s="49">
        <v>96.408807764739961</v>
      </c>
      <c r="E48" s="50">
        <v>124.3</v>
      </c>
    </row>
    <row r="49" spans="1:5">
      <c r="A49" s="44" t="s">
        <v>119</v>
      </c>
      <c r="B49" s="47">
        <v>10.199999999999999</v>
      </c>
      <c r="C49" s="48">
        <v>7.1</v>
      </c>
      <c r="D49" s="49">
        <v>73.031896017666924</v>
      </c>
      <c r="E49" s="50">
        <v>269.7</v>
      </c>
    </row>
    <row r="50" spans="1:5">
      <c r="A50" s="44" t="s">
        <v>120</v>
      </c>
      <c r="B50" s="47">
        <v>11.3</v>
      </c>
      <c r="C50" s="48">
        <v>4.7</v>
      </c>
      <c r="D50" s="49">
        <v>84.290902250404002</v>
      </c>
      <c r="E50" s="50">
        <v>333.1</v>
      </c>
    </row>
    <row r="51" spans="1:5">
      <c r="A51" s="44" t="s">
        <v>121</v>
      </c>
      <c r="B51" s="57">
        <v>17</v>
      </c>
      <c r="C51" s="48">
        <v>7.4</v>
      </c>
      <c r="D51" s="49">
        <v>94.524786328554711</v>
      </c>
      <c r="E51" s="50">
        <v>275.2</v>
      </c>
    </row>
    <row r="52" spans="1:5">
      <c r="A52" s="44" t="s">
        <v>122</v>
      </c>
      <c r="B52" s="47">
        <v>10.4</v>
      </c>
      <c r="C52" s="48">
        <v>6.4</v>
      </c>
      <c r="D52" s="49">
        <v>89.673695670212709</v>
      </c>
      <c r="E52" s="50">
        <v>290.89999999999998</v>
      </c>
    </row>
    <row r="53" spans="1:5">
      <c r="A53" s="58" t="s">
        <v>123</v>
      </c>
      <c r="B53" s="59">
        <v>9.4</v>
      </c>
      <c r="C53" s="60">
        <v>7</v>
      </c>
      <c r="D53" s="61">
        <v>93.867286940458214</v>
      </c>
      <c r="E53" s="62">
        <v>239.3</v>
      </c>
    </row>
    <row r="54" spans="1:5">
      <c r="A54" s="44"/>
      <c r="B54" s="44"/>
      <c r="C54" s="44"/>
      <c r="D54" s="44"/>
      <c r="E54" s="44"/>
    </row>
    <row r="55" spans="1:5">
      <c r="A55" s="44" t="s">
        <v>124</v>
      </c>
      <c r="B55" s="44"/>
      <c r="C55" s="44"/>
      <c r="D55" s="44"/>
      <c r="E55" s="44"/>
    </row>
    <row r="56" spans="1:5">
      <c r="A56" s="44" t="s">
        <v>125</v>
      </c>
      <c r="B56" s="44"/>
      <c r="C56" s="44"/>
      <c r="D56" s="44"/>
      <c r="E56" s="44"/>
    </row>
    <row r="57" spans="1:5">
      <c r="A57" s="44" t="s">
        <v>126</v>
      </c>
      <c r="B57" s="44"/>
      <c r="C57" s="44"/>
      <c r="D57" s="44"/>
      <c r="E57" s="44"/>
    </row>
    <row r="58" spans="1:5">
      <c r="A58" s="44" t="s">
        <v>127</v>
      </c>
      <c r="B58" s="44"/>
      <c r="C58" s="44"/>
      <c r="D58" s="44"/>
      <c r="E58" s="44"/>
    </row>
  </sheetData>
  <pageMargins left="0.7" right="0.7" top="0.75" bottom="0.75" header="0.3" footer="0.3"/>
  <ignoredErrors>
    <ignoredError sqref="H14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82"/>
  <dimension ref="A1:Q23"/>
  <sheetViews>
    <sheetView workbookViewId="0"/>
  </sheetViews>
  <sheetFormatPr defaultRowHeight="15"/>
  <cols>
    <col min="1" max="1" width="10.42578125" customWidth="1"/>
    <col min="2" max="2" width="10.28515625" customWidth="1"/>
    <col min="4" max="4" width="17.7109375" customWidth="1"/>
    <col min="7" max="9" width="9.28515625" bestFit="1" customWidth="1"/>
    <col min="10" max="10" width="9.28515625" customWidth="1"/>
    <col min="12" max="12" width="9.140625" customWidth="1"/>
    <col min="16" max="16" width="12" customWidth="1"/>
  </cols>
  <sheetData>
    <row r="1" spans="1:17">
      <c r="A1" s="1" t="s">
        <v>679</v>
      </c>
    </row>
    <row r="3" spans="1:17">
      <c r="A3" s="407" t="s">
        <v>143</v>
      </c>
      <c r="B3" s="407" t="s">
        <v>144</v>
      </c>
      <c r="D3" t="s">
        <v>601</v>
      </c>
      <c r="L3" t="s">
        <v>675</v>
      </c>
      <c r="P3" t="s">
        <v>669</v>
      </c>
    </row>
    <row r="4" spans="1:17">
      <c r="A4" s="455">
        <v>5</v>
      </c>
      <c r="B4" s="408">
        <v>80</v>
      </c>
    </row>
    <row r="5" spans="1:17" ht="15.75" thickBot="1">
      <c r="A5" s="455">
        <v>23</v>
      </c>
      <c r="B5" s="455">
        <v>78</v>
      </c>
      <c r="D5" s="364" t="s">
        <v>606</v>
      </c>
      <c r="E5" s="364"/>
      <c r="G5" t="s">
        <v>674</v>
      </c>
      <c r="M5" s="454" t="s">
        <v>676</v>
      </c>
      <c r="N5" s="454" t="s">
        <v>638</v>
      </c>
    </row>
    <row r="6" spans="1:17" ht="15.75" thickTop="1">
      <c r="A6" s="455">
        <v>25</v>
      </c>
      <c r="B6" s="455">
        <v>60</v>
      </c>
      <c r="D6" t="s">
        <v>208</v>
      </c>
      <c r="E6" t="e">
        <f ca="1">SQRT(E7)</f>
        <v>#NAME?</v>
      </c>
      <c r="G6" s="411" t="e">
        <f t="array" aca="1" ref="G6:H7" ca="1">CORE(A4:A18)</f>
        <v>#NAME?</v>
      </c>
      <c r="H6" s="412" t="e">
        <f ca="1"/>
        <v>#NAME?</v>
      </c>
      <c r="L6" t="s">
        <v>53</v>
      </c>
      <c r="M6" s="411">
        <v>0.05</v>
      </c>
      <c r="N6" s="412">
        <f>M6</f>
        <v>0.05</v>
      </c>
      <c r="P6" t="e">
        <f t="array" aca="1" ref="P6:Q12" ca="1">RegPred(L20,A4:A18,B4:B18,TRUE)</f>
        <v>#NAME?</v>
      </c>
      <c r="Q6" s="410" t="e">
        <f ca="1"/>
        <v>#NAME?</v>
      </c>
    </row>
    <row r="7" spans="1:17">
      <c r="A7" s="455">
        <v>48</v>
      </c>
      <c r="B7" s="455">
        <v>53</v>
      </c>
      <c r="D7" t="s">
        <v>201</v>
      </c>
      <c r="E7" t="e">
        <f ca="1">F14/F16</f>
        <v>#NAME?</v>
      </c>
      <c r="G7" s="284" t="e">
        <f ca="1"/>
        <v>#NAME?</v>
      </c>
      <c r="H7" s="288" t="e">
        <f ca="1"/>
        <v>#NAME?</v>
      </c>
      <c r="L7" t="s">
        <v>677</v>
      </c>
      <c r="M7" s="294" t="e">
        <f ca="1">SUMPRODUCT(E19:E20,L19:L20)</f>
        <v>#NAME?</v>
      </c>
      <c r="N7" s="295" t="e">
        <f ca="1">M7</f>
        <v>#NAME?</v>
      </c>
      <c r="P7" t="e">
        <f ca="1"/>
        <v>#NAME?</v>
      </c>
      <c r="Q7" s="293" t="e">
        <f ca="1"/>
        <v>#NAME?</v>
      </c>
    </row>
    <row r="8" spans="1:17">
      <c r="A8" s="82">
        <v>17</v>
      </c>
      <c r="B8" s="455">
        <v>85</v>
      </c>
      <c r="D8" t="s">
        <v>209</v>
      </c>
      <c r="E8" t="e">
        <f ca="1">1-(1-E7)*(E10-1)/(E10-E14-1)</f>
        <v>#NAME?</v>
      </c>
      <c r="L8" t="s">
        <v>678</v>
      </c>
      <c r="M8" s="294" t="e">
        <f ca="1">G15</f>
        <v>#NAME?</v>
      </c>
      <c r="N8" s="295" t="e">
        <f ca="1">M8</f>
        <v>#NAME?</v>
      </c>
      <c r="P8" t="e">
        <f ca="1"/>
        <v>#NAME?</v>
      </c>
      <c r="Q8" s="293" t="e">
        <f ca="1"/>
        <v>#NAME?</v>
      </c>
    </row>
    <row r="9" spans="1:17">
      <c r="A9" s="82">
        <v>8</v>
      </c>
      <c r="B9" s="455">
        <v>84</v>
      </c>
      <c r="D9" t="s">
        <v>9</v>
      </c>
      <c r="E9" t="e">
        <f ca="1">SQRT(G15)</f>
        <v>#NAME?</v>
      </c>
      <c r="L9" s="14" t="s">
        <v>671</v>
      </c>
      <c r="M9" s="294">
        <f>E15</f>
        <v>13</v>
      </c>
      <c r="N9" s="295">
        <f>M9</f>
        <v>13</v>
      </c>
      <c r="P9" t="e">
        <f ca="1"/>
        <v>#NAME?</v>
      </c>
      <c r="Q9" s="293" t="e">
        <f ca="1"/>
        <v>#NAME?</v>
      </c>
    </row>
    <row r="10" spans="1:17">
      <c r="A10" s="455">
        <v>4</v>
      </c>
      <c r="B10" s="455">
        <v>73</v>
      </c>
      <c r="D10" s="380" t="s">
        <v>42</v>
      </c>
      <c r="E10" s="380">
        <f>COUNT(B4:B18)</f>
        <v>15</v>
      </c>
      <c r="L10" s="14" t="s">
        <v>31</v>
      </c>
      <c r="M10" s="294">
        <f>TINV(M6,M9)</f>
        <v>2.1603686564627926</v>
      </c>
      <c r="N10" s="295">
        <f>M10</f>
        <v>2.1603686564627926</v>
      </c>
      <c r="P10" t="e">
        <f ca="1"/>
        <v>#NAME?</v>
      </c>
      <c r="Q10" s="293" t="e">
        <f ca="1"/>
        <v>#NAME?</v>
      </c>
    </row>
    <row r="11" spans="1:17">
      <c r="A11" s="455">
        <v>26</v>
      </c>
      <c r="B11" s="455">
        <v>79</v>
      </c>
      <c r="L11" s="14" t="s">
        <v>337</v>
      </c>
      <c r="M11" s="294" t="e">
        <f t="array" aca="1" ref="M11" ca="1">SQRT(M8*MMULT(TRANSPOSE(L19:L20),MMULT(G6:H7,L19:L20)))</f>
        <v>#NAME?</v>
      </c>
      <c r="N11" s="295" t="e">
        <f t="array" aca="1" ref="N11" ca="1">SQRT(M8*(1+MMULT(TRANSPOSE(L19:L20),MMULT(G6:H7,L19:L20))))</f>
        <v>#NAME?</v>
      </c>
      <c r="P11" t="e">
        <f ca="1"/>
        <v>#NAME?</v>
      </c>
      <c r="Q11" s="293" t="e">
        <f ca="1"/>
        <v>#NAME?</v>
      </c>
    </row>
    <row r="12" spans="1:17" ht="15.75" thickBot="1">
      <c r="A12" s="455">
        <v>11</v>
      </c>
      <c r="B12" s="455">
        <v>81</v>
      </c>
      <c r="D12" t="s">
        <v>210</v>
      </c>
      <c r="H12" s="454" t="s">
        <v>16</v>
      </c>
      <c r="I12" s="454">
        <v>0.05</v>
      </c>
      <c r="L12" s="14" t="s">
        <v>13</v>
      </c>
      <c r="M12" s="294" t="e">
        <f ca="1">M7-M11*M10</f>
        <v>#NAME?</v>
      </c>
      <c r="N12" s="295" t="e">
        <f ca="1">N7-N11*N10</f>
        <v>#NAME?</v>
      </c>
      <c r="P12" t="e">
        <f ca="1"/>
        <v>#NAME?</v>
      </c>
      <c r="Q12" s="289" t="e">
        <f ca="1"/>
        <v>#NAME?</v>
      </c>
    </row>
    <row r="13" spans="1:17" ht="15.75" thickTop="1">
      <c r="A13" s="455">
        <v>19</v>
      </c>
      <c r="B13" s="455">
        <v>75</v>
      </c>
      <c r="D13" s="398"/>
      <c r="E13" s="398" t="s">
        <v>26</v>
      </c>
      <c r="F13" s="398" t="s">
        <v>137</v>
      </c>
      <c r="G13" s="398" t="s">
        <v>156</v>
      </c>
      <c r="H13" s="398" t="s">
        <v>63</v>
      </c>
      <c r="I13" s="398" t="s">
        <v>30</v>
      </c>
      <c r="J13" s="398" t="s">
        <v>374</v>
      </c>
      <c r="L13" s="14" t="s">
        <v>14</v>
      </c>
      <c r="M13" s="284" t="e">
        <f ca="1">M7+M11*M10</f>
        <v>#NAME?</v>
      </c>
      <c r="N13" s="288" t="e">
        <f ca="1">N7+N11*N10</f>
        <v>#NAME?</v>
      </c>
    </row>
    <row r="14" spans="1:17">
      <c r="A14" s="455">
        <v>14</v>
      </c>
      <c r="B14" s="455">
        <v>68</v>
      </c>
      <c r="D14" t="s">
        <v>138</v>
      </c>
      <c r="E14">
        <f>COUNT(A4)</f>
        <v>1</v>
      </c>
      <c r="F14" t="e">
        <f ca="1">DEVSQ(MMULT(DESIGN(A4:A18),E19:E20))</f>
        <v>#NAME?</v>
      </c>
      <c r="G14" t="e">
        <f ca="1">F14/E14</f>
        <v>#NAME?</v>
      </c>
      <c r="H14" t="e">
        <f ca="1">G14/G15</f>
        <v>#NAME?</v>
      </c>
      <c r="I14" t="e">
        <f ca="1">FDIST(H14,E14,E15)</f>
        <v>#NAME?</v>
      </c>
      <c r="J14" s="454" t="e">
        <f ca="1">IF(I14&lt;I12,"yes","no")</f>
        <v>#NAME?</v>
      </c>
    </row>
    <row r="15" spans="1:17">
      <c r="A15" s="455">
        <v>35</v>
      </c>
      <c r="B15" s="455">
        <v>72</v>
      </c>
      <c r="D15" t="s">
        <v>211</v>
      </c>
      <c r="E15">
        <f>E16-E14</f>
        <v>13</v>
      </c>
      <c r="F15" t="e">
        <f ca="1">F16-F14</f>
        <v>#NAME?</v>
      </c>
      <c r="G15" t="e">
        <f ca="1">F15/E15</f>
        <v>#NAME?</v>
      </c>
    </row>
    <row r="16" spans="1:17">
      <c r="A16" s="455">
        <v>29</v>
      </c>
      <c r="B16" s="455">
        <v>58</v>
      </c>
      <c r="D16" s="380" t="s">
        <v>1</v>
      </c>
      <c r="E16" s="380">
        <f>E10-1</f>
        <v>14</v>
      </c>
      <c r="F16" s="380">
        <f>DEVSQ(B4:B18)</f>
        <v>1683.7333333333333</v>
      </c>
      <c r="G16" s="380"/>
      <c r="H16" s="380"/>
      <c r="I16" s="380"/>
      <c r="J16" s="380"/>
    </row>
    <row r="17" spans="1:12" ht="15.75" thickBot="1">
      <c r="A17" s="455">
        <v>4</v>
      </c>
      <c r="B17" s="455">
        <v>92</v>
      </c>
    </row>
    <row r="18" spans="1:12" ht="15.75" thickTop="1">
      <c r="A18" s="406">
        <v>23</v>
      </c>
      <c r="B18" s="406">
        <v>65</v>
      </c>
      <c r="D18" s="398"/>
      <c r="E18" s="398" t="s">
        <v>600</v>
      </c>
      <c r="F18" s="398" t="s">
        <v>503</v>
      </c>
      <c r="G18" s="398" t="s">
        <v>27</v>
      </c>
      <c r="H18" s="398" t="s">
        <v>30</v>
      </c>
      <c r="I18" s="398" t="s">
        <v>13</v>
      </c>
      <c r="J18" s="398" t="s">
        <v>14</v>
      </c>
      <c r="L18" s="398" t="s">
        <v>665</v>
      </c>
    </row>
    <row r="19" spans="1:12">
      <c r="D19" t="s">
        <v>212</v>
      </c>
      <c r="E19" t="e">
        <f t="array" aca="1" ref="E19:F20" ca="1">RegCoeff(A4:A18,B4:B18)</f>
        <v>#NAME?</v>
      </c>
      <c r="F19" t="e">
        <f ca="1"/>
        <v>#NAME?</v>
      </c>
      <c r="G19" t="e">
        <f ca="1">E19/F19</f>
        <v>#NAME?</v>
      </c>
      <c r="H19" t="e">
        <f ca="1">TDIST(ABS(G19),$E$15,2)</f>
        <v>#NAME?</v>
      </c>
      <c r="I19" t="e">
        <f ca="1">E19-TINV(I$12,$E$15)*F19</f>
        <v>#NAME?</v>
      </c>
      <c r="J19" t="e">
        <f ca="1">E19+TINV(I$12,$E$15)*F19</f>
        <v>#NAME?</v>
      </c>
      <c r="L19">
        <v>1</v>
      </c>
    </row>
    <row r="20" spans="1:12">
      <c r="D20" s="380" t="str">
        <f t="array" ref="D20">TRANSPOSE(A3)</f>
        <v>Cig (x)</v>
      </c>
      <c r="E20" s="380" t="e">
        <f ca="1"/>
        <v>#NAME?</v>
      </c>
      <c r="F20" s="380" t="e">
        <f ca="1"/>
        <v>#NAME?</v>
      </c>
      <c r="G20" s="380" t="e">
        <f ca="1">E20/F20</f>
        <v>#NAME?</v>
      </c>
      <c r="H20" s="380" t="e">
        <f ca="1">TDIST(ABS(G20),$E$15,2)</f>
        <v>#NAME?</v>
      </c>
      <c r="I20" s="380" t="e">
        <f ca="1">E20-TINV(I$12,$E$15)*F20</f>
        <v>#NAME?</v>
      </c>
      <c r="J20" s="380" t="e">
        <f ca="1">E20+TINV(I$12,$E$15)*F20</f>
        <v>#NAME?</v>
      </c>
      <c r="L20" s="380">
        <v>20</v>
      </c>
    </row>
    <row r="23" spans="1:12">
      <c r="K23" s="454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54"/>
  <dimension ref="A1:AA22"/>
  <sheetViews>
    <sheetView workbookViewId="0"/>
  </sheetViews>
  <sheetFormatPr defaultRowHeight="15"/>
  <cols>
    <col min="1" max="5" width="5.140625" customWidth="1"/>
    <col min="6" max="6" width="7" customWidth="1"/>
    <col min="7" max="10" width="4.85546875" customWidth="1"/>
    <col min="11" max="11" width="2.85546875" customWidth="1"/>
    <col min="12" max="15" width="9.140625" customWidth="1"/>
    <col min="16" max="16" width="2.42578125" customWidth="1"/>
    <col min="18" max="18" width="5.85546875" customWidth="1"/>
    <col min="20" max="20" width="17.140625" customWidth="1"/>
  </cols>
  <sheetData>
    <row r="1" spans="1:26">
      <c r="A1" s="1" t="s">
        <v>837</v>
      </c>
    </row>
    <row r="2" spans="1:26">
      <c r="A2" s="1"/>
    </row>
    <row r="3" spans="1:26">
      <c r="A3" s="735" t="s">
        <v>839</v>
      </c>
      <c r="B3" s="735"/>
      <c r="C3" s="735"/>
      <c r="D3" s="735"/>
      <c r="E3" s="735"/>
      <c r="G3" s="735" t="s">
        <v>840</v>
      </c>
      <c r="H3" s="735"/>
      <c r="I3" s="735"/>
      <c r="J3" s="735"/>
      <c r="L3" s="735" t="s">
        <v>841</v>
      </c>
      <c r="M3" s="735"/>
      <c r="N3" s="735"/>
      <c r="O3" s="735"/>
      <c r="Q3" t="s">
        <v>53</v>
      </c>
      <c r="R3" s="5">
        <v>0.15</v>
      </c>
    </row>
    <row r="4" spans="1:26">
      <c r="T4" t="s">
        <v>601</v>
      </c>
    </row>
    <row r="5" spans="1:26">
      <c r="A5" s="563" t="s">
        <v>65</v>
      </c>
      <c r="B5" s="548" t="s">
        <v>795</v>
      </c>
      <c r="C5" s="548" t="s">
        <v>796</v>
      </c>
      <c r="D5" s="548" t="s">
        <v>797</v>
      </c>
      <c r="E5" s="548" t="s">
        <v>842</v>
      </c>
      <c r="G5" s="560">
        <v>1</v>
      </c>
      <c r="H5" s="560">
        <f>G5+1</f>
        <v>2</v>
      </c>
      <c r="I5" s="560">
        <f>H5+1</f>
        <v>3</v>
      </c>
      <c r="J5" s="560">
        <f>I5+1</f>
        <v>4</v>
      </c>
      <c r="K5" s="560"/>
      <c r="L5" s="560" t="s">
        <v>795</v>
      </c>
      <c r="M5" s="560" t="s">
        <v>796</v>
      </c>
      <c r="N5" s="560" t="s">
        <v>797</v>
      </c>
      <c r="O5" s="560" t="s">
        <v>842</v>
      </c>
      <c r="P5" s="560"/>
      <c r="Q5" s="560" t="s">
        <v>843</v>
      </c>
      <c r="R5" s="560" t="s">
        <v>844</v>
      </c>
    </row>
    <row r="6" spans="1:26" ht="15.75" thickBot="1">
      <c r="A6" s="484">
        <v>49.25</v>
      </c>
      <c r="B6">
        <v>13</v>
      </c>
      <c r="C6">
        <v>7</v>
      </c>
      <c r="D6">
        <v>72</v>
      </c>
      <c r="E6">
        <v>11</v>
      </c>
      <c r="F6" s="11" t="s">
        <v>845</v>
      </c>
      <c r="G6" s="482"/>
      <c r="H6" s="408"/>
      <c r="I6" s="408"/>
      <c r="J6" s="483"/>
      <c r="L6" s="564" t="e">
        <f t="array" aca="1" ref="L6:O6" ca="1">RegRank($B$6:$E$18,$A$6:$A$18,G6:J6)</f>
        <v>#NAME?</v>
      </c>
      <c r="M6" s="399" t="e">
        <f ca="1"/>
        <v>#NAME?</v>
      </c>
      <c r="N6" s="399" t="e">
        <f ca="1"/>
        <v>#NAME?</v>
      </c>
      <c r="O6" s="515" t="e">
        <f ca="1"/>
        <v>#NAME?</v>
      </c>
      <c r="Q6" s="564" t="e">
        <f ca="1">MIN(L6:O6)</f>
        <v>#NAME?</v>
      </c>
      <c r="R6" s="565" t="e">
        <f ca="1">MATCH(Q6,L6:O6,0)</f>
        <v>#NAME?</v>
      </c>
      <c r="T6" s="364" t="s">
        <v>606</v>
      </c>
      <c r="U6" s="364"/>
      <c r="W6" s="364"/>
      <c r="X6" s="364"/>
    </row>
    <row r="7" spans="1:26" ht="15.75" thickTop="1">
      <c r="A7" s="484">
        <v>47.15</v>
      </c>
      <c r="B7">
        <v>1</v>
      </c>
      <c r="C7">
        <v>20</v>
      </c>
      <c r="D7">
        <v>57</v>
      </c>
      <c r="E7">
        <v>14</v>
      </c>
      <c r="F7" s="11" t="s">
        <v>846</v>
      </c>
      <c r="G7" s="296" t="e">
        <f ca="1">IF($R6=G$5,G$5,IF(G6="","",G6))</f>
        <v>#NAME?</v>
      </c>
      <c r="H7" s="561" t="e">
        <f ca="1">IF($R6=H$5,H$5,IF(H6="","",H6))</f>
        <v>#NAME?</v>
      </c>
      <c r="I7" s="561" t="e">
        <f ca="1">IF($R6=I$5,I$5,IF(I6="","",I6))</f>
        <v>#NAME?</v>
      </c>
      <c r="J7" s="291" t="e">
        <f ca="1">IF($R6=J$5,J$5,IF(J6="","",J6))</f>
        <v>#NAME?</v>
      </c>
      <c r="K7" s="5"/>
      <c r="L7" s="294" t="e">
        <f t="array" aca="1" ref="L7:O7" ca="1">RegCoeffP($B$6:$E$18,$A$6:$A$18,G7:J7)</f>
        <v>#NAME?</v>
      </c>
      <c r="M7" s="5" t="e">
        <f ca="1"/>
        <v>#NAME?</v>
      </c>
      <c r="N7" s="5" t="e">
        <f ca="1"/>
        <v>#NAME?</v>
      </c>
      <c r="O7" s="295" t="e">
        <f ca="1"/>
        <v>#NAME?</v>
      </c>
      <c r="Q7" s="294"/>
      <c r="R7" s="301"/>
      <c r="T7" t="s">
        <v>208</v>
      </c>
      <c r="U7" t="e">
        <f ca="1">SQRT(U8)</f>
        <v>#NAME?</v>
      </c>
      <c r="W7" t="s">
        <v>498</v>
      </c>
      <c r="X7" t="e">
        <f ca="1">U11*LN(V16/U11)+2*(U15+1)</f>
        <v>#NAME?</v>
      </c>
    </row>
    <row r="8" spans="1:26">
      <c r="A8" s="484">
        <v>62.15</v>
      </c>
      <c r="B8">
        <v>21</v>
      </c>
      <c r="C8">
        <v>10</v>
      </c>
      <c r="D8">
        <v>16</v>
      </c>
      <c r="E8">
        <v>41</v>
      </c>
      <c r="F8" s="11" t="s">
        <v>847</v>
      </c>
      <c r="G8" s="296" t="e">
        <f ca="1">IF(L7&gt;=$R$3,"",IF(G7="","",G7))</f>
        <v>#NAME?</v>
      </c>
      <c r="H8" s="561" t="e">
        <f ca="1">IF(M7&gt;=$R$3,"",IF(H7="","",H7))</f>
        <v>#NAME?</v>
      </c>
      <c r="I8" s="561" t="e">
        <f ca="1">IF(N7&gt;=$R$3,"",IF(I7="","",I7))</f>
        <v>#NAME?</v>
      </c>
      <c r="J8" s="291" t="e">
        <f ca="1">IF(O7&gt;=$R$3,"",IF(J7="","",J7))</f>
        <v>#NAME?</v>
      </c>
      <c r="K8" s="5"/>
      <c r="L8" s="294" t="e">
        <f t="array" aca="1" ref="L8:O8" ca="1">RegRank($B$6:$E$18,$A$6:$A$18,G8:J8)</f>
        <v>#NAME?</v>
      </c>
      <c r="M8" s="5" t="e">
        <f ca="1"/>
        <v>#NAME?</v>
      </c>
      <c r="N8" s="561" t="e">
        <f ca="1"/>
        <v>#NAME?</v>
      </c>
      <c r="O8" s="291" t="e">
        <f ca="1"/>
        <v>#NAME?</v>
      </c>
      <c r="Q8" s="294" t="e">
        <f ca="1">MIN(L8:O8)</f>
        <v>#NAME?</v>
      </c>
      <c r="R8" s="301" t="e">
        <f ca="1">MATCH(Q8,L8:O8,0)</f>
        <v>#NAME?</v>
      </c>
      <c r="T8" t="s">
        <v>201</v>
      </c>
      <c r="U8" t="e">
        <f ca="1">V15/V17</f>
        <v>#NAME?</v>
      </c>
      <c r="W8" t="s">
        <v>499</v>
      </c>
      <c r="X8" t="e">
        <f ca="1">X7+2*(U15+2)*(U15+3)/(U11-U15-3)</f>
        <v>#NAME?</v>
      </c>
    </row>
    <row r="9" spans="1:26">
      <c r="A9" s="484">
        <v>53.8</v>
      </c>
      <c r="B9">
        <v>24</v>
      </c>
      <c r="C9">
        <v>10</v>
      </c>
      <c r="D9">
        <v>51</v>
      </c>
      <c r="E9">
        <v>16</v>
      </c>
      <c r="F9" s="11" t="s">
        <v>848</v>
      </c>
      <c r="G9" s="296" t="e">
        <f ca="1">IF($R8=G$5,G$5,IF(G8="","",G8))</f>
        <v>#NAME?</v>
      </c>
      <c r="H9" s="561" t="e">
        <f ca="1">IF($R8=H$5,H$5,IF(H8="","",H8))</f>
        <v>#NAME?</v>
      </c>
      <c r="I9" s="561" t="e">
        <f ca="1">IF($R8=I$5,I$5,IF(I8="","",I8))</f>
        <v>#NAME?</v>
      </c>
      <c r="J9" s="291" t="e">
        <f ca="1">IF($R8=J$5,J$5,IF(J8="","",J8))</f>
        <v>#NAME?</v>
      </c>
      <c r="L9" s="294" t="e">
        <f t="array" aca="1" ref="L9:O9" ca="1">RegCoeffP($B$6:$E$18,$A$6:$A$18,G9:J9)</f>
        <v>#NAME?</v>
      </c>
      <c r="M9" s="5" t="e">
        <f ca="1"/>
        <v>#NAME?</v>
      </c>
      <c r="N9" s="5" t="e">
        <f ca="1"/>
        <v>#NAME?</v>
      </c>
      <c r="O9" s="295" t="e">
        <f ca="1"/>
        <v>#NAME?</v>
      </c>
      <c r="Q9" s="294"/>
      <c r="R9" s="301"/>
      <c r="T9" t="s">
        <v>209</v>
      </c>
      <c r="U9" t="e">
        <f ca="1">1-(1-U8)*(U11-1)/(U11-U15-1)</f>
        <v>#NAME?</v>
      </c>
      <c r="W9" s="380" t="s">
        <v>762</v>
      </c>
      <c r="X9" s="380" t="e">
        <f ca="1">U11*LN(V16/U11)+(U15+1)*LN(U11)</f>
        <v>#NAME?</v>
      </c>
    </row>
    <row r="10" spans="1:26">
      <c r="A10" s="484">
        <v>57.95</v>
      </c>
      <c r="B10">
        <v>13</v>
      </c>
      <c r="C10">
        <v>7</v>
      </c>
      <c r="D10">
        <v>32</v>
      </c>
      <c r="E10">
        <v>37</v>
      </c>
      <c r="F10" s="11" t="s">
        <v>849</v>
      </c>
      <c r="G10" s="296" t="e">
        <f ca="1">IF(L9&gt;=$R$3,"",IF(G9="","",G9))</f>
        <v>#NAME?</v>
      </c>
      <c r="H10" s="561" t="e">
        <f ca="1">IF(M9&gt;=$R$3,"",IF(H9="","",H9))</f>
        <v>#NAME?</v>
      </c>
      <c r="I10" s="561" t="e">
        <f ca="1">IF(N9&gt;=$R$3,"",IF(I9="","",I9))</f>
        <v>#NAME?</v>
      </c>
      <c r="J10" s="291" t="e">
        <f ca="1">IF(O9&gt;=$R$3,"",IF(J9="","",J9))</f>
        <v>#NAME?</v>
      </c>
      <c r="L10" s="296" t="e">
        <f t="array" aca="1" ref="L10:O10" ca="1">RegRank($B$6:$E$18,$A$6:$A$18,G10:J10)</f>
        <v>#NAME?</v>
      </c>
      <c r="M10" s="5" t="e">
        <f ca="1"/>
        <v>#NAME?</v>
      </c>
      <c r="N10" s="561" t="e">
        <f ca="1"/>
        <v>#NAME?</v>
      </c>
      <c r="O10" s="291" t="e">
        <f ca="1"/>
        <v>#NAME?</v>
      </c>
      <c r="Q10" s="294" t="e">
        <f ca="1">MIN(L10:O10)</f>
        <v>#NAME?</v>
      </c>
      <c r="R10" s="301" t="e">
        <f ca="1">MATCH(Q10,L10:O10,0)</f>
        <v>#NAME?</v>
      </c>
      <c r="T10" t="s">
        <v>9</v>
      </c>
      <c r="U10" t="e">
        <f ca="1">SQRT(W16)</f>
        <v>#NAME?</v>
      </c>
    </row>
    <row r="11" spans="1:26">
      <c r="A11" s="484">
        <v>64.599999999999994</v>
      </c>
      <c r="B11">
        <v>21</v>
      </c>
      <c r="C11">
        <v>11</v>
      </c>
      <c r="D11">
        <v>18</v>
      </c>
      <c r="E11">
        <v>40</v>
      </c>
      <c r="F11" s="11" t="s">
        <v>850</v>
      </c>
      <c r="G11" s="296" t="e">
        <f ca="1">IF($R10=G$5,G$5,IF(G10="","",G10))</f>
        <v>#NAME?</v>
      </c>
      <c r="H11" s="561" t="e">
        <f ca="1">IF($R10=H$5,H$5,IF(H10="","",H10))</f>
        <v>#NAME?</v>
      </c>
      <c r="I11" s="561" t="e">
        <f ca="1">IF($R10=I$5,I$5,IF(I10="","",I10))</f>
        <v>#NAME?</v>
      </c>
      <c r="J11" s="291" t="e">
        <f ca="1">IF($R10=J$5,J$5,IF(J10="","",J10))</f>
        <v>#NAME?</v>
      </c>
      <c r="L11" s="294" t="e">
        <f t="array" aca="1" ref="L11:O11" ca="1">RegCoeffP($B$6:$E$18,$A$6:$A$18,G11:J11)</f>
        <v>#NAME?</v>
      </c>
      <c r="M11" s="5" t="e">
        <f ca="1"/>
        <v>#NAME?</v>
      </c>
      <c r="N11" s="5" t="e">
        <f ca="1"/>
        <v>#NAME?</v>
      </c>
      <c r="O11" s="295" t="e">
        <f ca="1"/>
        <v>#NAME?</v>
      </c>
      <c r="Q11" s="294"/>
      <c r="R11" s="301"/>
      <c r="T11" s="380" t="s">
        <v>42</v>
      </c>
      <c r="U11" s="380">
        <f>COUNT(A6:A18)</f>
        <v>13</v>
      </c>
    </row>
    <row r="12" spans="1:26">
      <c r="A12" s="484">
        <v>61.35</v>
      </c>
      <c r="B12">
        <v>5</v>
      </c>
      <c r="C12">
        <v>22</v>
      </c>
      <c r="D12">
        <v>1</v>
      </c>
      <c r="E12">
        <v>56</v>
      </c>
      <c r="F12" s="11" t="s">
        <v>851</v>
      </c>
      <c r="G12" s="290" t="e">
        <f ca="1">IF(L11&gt;=$R$3,"",IF(G11="","",G11))</f>
        <v>#NAME?</v>
      </c>
      <c r="H12" s="562" t="e">
        <f ca="1">IF(M11&gt;=$R$3,"",IF(H11="","",H11))</f>
        <v>#NAME?</v>
      </c>
      <c r="I12" s="562" t="e">
        <f ca="1">IF(N11&gt;=$R$3,"",IF(I11="","",I11))</f>
        <v>#NAME?</v>
      </c>
      <c r="J12" s="286" t="e">
        <f ca="1">IF(O11&gt;=$R$3,"",IF(J11="","",J11))</f>
        <v>#NAME?</v>
      </c>
      <c r="L12" s="290" t="e">
        <f t="array" aca="1" ref="L12:O12" ca="1">RegRank($B$6:$E$18,$A$6:$A$18,G12:J12)</f>
        <v>#NAME?</v>
      </c>
      <c r="M12" s="562" t="e">
        <f ca="1"/>
        <v>#NAME?</v>
      </c>
      <c r="N12" s="380" t="e">
        <f ca="1"/>
        <v>#NAME?</v>
      </c>
      <c r="O12" s="286" t="e">
        <f ca="1"/>
        <v>#NAME?</v>
      </c>
      <c r="Q12" s="284" t="e">
        <f ca="1">MIN(L12:O12)</f>
        <v>#NAME?</v>
      </c>
      <c r="R12" s="300" t="e">
        <f ca="1">MATCH(Q12,L12:O12,0)</f>
        <v>#NAME?</v>
      </c>
    </row>
    <row r="13" spans="1:26" ht="15.75" thickBot="1">
      <c r="A13" s="484">
        <v>46.25</v>
      </c>
      <c r="B13">
        <v>2</v>
      </c>
      <c r="C13">
        <v>29</v>
      </c>
      <c r="D13">
        <v>47</v>
      </c>
      <c r="E13">
        <v>16</v>
      </c>
      <c r="T13" t="s">
        <v>210</v>
      </c>
      <c r="X13" s="560" t="s">
        <v>16</v>
      </c>
      <c r="Y13" s="560">
        <v>0.05</v>
      </c>
    </row>
    <row r="14" spans="1:26" ht="15.75" thickTop="1">
      <c r="A14" s="484">
        <v>56.55</v>
      </c>
      <c r="B14">
        <v>3</v>
      </c>
      <c r="C14">
        <v>24</v>
      </c>
      <c r="D14">
        <v>18</v>
      </c>
      <c r="E14">
        <v>39</v>
      </c>
      <c r="T14" s="398"/>
      <c r="U14" s="398" t="s">
        <v>26</v>
      </c>
      <c r="V14" s="398" t="s">
        <v>137</v>
      </c>
      <c r="W14" s="398" t="s">
        <v>156</v>
      </c>
      <c r="X14" s="398" t="s">
        <v>63</v>
      </c>
      <c r="Y14" s="398" t="s">
        <v>30</v>
      </c>
      <c r="Z14" s="398" t="s">
        <v>374</v>
      </c>
    </row>
    <row r="15" spans="1:26">
      <c r="A15" s="484">
        <v>67.95</v>
      </c>
      <c r="B15">
        <v>41</v>
      </c>
      <c r="C15">
        <v>4</v>
      </c>
      <c r="D15">
        <v>23</v>
      </c>
      <c r="E15">
        <v>32</v>
      </c>
      <c r="T15" t="s">
        <v>138</v>
      </c>
      <c r="U15">
        <f ca="1">COUNT(G12:J12)</f>
        <v>0</v>
      </c>
      <c r="V15" s="336" t="e">
        <f ca="1">DEVSQ(MMULT(DESIGN(SelectCols(B6:E18,G12:J12)),U20:U22))</f>
        <v>#NAME?</v>
      </c>
      <c r="W15" t="e">
        <f ca="1">V15/U15</f>
        <v>#NAME?</v>
      </c>
      <c r="X15" t="e">
        <f ca="1">W15/W16</f>
        <v>#NAME?</v>
      </c>
      <c r="Y15" t="e">
        <f ca="1">FDIST(X15,U15,U16)</f>
        <v>#NAME?</v>
      </c>
      <c r="Z15" s="560" t="e">
        <f ca="1">IF(Y15&lt;Y13,"yes","no")</f>
        <v>#NAME?</v>
      </c>
    </row>
    <row r="16" spans="1:26">
      <c r="A16" s="484">
        <v>51.9</v>
      </c>
      <c r="B16">
        <v>1</v>
      </c>
      <c r="C16">
        <v>31</v>
      </c>
      <c r="D16">
        <v>34</v>
      </c>
      <c r="E16">
        <v>25</v>
      </c>
      <c r="T16" t="s">
        <v>211</v>
      </c>
      <c r="U16">
        <f ca="1">U17-U15</f>
        <v>12</v>
      </c>
      <c r="V16" t="e">
        <f ca="1">V17-V15</f>
        <v>#NAME?</v>
      </c>
      <c r="W16" t="e">
        <f ca="1">V16/U16</f>
        <v>#NAME?</v>
      </c>
    </row>
    <row r="17" spans="1:27">
      <c r="A17" s="484">
        <v>66.650000000000006</v>
      </c>
      <c r="B17">
        <v>21</v>
      </c>
      <c r="C17">
        <v>11</v>
      </c>
      <c r="D17">
        <v>5</v>
      </c>
      <c r="E17">
        <v>51</v>
      </c>
      <c r="T17" s="380" t="s">
        <v>1</v>
      </c>
      <c r="U17" s="380">
        <f>U11-1</f>
        <v>12</v>
      </c>
      <c r="V17" s="380">
        <f>DEVSQ(A6:A18)</f>
        <v>678.94076923076943</v>
      </c>
      <c r="W17" s="380"/>
      <c r="X17" s="380"/>
      <c r="Y17" s="380"/>
      <c r="Z17" s="380"/>
    </row>
    <row r="18" spans="1:27" ht="15.75" thickBot="1">
      <c r="A18" s="566">
        <v>64.7</v>
      </c>
      <c r="B18" s="380">
        <v>18</v>
      </c>
      <c r="C18" s="380">
        <v>10</v>
      </c>
      <c r="D18" s="380">
        <v>5</v>
      </c>
      <c r="E18" s="380">
        <v>53</v>
      </c>
    </row>
    <row r="19" spans="1:27" ht="15.75" thickTop="1">
      <c r="T19" s="398"/>
      <c r="U19" s="398" t="s">
        <v>600</v>
      </c>
      <c r="V19" s="398" t="s">
        <v>503</v>
      </c>
      <c r="W19" s="398" t="s">
        <v>27</v>
      </c>
      <c r="X19" s="398" t="s">
        <v>30</v>
      </c>
      <c r="Y19" s="398" t="s">
        <v>13</v>
      </c>
      <c r="Z19" s="398" t="s">
        <v>14</v>
      </c>
      <c r="AA19" s="398" t="s">
        <v>750</v>
      </c>
    </row>
    <row r="20" spans="1:27">
      <c r="L20" t="e">
        <f ca="1">FTEXT(L22)</f>
        <v>#NAME?</v>
      </c>
      <c r="T20" t="s">
        <v>212</v>
      </c>
      <c r="U20" t="e">
        <f t="array" aca="1" ref="U20:V22" ca="1">RegCoeff(SelectCols(B6:E18,G12:J12),A6:A18)</f>
        <v>#NAME?</v>
      </c>
      <c r="V20" t="e">
        <f ca="1"/>
        <v>#NAME?</v>
      </c>
      <c r="W20" t="e">
        <f ca="1">U20/V20</f>
        <v>#NAME?</v>
      </c>
      <c r="X20" t="e">
        <f ca="1">TDIST(ABS(W20),$U$16,2)</f>
        <v>#NAME?</v>
      </c>
      <c r="Y20" t="e">
        <f ca="1">U20-TINV(Y$13,$U$16)*V20</f>
        <v>#NAME?</v>
      </c>
      <c r="Z20" t="e">
        <f ca="1">U20+TINV(Y$13,$U$16)*V20</f>
        <v>#NAME?</v>
      </c>
    </row>
    <row r="21" spans="1:27">
      <c r="T21" t="e">
        <f t="array" aca="1" ref="T21:T22" ca="1">TRANSPOSE(SelectCols(B5:E5,G12:J12))</f>
        <v>#NAME?</v>
      </c>
      <c r="U21" t="e">
        <f ca="1"/>
        <v>#NAME?</v>
      </c>
      <c r="V21" t="e">
        <f ca="1"/>
        <v>#NAME?</v>
      </c>
      <c r="W21" t="e">
        <f ca="1">U21/V21</f>
        <v>#NAME?</v>
      </c>
      <c r="X21" t="e">
        <f ca="1">TDIST(ABS(W21),$U$16,2)</f>
        <v>#NAME?</v>
      </c>
      <c r="Y21" t="e">
        <f ca="1">U21-TINV(Y$13,$U$16)*V21</f>
        <v>#NAME?</v>
      </c>
      <c r="Z21" t="e">
        <f ca="1">U21+TINV(Y$13,$U$16)*V21</f>
        <v>#NAME?</v>
      </c>
      <c r="AA21" s="336" t="e">
        <f t="array" aca="1" ref="AA21:AA22" ca="1">VIF(SelectCols(B6:E18,G12:J12),2)</f>
        <v>#NAME?</v>
      </c>
    </row>
    <row r="22" spans="1:27">
      <c r="L22" s="313" t="e">
        <f t="array" aca="1" ref="L22:P22" ca="1">RegStepwise(B6:E18,A6:A18)</f>
        <v>#NAME?</v>
      </c>
      <c r="M22" s="547" t="e">
        <f ca="1"/>
        <v>#NAME?</v>
      </c>
      <c r="N22" s="547" t="e">
        <f ca="1"/>
        <v>#NAME?</v>
      </c>
      <c r="O22" s="314" t="e">
        <f ca="1"/>
        <v>#NAME?</v>
      </c>
      <c r="P22" s="314" t="e">
        <f ca="1"/>
        <v>#NAME?</v>
      </c>
      <c r="T22" s="380" t="e">
        <f ca="1"/>
        <v>#NAME?</v>
      </c>
      <c r="U22" s="380" t="e">
        <f ca="1"/>
        <v>#NAME?</v>
      </c>
      <c r="V22" s="380" t="e">
        <f ca="1"/>
        <v>#NAME?</v>
      </c>
      <c r="W22" s="380" t="e">
        <f ca="1">U22/V22</f>
        <v>#NAME?</v>
      </c>
      <c r="X22" s="380" t="e">
        <f ca="1">TDIST(ABS(W22),$U$16,2)</f>
        <v>#NAME?</v>
      </c>
      <c r="Y22" s="380" t="e">
        <f ca="1">U22-TINV(Y$13,$U$16)*V22</f>
        <v>#NAME?</v>
      </c>
      <c r="Z22" s="380" t="e">
        <f ca="1">U22+TINV(Y$13,$U$16)*V22</f>
        <v>#NAME?</v>
      </c>
      <c r="AA22" s="495" t="e">
        <f ca="1"/>
        <v>#NAME?</v>
      </c>
    </row>
  </sheetData>
  <mergeCells count="3">
    <mergeCell ref="A3:E3"/>
    <mergeCell ref="G3:J3"/>
    <mergeCell ref="L3:O3"/>
  </mergeCells>
  <pageMargins left="0.7" right="0.7" top="0.75" bottom="0.75" header="0.3" footer="0.3"/>
  <ignoredErrors>
    <ignoredError sqref="H8 J8 I8 I10 G10 J9:J10 H9:H10 G11:J12 G9 I9" formula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59"/>
  <dimension ref="A1:AB21"/>
  <sheetViews>
    <sheetView workbookViewId="0"/>
  </sheetViews>
  <sheetFormatPr defaultRowHeight="15"/>
  <cols>
    <col min="1" max="5" width="5.140625" customWidth="1"/>
    <col min="6" max="6" width="5.5703125" customWidth="1"/>
    <col min="7" max="7" width="7.140625" customWidth="1"/>
    <col min="8" max="11" width="4.85546875" customWidth="1"/>
    <col min="12" max="12" width="4.7109375" customWidth="1"/>
    <col min="17" max="17" width="4.85546875" customWidth="1"/>
    <col min="19" max="19" width="5.42578125" customWidth="1"/>
    <col min="20" max="20" width="4" customWidth="1"/>
    <col min="21" max="21" width="17.140625" customWidth="1"/>
  </cols>
  <sheetData>
    <row r="1" spans="1:27">
      <c r="A1" s="1" t="s">
        <v>837</v>
      </c>
    </row>
    <row r="2" spans="1:27">
      <c r="A2" s="1"/>
    </row>
    <row r="3" spans="1:27">
      <c r="A3" s="735" t="s">
        <v>839</v>
      </c>
      <c r="B3" s="735"/>
      <c r="C3" s="735"/>
      <c r="D3" s="735"/>
      <c r="E3" s="735"/>
      <c r="G3" t="s">
        <v>837</v>
      </c>
      <c r="U3" t="s">
        <v>601</v>
      </c>
    </row>
    <row r="5" spans="1:27" ht="15.75" thickBot="1">
      <c r="A5" s="563" t="s">
        <v>65</v>
      </c>
      <c r="B5" s="548" t="s">
        <v>795</v>
      </c>
      <c r="C5" s="548" t="s">
        <v>796</v>
      </c>
      <c r="D5" s="548" t="s">
        <v>797</v>
      </c>
      <c r="E5" s="548" t="s">
        <v>842</v>
      </c>
      <c r="G5" t="s">
        <v>16</v>
      </c>
      <c r="H5">
        <v>0.15</v>
      </c>
      <c r="U5" s="364" t="s">
        <v>606</v>
      </c>
      <c r="V5" s="364"/>
      <c r="X5" s="364"/>
      <c r="Y5" s="364"/>
    </row>
    <row r="6" spans="1:27" ht="15.75" thickTop="1">
      <c r="A6" s="484">
        <v>49.25</v>
      </c>
      <c r="B6">
        <v>13</v>
      </c>
      <c r="C6">
        <v>7</v>
      </c>
      <c r="D6">
        <v>72</v>
      </c>
      <c r="E6">
        <v>11</v>
      </c>
      <c r="U6" t="s">
        <v>208</v>
      </c>
      <c r="V6" t="e">
        <f ca="1">SQRT(V7)</f>
        <v>#NAME?</v>
      </c>
      <c r="X6" t="s">
        <v>498</v>
      </c>
      <c r="Y6" t="e">
        <f ca="1">V10*LN(W15/V10)+2*(V14+1)</f>
        <v>#NAME?</v>
      </c>
    </row>
    <row r="7" spans="1:27">
      <c r="A7" s="484">
        <v>47.15</v>
      </c>
      <c r="B7">
        <v>1</v>
      </c>
      <c r="C7">
        <v>20</v>
      </c>
      <c r="D7">
        <v>57</v>
      </c>
      <c r="E7">
        <v>14</v>
      </c>
      <c r="G7" t="s">
        <v>852</v>
      </c>
      <c r="H7">
        <v>1</v>
      </c>
      <c r="I7">
        <f>H7+1</f>
        <v>2</v>
      </c>
      <c r="J7">
        <f>I7+1</f>
        <v>3</v>
      </c>
      <c r="K7">
        <f>J7+1</f>
        <v>4</v>
      </c>
      <c r="M7" t="str">
        <f>B5</f>
        <v>x1</v>
      </c>
      <c r="N7" t="str">
        <f>C5</f>
        <v>x2</v>
      </c>
      <c r="O7" t="str">
        <f>D5</f>
        <v>x3</v>
      </c>
      <c r="P7" t="str">
        <f>E5</f>
        <v>x4</v>
      </c>
      <c r="R7" t="s">
        <v>843</v>
      </c>
      <c r="S7" t="s">
        <v>844</v>
      </c>
      <c r="U7" t="s">
        <v>201</v>
      </c>
      <c r="V7" t="e">
        <f ca="1">W14/W16</f>
        <v>#NAME?</v>
      </c>
      <c r="X7" t="s">
        <v>499</v>
      </c>
      <c r="Y7" t="e">
        <f ca="1">Y6+2*(V14+2)*(V14+3)/(V10-V14-3)</f>
        <v>#NAME?</v>
      </c>
    </row>
    <row r="8" spans="1:27">
      <c r="A8" s="484">
        <v>62.15</v>
      </c>
      <c r="B8">
        <v>21</v>
      </c>
      <c r="C8">
        <v>10</v>
      </c>
      <c r="D8">
        <v>16</v>
      </c>
      <c r="E8">
        <v>41</v>
      </c>
      <c r="G8" t="s">
        <v>845</v>
      </c>
      <c r="H8" s="544"/>
      <c r="I8" s="545"/>
      <c r="J8" s="545"/>
      <c r="K8" s="546"/>
      <c r="M8" s="544" t="e">
        <f t="array" aca="1" ref="M8:P8" ca="1">RegRank(B6:E18,A6:A18,H8:K8)</f>
        <v>#NAME?</v>
      </c>
      <c r="N8" s="545" t="e">
        <f ca="1"/>
        <v>#NAME?</v>
      </c>
      <c r="O8" s="545" t="e">
        <f ca="1"/>
        <v>#NAME?</v>
      </c>
      <c r="P8" s="546" t="e">
        <f ca="1"/>
        <v>#NAME?</v>
      </c>
      <c r="R8" s="544" t="e">
        <f ca="1">MIN(M8:P8)</f>
        <v>#NAME?</v>
      </c>
      <c r="S8" s="546" t="e">
        <f ca="1">MATCH(R8,M8:P8,0)</f>
        <v>#NAME?</v>
      </c>
      <c r="U8" t="s">
        <v>209</v>
      </c>
      <c r="V8" t="e">
        <f ca="1">1-(1-V7)*(V10-1)/(V10-V14-1)</f>
        <v>#NAME?</v>
      </c>
      <c r="X8" s="380" t="s">
        <v>762</v>
      </c>
      <c r="Y8" s="380" t="e">
        <f ca="1">V10*LN(W15/V10)+(V14+1)*LN(V10)</f>
        <v>#NAME?</v>
      </c>
    </row>
    <row r="9" spans="1:27">
      <c r="A9" s="484">
        <v>53.8</v>
      </c>
      <c r="B9">
        <v>24</v>
      </c>
      <c r="C9">
        <v>10</v>
      </c>
      <c r="D9">
        <v>51</v>
      </c>
      <c r="E9">
        <v>16</v>
      </c>
      <c r="G9" t="s">
        <v>846</v>
      </c>
      <c r="H9" s="292" t="e">
        <f ca="1">IF($S8=H$7,H$7,IF(H8="","",H8))</f>
        <v>#NAME?</v>
      </c>
      <c r="I9" s="5" t="e">
        <f ca="1">IF($S8=I$7,I$7,IF(I8="","",I8))</f>
        <v>#NAME?</v>
      </c>
      <c r="J9" s="5" t="e">
        <f ca="1">IF($S8=J$7,J$7,IF(J8="","",J8))</f>
        <v>#NAME?</v>
      </c>
      <c r="K9" s="43" t="e">
        <f ca="1">IF($S8=K$7,K$7,IF(K8="","",K8))</f>
        <v>#NAME?</v>
      </c>
      <c r="M9" s="292" t="e">
        <f t="array" aca="1" ref="M9:P9" ca="1">RegCoeffP(B6:E18,A6:A18,H9:K9)</f>
        <v>#NAME?</v>
      </c>
      <c r="N9" s="5" t="e">
        <f ca="1"/>
        <v>#NAME?</v>
      </c>
      <c r="O9" s="5" t="e">
        <f ca="1"/>
        <v>#NAME?</v>
      </c>
      <c r="P9" s="43" t="e">
        <f ca="1"/>
        <v>#NAME?</v>
      </c>
      <c r="R9" s="292"/>
      <c r="S9" s="43"/>
      <c r="U9" t="s">
        <v>9</v>
      </c>
      <c r="V9" t="e">
        <f ca="1">SQRT(X15)</f>
        <v>#NAME?</v>
      </c>
    </row>
    <row r="10" spans="1:27">
      <c r="A10" s="484">
        <v>57.95</v>
      </c>
      <c r="B10">
        <v>13</v>
      </c>
      <c r="C10">
        <v>7</v>
      </c>
      <c r="D10">
        <v>32</v>
      </c>
      <c r="E10">
        <v>37</v>
      </c>
      <c r="G10" t="s">
        <v>847</v>
      </c>
      <c r="H10" s="292" t="e">
        <f ca="1">IF(M$9&gt;=$H5,"",IF(H9="","",H9))</f>
        <v>#NAME?</v>
      </c>
      <c r="I10" s="5" t="e">
        <f ca="1">IF(N$9&gt;=$H5,"",IF(I9="","",I9))</f>
        <v>#NAME?</v>
      </c>
      <c r="J10" s="5" t="e">
        <f ca="1">IF(O$9&gt;=$H5,"",IF(J9="","",J9))</f>
        <v>#NAME?</v>
      </c>
      <c r="K10" s="43" t="e">
        <f ca="1">IF(P$9&gt;=$H5,"",IF(K9="","",K9))</f>
        <v>#NAME?</v>
      </c>
      <c r="M10" s="292" t="e">
        <f t="array" aca="1" ref="M10:P10" ca="1">RegRank(B6:E18,A6:A18,H10:K10)</f>
        <v>#NAME?</v>
      </c>
      <c r="N10" s="5" t="e">
        <f ca="1"/>
        <v>#NAME?</v>
      </c>
      <c r="O10" s="5" t="e">
        <f ca="1"/>
        <v>#NAME?</v>
      </c>
      <c r="P10" s="43" t="e">
        <f ca="1"/>
        <v>#NAME?</v>
      </c>
      <c r="R10" s="292" t="e">
        <f ca="1">MIN(M10:P10)</f>
        <v>#NAME?</v>
      </c>
      <c r="S10" s="43" t="e">
        <f ca="1">MATCH(R10,M10:P10,0)</f>
        <v>#NAME?</v>
      </c>
      <c r="U10" s="380" t="s">
        <v>42</v>
      </c>
      <c r="V10" s="380">
        <f>COUNT(A6:A18)</f>
        <v>13</v>
      </c>
    </row>
    <row r="11" spans="1:27">
      <c r="A11" s="484">
        <v>64.599999999999994</v>
      </c>
      <c r="B11">
        <v>21</v>
      </c>
      <c r="C11">
        <v>11</v>
      </c>
      <c r="D11">
        <v>18</v>
      </c>
      <c r="E11">
        <v>40</v>
      </c>
      <c r="G11" t="s">
        <v>848</v>
      </c>
      <c r="H11" s="292" t="e">
        <f ca="1">IF($S10=H$7,H$7,IF(H10="","",H10))</f>
        <v>#NAME?</v>
      </c>
      <c r="I11" s="5" t="e">
        <f ca="1">IF($S10=I$7,I$7,IF(I10="","",I10))</f>
        <v>#NAME?</v>
      </c>
      <c r="J11" s="5" t="e">
        <f ca="1">IF($S10=J$7,J$7,IF(J10="","",J10))</f>
        <v>#NAME?</v>
      </c>
      <c r="K11" s="43" t="e">
        <f ca="1">IF($S10=K$7,K$7,IF(K10="","",K10))</f>
        <v>#NAME?</v>
      </c>
      <c r="M11" s="292" t="e">
        <f t="array" aca="1" ref="M11:P11" ca="1">RegCoeffP(B6:E18,A6:A18,H11:K11)</f>
        <v>#NAME?</v>
      </c>
      <c r="N11" s="5" t="e">
        <f ca="1"/>
        <v>#NAME?</v>
      </c>
      <c r="O11" s="5" t="e">
        <f ca="1"/>
        <v>#NAME?</v>
      </c>
      <c r="P11" s="43" t="e">
        <f ca="1"/>
        <v>#NAME?</v>
      </c>
      <c r="R11" s="292"/>
      <c r="S11" s="43"/>
    </row>
    <row r="12" spans="1:27" ht="15.75" thickBot="1">
      <c r="A12" s="484">
        <v>61.35</v>
      </c>
      <c r="B12">
        <v>5</v>
      </c>
      <c r="C12">
        <v>22</v>
      </c>
      <c r="D12">
        <v>1</v>
      </c>
      <c r="E12">
        <v>56</v>
      </c>
      <c r="G12" t="s">
        <v>849</v>
      </c>
      <c r="H12" s="292" t="e">
        <f ca="1">IF(M$11&gt;=$H5,"",IF(H11="","",H11))</f>
        <v>#NAME?</v>
      </c>
      <c r="I12" s="5" t="e">
        <f ca="1">IF(N$11&gt;=$H5,"",IF(I11="","",I11))</f>
        <v>#NAME?</v>
      </c>
      <c r="J12" s="5" t="e">
        <f ca="1">IF(O$11&gt;=$H5,"",IF(J11="","",J11))</f>
        <v>#NAME?</v>
      </c>
      <c r="K12" s="43" t="e">
        <f ca="1">IF(P$11&gt;=$H5,"",IF(K11="","",K11))</f>
        <v>#NAME?</v>
      </c>
      <c r="M12" s="292" t="e">
        <f t="array" aca="1" ref="M12:P12" ca="1">RegRank(B6:E18,A6:A18,H12:K12)</f>
        <v>#NAME?</v>
      </c>
      <c r="N12" s="5" t="e">
        <f ca="1"/>
        <v>#NAME?</v>
      </c>
      <c r="O12" s="5" t="e">
        <f ca="1"/>
        <v>#NAME?</v>
      </c>
      <c r="P12" s="43" t="e">
        <f ca="1"/>
        <v>#NAME?</v>
      </c>
      <c r="R12" s="292" t="e">
        <f ca="1">MIN(M12:P12)</f>
        <v>#NAME?</v>
      </c>
      <c r="S12" s="43" t="e">
        <f ca="1">MATCH(R12,M12:P12,0)</f>
        <v>#NAME?</v>
      </c>
      <c r="U12" t="s">
        <v>210</v>
      </c>
      <c r="Y12" s="560" t="s">
        <v>16</v>
      </c>
      <c r="Z12" s="560">
        <v>0.05</v>
      </c>
    </row>
    <row r="13" spans="1:27" ht="15.75" thickTop="1">
      <c r="A13" s="484">
        <v>46.25</v>
      </c>
      <c r="B13">
        <v>2</v>
      </c>
      <c r="C13">
        <v>29</v>
      </c>
      <c r="D13">
        <v>47</v>
      </c>
      <c r="E13">
        <v>16</v>
      </c>
      <c r="G13" t="s">
        <v>850</v>
      </c>
      <c r="H13" s="292" t="e">
        <f ca="1">IF($S12=H$7,H$7,IF(H12="","",H12))</f>
        <v>#NAME?</v>
      </c>
      <c r="I13" s="5" t="e">
        <f ca="1">IF($S12=I$7,I$7,IF(I12="","",I12))</f>
        <v>#NAME?</v>
      </c>
      <c r="J13" s="5" t="e">
        <f ca="1">IF($S12=J$7,J$7,IF(J12="","",J12))</f>
        <v>#NAME?</v>
      </c>
      <c r="K13" s="43" t="e">
        <f ca="1">IF($S12=K$7,K$7,IF(K12="","",K12))</f>
        <v>#NAME?</v>
      </c>
      <c r="M13" s="292" t="e">
        <f t="array" aca="1" ref="M13:P13" ca="1">RegCoeffP(B6:E18,A6:A18,H13:K13)</f>
        <v>#NAME?</v>
      </c>
      <c r="N13" s="5" t="e">
        <f ca="1"/>
        <v>#NAME?</v>
      </c>
      <c r="O13" s="5" t="e">
        <f ca="1"/>
        <v>#NAME?</v>
      </c>
      <c r="P13" s="43" t="e">
        <f ca="1"/>
        <v>#NAME?</v>
      </c>
      <c r="R13" s="292"/>
      <c r="S13" s="43"/>
      <c r="U13" s="398"/>
      <c r="V13" s="398" t="s">
        <v>26</v>
      </c>
      <c r="W13" s="398" t="s">
        <v>137</v>
      </c>
      <c r="X13" s="398" t="s">
        <v>156</v>
      </c>
      <c r="Y13" s="398" t="s">
        <v>63</v>
      </c>
      <c r="Z13" s="398" t="s">
        <v>30</v>
      </c>
      <c r="AA13" s="398" t="s">
        <v>374</v>
      </c>
    </row>
    <row r="14" spans="1:27">
      <c r="A14" s="484">
        <v>56.55</v>
      </c>
      <c r="B14">
        <v>3</v>
      </c>
      <c r="C14">
        <v>24</v>
      </c>
      <c r="D14">
        <v>18</v>
      </c>
      <c r="E14">
        <v>39</v>
      </c>
      <c r="G14" t="s">
        <v>851</v>
      </c>
      <c r="H14" s="377" t="e">
        <f ca="1">IF(M$13&gt;=$H5,"",IF(H13="","",H13))</f>
        <v>#NAME?</v>
      </c>
      <c r="I14" s="378" t="e">
        <f ca="1">IF(N$13&gt;=$H5,"",IF(I13="","",I13))</f>
        <v>#NAME?</v>
      </c>
      <c r="J14" s="378" t="e">
        <f ca="1">IF(O$13&gt;=$H5,"",IF(J13="","",J13))</f>
        <v>#NAME?</v>
      </c>
      <c r="K14" s="379" t="e">
        <f ca="1">IF(P$13&gt;=$H5,"",IF(K13="","",K13))</f>
        <v>#NAME?</v>
      </c>
      <c r="M14" s="377" t="e">
        <f t="array" aca="1" ref="M14:P14" ca="1">RegRank(B6:E18,A6:A18,H14:K14)</f>
        <v>#NAME?</v>
      </c>
      <c r="N14" s="378" t="e">
        <f ca="1"/>
        <v>#NAME?</v>
      </c>
      <c r="O14" s="378" t="e">
        <f ca="1"/>
        <v>#NAME?</v>
      </c>
      <c r="P14" s="379" t="e">
        <f ca="1"/>
        <v>#NAME?</v>
      </c>
      <c r="R14" s="377" t="e">
        <f ca="1">MIN(M14:P14)</f>
        <v>#NAME?</v>
      </c>
      <c r="S14" s="379" t="e">
        <f ca="1">MATCH(R14,M14:P14,0)</f>
        <v>#NAME?</v>
      </c>
      <c r="U14" t="s">
        <v>138</v>
      </c>
      <c r="V14">
        <f ca="1">COUNT(H14:K14)</f>
        <v>0</v>
      </c>
      <c r="W14" t="e">
        <f ca="1">DEVSQ(MMULT(DESIGN(SelectCols(B6:E18,H14:K14)),V19:V21))</f>
        <v>#NAME?</v>
      </c>
      <c r="X14" t="e">
        <f ca="1">W14/V14</f>
        <v>#NAME?</v>
      </c>
      <c r="Y14" t="e">
        <f ca="1">X14/X15</f>
        <v>#NAME?</v>
      </c>
      <c r="Z14" t="e">
        <f ca="1">FDIST(Y14,V14,V15)</f>
        <v>#NAME?</v>
      </c>
      <c r="AA14" s="560" t="e">
        <f ca="1">IF(Z14&lt;Z12,"yes","no")</f>
        <v>#NAME?</v>
      </c>
    </row>
    <row r="15" spans="1:27">
      <c r="A15" s="484">
        <v>67.95</v>
      </c>
      <c r="B15">
        <v>41</v>
      </c>
      <c r="C15">
        <v>4</v>
      </c>
      <c r="D15">
        <v>23</v>
      </c>
      <c r="E15">
        <v>32</v>
      </c>
      <c r="U15" t="s">
        <v>211</v>
      </c>
      <c r="V15">
        <f ca="1">V16-V14</f>
        <v>12</v>
      </c>
      <c r="W15" t="e">
        <f ca="1">W16-W14</f>
        <v>#NAME?</v>
      </c>
      <c r="X15" t="e">
        <f ca="1">W15/V15</f>
        <v>#NAME?</v>
      </c>
    </row>
    <row r="16" spans="1:27">
      <c r="A16" s="484">
        <v>51.9</v>
      </c>
      <c r="B16">
        <v>1</v>
      </c>
      <c r="C16">
        <v>31</v>
      </c>
      <c r="D16">
        <v>34</v>
      </c>
      <c r="E16">
        <v>25</v>
      </c>
      <c r="U16" s="380" t="s">
        <v>1</v>
      </c>
      <c r="V16" s="380">
        <f>V10-1</f>
        <v>12</v>
      </c>
      <c r="W16" s="380">
        <f>DEVSQ(A6:A18)</f>
        <v>678.94076923076943</v>
      </c>
      <c r="X16" s="380"/>
      <c r="Y16" s="380"/>
      <c r="Z16" s="380"/>
      <c r="AA16" s="380"/>
    </row>
    <row r="17" spans="1:28" ht="15.75" thickBot="1">
      <c r="A17" s="484">
        <v>66.650000000000006</v>
      </c>
      <c r="B17">
        <v>21</v>
      </c>
      <c r="C17">
        <v>11</v>
      </c>
      <c r="D17">
        <v>5</v>
      </c>
      <c r="E17">
        <v>51</v>
      </c>
    </row>
    <row r="18" spans="1:28" ht="15.75" thickTop="1">
      <c r="A18" s="566">
        <v>64.7</v>
      </c>
      <c r="B18" s="380">
        <v>18</v>
      </c>
      <c r="C18" s="380">
        <v>10</v>
      </c>
      <c r="D18" s="380">
        <v>5</v>
      </c>
      <c r="E18" s="380">
        <v>53</v>
      </c>
      <c r="U18" s="398"/>
      <c r="V18" s="398" t="s">
        <v>600</v>
      </c>
      <c r="W18" s="398" t="s">
        <v>503</v>
      </c>
      <c r="X18" s="398" t="s">
        <v>27</v>
      </c>
      <c r="Y18" s="398" t="s">
        <v>30</v>
      </c>
      <c r="Z18" s="398" t="s">
        <v>13</v>
      </c>
      <c r="AA18" s="398" t="s">
        <v>14</v>
      </c>
      <c r="AB18" s="398" t="s">
        <v>750</v>
      </c>
    </row>
    <row r="19" spans="1:28">
      <c r="U19" t="s">
        <v>212</v>
      </c>
      <c r="V19" t="e">
        <f t="array" aca="1" ref="V19:W21" ca="1">RegCoeff(SelectCols(B6:E18,H14:K14),A6:A18)</f>
        <v>#NAME?</v>
      </c>
      <c r="W19" t="e">
        <f ca="1"/>
        <v>#NAME?</v>
      </c>
      <c r="X19" t="e">
        <f ca="1">V19/W19</f>
        <v>#NAME?</v>
      </c>
      <c r="Y19" t="e">
        <f ca="1">TDIST(ABS(X19),$V$15,2)</f>
        <v>#NAME?</v>
      </c>
      <c r="Z19" t="e">
        <f ca="1">V19-TINV(Z$12,$V$15)*W19</f>
        <v>#NAME?</v>
      </c>
      <c r="AA19" t="e">
        <f ca="1">V19+TINV(Z$12,$V$15)*W19</f>
        <v>#NAME?</v>
      </c>
    </row>
    <row r="20" spans="1:28">
      <c r="U20" t="e">
        <f t="array" aca="1" ref="U20:U21" ca="1">TRANSPOSE(SelectCols(B5:E5,H14:K14))</f>
        <v>#NAME?</v>
      </c>
      <c r="V20" t="e">
        <f ca="1"/>
        <v>#NAME?</v>
      </c>
      <c r="W20" t="e">
        <f ca="1"/>
        <v>#NAME?</v>
      </c>
      <c r="X20" t="e">
        <f ca="1">V20/W20</f>
        <v>#NAME?</v>
      </c>
      <c r="Y20" t="e">
        <f ca="1">TDIST(ABS(X20),$V$15,2)</f>
        <v>#NAME?</v>
      </c>
      <c r="Z20" t="e">
        <f ca="1">V20-TINV(Z$12,$V$15)*W20</f>
        <v>#NAME?</v>
      </c>
      <c r="AA20" t="e">
        <f ca="1">V20+TINV(Z$12,$V$15)*W20</f>
        <v>#NAME?</v>
      </c>
      <c r="AB20" t="e">
        <f t="array" aca="1" ref="AB20" ca="1">VIF(SelectCols(B6:E18,H14:K14),1)</f>
        <v>#NAME?</v>
      </c>
    </row>
    <row r="21" spans="1:28">
      <c r="U21" s="380" t="e">
        <f ca="1"/>
        <v>#NAME?</v>
      </c>
      <c r="V21" s="380" t="e">
        <f ca="1"/>
        <v>#NAME?</v>
      </c>
      <c r="W21" s="380" t="e">
        <f ca="1"/>
        <v>#NAME?</v>
      </c>
      <c r="X21" s="380" t="e">
        <f ca="1">V21/W21</f>
        <v>#NAME?</v>
      </c>
      <c r="Y21" s="380" t="e">
        <f ca="1">TDIST(ABS(X21),$V$15,2)</f>
        <v>#NAME?</v>
      </c>
      <c r="Z21" s="380" t="e">
        <f ca="1">V21-TINV(Z$12,$V$15)*W21</f>
        <v>#NAME?</v>
      </c>
      <c r="AA21" s="380" t="e">
        <f ca="1">V21+TINV(Z$12,$V$15)*W21</f>
        <v>#NAME?</v>
      </c>
      <c r="AB21" s="380" t="e">
        <f t="array" aca="1" ref="AB21" ca="1">VIF(SelectCols(B6:E18,H14:K14),2)</f>
        <v>#NAME?</v>
      </c>
    </row>
  </sheetData>
  <mergeCells count="1">
    <mergeCell ref="A3:E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2"/>
  <dimension ref="A1:Q26"/>
  <sheetViews>
    <sheetView workbookViewId="0"/>
  </sheetViews>
  <sheetFormatPr defaultRowHeight="15"/>
  <cols>
    <col min="10" max="10" width="17.7109375" customWidth="1"/>
    <col min="11" max="11" width="8.28515625" customWidth="1"/>
  </cols>
  <sheetData>
    <row r="1" spans="1:16">
      <c r="A1" s="1" t="s">
        <v>808</v>
      </c>
    </row>
    <row r="3" spans="1:16">
      <c r="A3" s="533" t="s">
        <v>657</v>
      </c>
      <c r="B3" s="533" t="s">
        <v>809</v>
      </c>
      <c r="C3" s="533" t="s">
        <v>811</v>
      </c>
      <c r="D3" s="533" t="s">
        <v>29</v>
      </c>
      <c r="E3" s="533" t="s">
        <v>22</v>
      </c>
      <c r="F3" s="533" t="s">
        <v>500</v>
      </c>
      <c r="G3" s="533" t="s">
        <v>501</v>
      </c>
      <c r="H3" s="533" t="s">
        <v>638</v>
      </c>
      <c r="J3" t="s">
        <v>601</v>
      </c>
    </row>
    <row r="4" spans="1:16">
      <c r="A4" s="534">
        <v>2012</v>
      </c>
      <c r="B4" s="534">
        <v>1</v>
      </c>
      <c r="C4" s="162">
        <v>10.5</v>
      </c>
      <c r="D4" s="534">
        <v>1</v>
      </c>
      <c r="E4">
        <v>1</v>
      </c>
      <c r="F4">
        <v>0</v>
      </c>
      <c r="G4">
        <v>0</v>
      </c>
      <c r="H4">
        <f t="array" ref="H4:H23">TREND(C4:C19,D4:G19,D4:G23)</f>
        <v>10.812499999999998</v>
      </c>
    </row>
    <row r="5" spans="1:16" ht="15.75" thickBot="1">
      <c r="A5" s="534"/>
      <c r="B5" s="534">
        <v>2</v>
      </c>
      <c r="C5" s="162">
        <v>9.1999999999999993</v>
      </c>
      <c r="D5" s="534">
        <v>2</v>
      </c>
      <c r="E5">
        <v>0</v>
      </c>
      <c r="F5">
        <v>1</v>
      </c>
      <c r="G5">
        <v>0</v>
      </c>
      <c r="H5">
        <v>9.6124999999999972</v>
      </c>
      <c r="J5" s="364" t="s">
        <v>606</v>
      </c>
      <c r="K5" s="364"/>
      <c r="M5" s="364"/>
      <c r="N5" s="364"/>
    </row>
    <row r="6" spans="1:16" ht="15.75" thickTop="1">
      <c r="A6" s="534"/>
      <c r="B6" s="534">
        <v>3</v>
      </c>
      <c r="C6" s="162">
        <v>13.1</v>
      </c>
      <c r="D6" s="534">
        <v>3</v>
      </c>
      <c r="E6">
        <v>0</v>
      </c>
      <c r="F6">
        <v>0</v>
      </c>
      <c r="G6">
        <v>1</v>
      </c>
      <c r="H6">
        <v>13.412499999999998</v>
      </c>
      <c r="J6" t="s">
        <v>208</v>
      </c>
      <c r="K6" t="e">
        <f ca="1">SQRT(K7)</f>
        <v>#NAME?</v>
      </c>
      <c r="M6" t="s">
        <v>498</v>
      </c>
      <c r="N6" t="e">
        <f ca="1">K10*LN(L15/K10)+2*(K14+1)</f>
        <v>#NAME?</v>
      </c>
    </row>
    <row r="7" spans="1:16">
      <c r="A7" s="534"/>
      <c r="B7" s="534">
        <v>4</v>
      </c>
      <c r="C7" s="162">
        <v>16</v>
      </c>
      <c r="D7" s="534">
        <v>4</v>
      </c>
      <c r="E7">
        <f>INDEX($L$4:$L$7,B7)</f>
        <v>0</v>
      </c>
      <c r="F7">
        <v>0</v>
      </c>
      <c r="G7">
        <v>0</v>
      </c>
      <c r="H7">
        <v>16.462499999999999</v>
      </c>
      <c r="J7" t="s">
        <v>201</v>
      </c>
      <c r="K7" t="e">
        <f ca="1">L14/L16</f>
        <v>#NAME?</v>
      </c>
      <c r="M7" t="s">
        <v>499</v>
      </c>
      <c r="N7" t="e">
        <f ca="1">N6+2*(K14+2)*(K14+3)/(K10-K14-3)</f>
        <v>#NAME?</v>
      </c>
    </row>
    <row r="8" spans="1:16">
      <c r="A8" s="534">
        <v>2013</v>
      </c>
      <c r="B8" s="534">
        <v>1</v>
      </c>
      <c r="C8" s="162">
        <v>13.6</v>
      </c>
      <c r="D8" s="534">
        <v>5</v>
      </c>
      <c r="E8">
        <v>1</v>
      </c>
      <c r="F8">
        <v>0</v>
      </c>
      <c r="G8">
        <v>0</v>
      </c>
      <c r="H8">
        <v>13.0375</v>
      </c>
      <c r="J8" t="s">
        <v>209</v>
      </c>
      <c r="K8" t="e">
        <f ca="1">1-(1-K7)*(K10-1)/(K10-K14-1)</f>
        <v>#NAME?</v>
      </c>
      <c r="M8" s="380" t="s">
        <v>762</v>
      </c>
      <c r="N8" s="380" t="e">
        <f ca="1">K10*LN(L15/K10)+(K14+1)*LN(K10)</f>
        <v>#NAME?</v>
      </c>
    </row>
    <row r="9" spans="1:16">
      <c r="A9" s="534"/>
      <c r="B9" s="534">
        <v>2</v>
      </c>
      <c r="C9" s="162">
        <v>12.2</v>
      </c>
      <c r="D9" s="534">
        <v>6</v>
      </c>
      <c r="E9">
        <v>0</v>
      </c>
      <c r="F9">
        <v>1</v>
      </c>
      <c r="G9">
        <v>0</v>
      </c>
      <c r="H9">
        <v>11.837499999999997</v>
      </c>
      <c r="J9" t="s">
        <v>9</v>
      </c>
      <c r="K9" t="e">
        <f ca="1">SQRT(M15)</f>
        <v>#NAME?</v>
      </c>
    </row>
    <row r="10" spans="1:16">
      <c r="A10" s="534"/>
      <c r="B10" s="534">
        <v>3</v>
      </c>
      <c r="C10" s="162">
        <v>15.6</v>
      </c>
      <c r="D10" s="534">
        <v>7</v>
      </c>
      <c r="E10">
        <v>0</v>
      </c>
      <c r="F10">
        <v>0</v>
      </c>
      <c r="G10">
        <v>1</v>
      </c>
      <c r="H10">
        <v>15.637499999999999</v>
      </c>
      <c r="J10" s="380" t="s">
        <v>42</v>
      </c>
      <c r="K10" s="380">
        <f>COUNT(C4:C19)</f>
        <v>16</v>
      </c>
    </row>
    <row r="11" spans="1:16">
      <c r="A11" s="534"/>
      <c r="B11" s="534">
        <v>4</v>
      </c>
      <c r="C11" s="162">
        <v>19.399999999999999</v>
      </c>
      <c r="D11" s="534">
        <v>8</v>
      </c>
      <c r="E11">
        <f>INDEX($L$4:$L$7,B11)</f>
        <v>0</v>
      </c>
      <c r="F11">
        <v>0</v>
      </c>
      <c r="G11">
        <v>0</v>
      </c>
      <c r="H11">
        <v>18.6875</v>
      </c>
    </row>
    <row r="12" spans="1:16" ht="15.75" thickBot="1">
      <c r="A12" s="534">
        <v>2014</v>
      </c>
      <c r="B12" s="534">
        <v>1</v>
      </c>
      <c r="C12" s="162">
        <v>15.9</v>
      </c>
      <c r="D12" s="534">
        <v>9</v>
      </c>
      <c r="E12">
        <v>1</v>
      </c>
      <c r="F12">
        <v>0</v>
      </c>
      <c r="G12">
        <v>0</v>
      </c>
      <c r="H12">
        <v>15.262500000000001</v>
      </c>
      <c r="J12" t="s">
        <v>210</v>
      </c>
      <c r="N12" s="534" t="s">
        <v>16</v>
      </c>
      <c r="O12" s="534">
        <v>0.05</v>
      </c>
    </row>
    <row r="13" spans="1:16" ht="15.75" thickTop="1">
      <c r="A13" s="534"/>
      <c r="B13" s="534">
        <v>2</v>
      </c>
      <c r="C13" s="162">
        <v>14.7</v>
      </c>
      <c r="D13" s="534">
        <v>10</v>
      </c>
      <c r="E13">
        <v>0</v>
      </c>
      <c r="F13">
        <v>1</v>
      </c>
      <c r="G13">
        <v>0</v>
      </c>
      <c r="H13">
        <v>14.062499999999998</v>
      </c>
      <c r="J13" s="398"/>
      <c r="K13" s="398" t="s">
        <v>26</v>
      </c>
      <c r="L13" s="398" t="s">
        <v>137</v>
      </c>
      <c r="M13" s="398" t="s">
        <v>156</v>
      </c>
      <c r="N13" s="398" t="s">
        <v>63</v>
      </c>
      <c r="O13" s="398" t="s">
        <v>30</v>
      </c>
      <c r="P13" s="398" t="s">
        <v>374</v>
      </c>
    </row>
    <row r="14" spans="1:16">
      <c r="A14" s="534"/>
      <c r="B14" s="534">
        <v>3</v>
      </c>
      <c r="C14" s="162">
        <v>18.3</v>
      </c>
      <c r="D14" s="534">
        <v>11</v>
      </c>
      <c r="E14">
        <v>0</v>
      </c>
      <c r="F14">
        <v>0</v>
      </c>
      <c r="G14">
        <v>1</v>
      </c>
      <c r="H14">
        <v>17.862500000000001</v>
      </c>
      <c r="J14" t="s">
        <v>138</v>
      </c>
      <c r="K14">
        <f>COUNT(D4:G4)</f>
        <v>4</v>
      </c>
      <c r="L14" t="e">
        <f ca="1">DEVSQ(MMULT(DESIGN(D4:G19),K19:K23))</f>
        <v>#NAME?</v>
      </c>
      <c r="M14" t="e">
        <f ca="1">L14/K14</f>
        <v>#NAME?</v>
      </c>
      <c r="N14" t="e">
        <f ca="1">M14/M15</f>
        <v>#NAME?</v>
      </c>
      <c r="O14" t="e">
        <f ca="1">FDIST(N14,K14,K15)</f>
        <v>#NAME?</v>
      </c>
      <c r="P14" s="534" t="e">
        <f ca="1">IF(O14&lt;O12,"yes","no")</f>
        <v>#NAME?</v>
      </c>
    </row>
    <row r="15" spans="1:16">
      <c r="A15" s="534"/>
      <c r="B15" s="534">
        <v>4</v>
      </c>
      <c r="C15" s="162">
        <v>20.5</v>
      </c>
      <c r="D15" s="534">
        <v>12</v>
      </c>
      <c r="E15">
        <f>INDEX($L$4:$L$7,B15)</f>
        <v>0</v>
      </c>
      <c r="F15">
        <v>0</v>
      </c>
      <c r="G15">
        <v>0</v>
      </c>
      <c r="H15">
        <v>20.912500000000001</v>
      </c>
      <c r="J15" t="s">
        <v>211</v>
      </c>
      <c r="K15">
        <f>K16-K14</f>
        <v>11</v>
      </c>
      <c r="L15" t="e">
        <f ca="1">L16-L14</f>
        <v>#NAME?</v>
      </c>
      <c r="M15" t="e">
        <f ca="1">L15/K15</f>
        <v>#NAME?</v>
      </c>
    </row>
    <row r="16" spans="1:16">
      <c r="A16" s="534">
        <v>2015</v>
      </c>
      <c r="B16" s="534">
        <v>1</v>
      </c>
      <c r="C16" s="162">
        <v>16.600000000000001</v>
      </c>
      <c r="D16" s="534">
        <v>13</v>
      </c>
      <c r="E16">
        <v>1</v>
      </c>
      <c r="F16">
        <v>0</v>
      </c>
      <c r="G16">
        <v>0</v>
      </c>
      <c r="H16">
        <v>17.487500000000001</v>
      </c>
      <c r="J16" s="380" t="s">
        <v>1</v>
      </c>
      <c r="K16" s="380">
        <f>K10-1</f>
        <v>15</v>
      </c>
      <c r="L16" s="380">
        <f>DEVSQ(C4:C19)</f>
        <v>213.67750000000004</v>
      </c>
      <c r="M16" s="380"/>
      <c r="N16" s="380"/>
      <c r="O16" s="380"/>
      <c r="P16" s="380"/>
    </row>
    <row r="17" spans="1:17" ht="15.75" thickBot="1">
      <c r="A17" s="534"/>
      <c r="B17" s="534">
        <v>2</v>
      </c>
      <c r="C17" s="162">
        <v>15.7</v>
      </c>
      <c r="D17" s="534">
        <v>14</v>
      </c>
      <c r="E17">
        <v>0</v>
      </c>
      <c r="F17">
        <v>1</v>
      </c>
      <c r="G17">
        <v>0</v>
      </c>
      <c r="H17">
        <v>16.287499999999998</v>
      </c>
    </row>
    <row r="18" spans="1:17" ht="15.75" thickTop="1">
      <c r="A18" s="534"/>
      <c r="B18" s="534">
        <v>3</v>
      </c>
      <c r="C18" s="162">
        <v>20</v>
      </c>
      <c r="D18" s="534">
        <v>15</v>
      </c>
      <c r="E18">
        <v>0</v>
      </c>
      <c r="F18">
        <v>0</v>
      </c>
      <c r="G18">
        <v>1</v>
      </c>
      <c r="H18">
        <v>20.087500000000002</v>
      </c>
      <c r="J18" s="398"/>
      <c r="K18" s="398" t="s">
        <v>600</v>
      </c>
      <c r="L18" s="398" t="s">
        <v>503</v>
      </c>
      <c r="M18" s="398" t="s">
        <v>27</v>
      </c>
      <c r="N18" s="398" t="s">
        <v>30</v>
      </c>
      <c r="O18" s="398" t="s">
        <v>13</v>
      </c>
      <c r="P18" s="398" t="s">
        <v>14</v>
      </c>
      <c r="Q18" s="398" t="s">
        <v>750</v>
      </c>
    </row>
    <row r="19" spans="1:17">
      <c r="A19" s="535"/>
      <c r="B19" s="535">
        <v>4</v>
      </c>
      <c r="C19" s="541">
        <v>23.3</v>
      </c>
      <c r="D19" s="535">
        <v>16</v>
      </c>
      <c r="E19" s="380">
        <f>INDEX($L$4:$L$7,B19)</f>
        <v>0</v>
      </c>
      <c r="F19" s="380">
        <v>0</v>
      </c>
      <c r="G19" s="380">
        <v>0</v>
      </c>
      <c r="H19" s="380">
        <v>23.137500000000003</v>
      </c>
      <c r="J19" t="s">
        <v>212</v>
      </c>
      <c r="K19" t="e">
        <f t="array" aca="1" ref="K19:L23" ca="1">RegCoeff(D4:G19,C4:C19)</f>
        <v>#NAME?</v>
      </c>
      <c r="L19" t="e">
        <f ca="1"/>
        <v>#NAME?</v>
      </c>
      <c r="M19" t="e">
        <f ca="1">K19/L19</f>
        <v>#NAME?</v>
      </c>
      <c r="N19" t="e">
        <f ca="1">TDIST(ABS(M19),$K$15,2)</f>
        <v>#NAME?</v>
      </c>
      <c r="O19" t="e">
        <f ca="1">K19-TINV(O$12,$K$15)*L19</f>
        <v>#NAME?</v>
      </c>
      <c r="P19" t="e">
        <f ca="1">K19+TINV(O$12,$K$15)*L19</f>
        <v>#NAME?</v>
      </c>
    </row>
    <row r="20" spans="1:17">
      <c r="A20" s="537">
        <v>2016</v>
      </c>
      <c r="B20" s="537">
        <v>1</v>
      </c>
      <c r="C20" s="109"/>
      <c r="D20" s="537">
        <v>17</v>
      </c>
      <c r="E20" s="109">
        <v>1</v>
      </c>
      <c r="F20" s="109">
        <v>0</v>
      </c>
      <c r="G20" s="109">
        <v>0</v>
      </c>
      <c r="H20" s="109">
        <v>19.712500000000002</v>
      </c>
      <c r="J20" t="str">
        <f t="array" ref="J20:J23">TRANSPOSE(D3:G3)</f>
        <v>t</v>
      </c>
      <c r="K20" t="e">
        <f ca="1"/>
        <v>#NAME?</v>
      </c>
      <c r="L20" t="e">
        <f ca="1"/>
        <v>#NAME?</v>
      </c>
      <c r="M20" t="e">
        <f ca="1">K20/L20</f>
        <v>#NAME?</v>
      </c>
      <c r="N20" t="e">
        <f ca="1">TDIST(ABS(M20),$K$15,2)</f>
        <v>#NAME?</v>
      </c>
      <c r="O20" t="e">
        <f ca="1">K20-TINV(O$12,$K$15)*L20</f>
        <v>#NAME?</v>
      </c>
      <c r="P20" t="e">
        <f ca="1">K20+TINV(O$12,$K$15)*L20</f>
        <v>#NAME?</v>
      </c>
      <c r="Q20" t="e">
        <f ca="1">VIF(D4:G19,1)</f>
        <v>#NAME?</v>
      </c>
    </row>
    <row r="21" spans="1:17">
      <c r="A21" s="537"/>
      <c r="B21" s="537">
        <v>2</v>
      </c>
      <c r="C21" s="109"/>
      <c r="D21" s="537">
        <v>18</v>
      </c>
      <c r="E21" s="109">
        <v>0</v>
      </c>
      <c r="F21" s="109">
        <v>1</v>
      </c>
      <c r="G21" s="109">
        <v>0</v>
      </c>
      <c r="H21" s="109">
        <v>18.512499999999999</v>
      </c>
      <c r="J21" t="str">
        <v>Q1</v>
      </c>
      <c r="K21" t="e">
        <f ca="1"/>
        <v>#NAME?</v>
      </c>
      <c r="L21" t="e">
        <f ca="1"/>
        <v>#NAME?</v>
      </c>
      <c r="M21" t="e">
        <f ca="1">K21/L21</f>
        <v>#NAME?</v>
      </c>
      <c r="N21" t="e">
        <f ca="1">TDIST(ABS(M21),$K$15,2)</f>
        <v>#NAME?</v>
      </c>
      <c r="O21" t="e">
        <f ca="1">K21-TINV(O$12,$K$15)*L21</f>
        <v>#NAME?</v>
      </c>
      <c r="P21" t="e">
        <f ca="1">K21+TINV(O$12,$K$15)*L21</f>
        <v>#NAME?</v>
      </c>
      <c r="Q21" t="e">
        <f ca="1">VIF(D4:G19,2)</f>
        <v>#NAME?</v>
      </c>
    </row>
    <row r="22" spans="1:17">
      <c r="A22" s="537"/>
      <c r="B22" s="537">
        <v>3</v>
      </c>
      <c r="C22" s="109"/>
      <c r="D22" s="537">
        <v>19</v>
      </c>
      <c r="E22" s="109">
        <v>0</v>
      </c>
      <c r="F22" s="109">
        <v>0</v>
      </c>
      <c r="G22" s="109">
        <v>1</v>
      </c>
      <c r="H22" s="109">
        <v>22.312500000000004</v>
      </c>
      <c r="J22" t="str">
        <v>Q2</v>
      </c>
      <c r="K22" t="e">
        <f ca="1"/>
        <v>#NAME?</v>
      </c>
      <c r="L22" t="e">
        <f ca="1"/>
        <v>#NAME?</v>
      </c>
      <c r="M22" t="e">
        <f ca="1">K22/L22</f>
        <v>#NAME?</v>
      </c>
      <c r="N22" t="e">
        <f ca="1">TDIST(ABS(M22),$K$15,2)</f>
        <v>#NAME?</v>
      </c>
      <c r="O22" t="e">
        <f ca="1">K22-TINV(O$12,$K$15)*L22</f>
        <v>#NAME?</v>
      </c>
      <c r="P22" t="e">
        <f ca="1">K22+TINV(O$12,$K$15)*L22</f>
        <v>#NAME?</v>
      </c>
      <c r="Q22" t="e">
        <f ca="1">VIF(D4:G19,3)</f>
        <v>#NAME?</v>
      </c>
    </row>
    <row r="23" spans="1:17">
      <c r="A23" s="538"/>
      <c r="B23" s="538">
        <v>4</v>
      </c>
      <c r="C23" s="536"/>
      <c r="D23" s="538">
        <v>20</v>
      </c>
      <c r="E23" s="536">
        <f>INDEX($L$4:$L$7,B23)</f>
        <v>0</v>
      </c>
      <c r="F23" s="536">
        <v>0</v>
      </c>
      <c r="G23" s="536">
        <v>0</v>
      </c>
      <c r="H23" s="536">
        <v>25.362500000000004</v>
      </c>
      <c r="J23" s="380" t="str">
        <v>Q3</v>
      </c>
      <c r="K23" s="380" t="e">
        <f ca="1"/>
        <v>#NAME?</v>
      </c>
      <c r="L23" s="380" t="e">
        <f ca="1"/>
        <v>#NAME?</v>
      </c>
      <c r="M23" s="380" t="e">
        <f ca="1">K23/L23</f>
        <v>#NAME?</v>
      </c>
      <c r="N23" s="380" t="e">
        <f ca="1">TDIST(ABS(M23),$K$15,2)</f>
        <v>#NAME?</v>
      </c>
      <c r="O23" s="380" t="e">
        <f ca="1">K23-TINV(O$12,$K$15)*L23</f>
        <v>#NAME?</v>
      </c>
      <c r="P23" s="380" t="e">
        <f ca="1">K23+TINV(O$12,$K$15)*L23</f>
        <v>#NAME?</v>
      </c>
      <c r="Q23" s="380" t="e">
        <f ca="1">VIF(D4:G19,4)</f>
        <v>#NAME?</v>
      </c>
    </row>
    <row r="25" spans="1:17">
      <c r="E25" s="189" t="s">
        <v>810</v>
      </c>
      <c r="F25" s="189" t="s">
        <v>483</v>
      </c>
    </row>
    <row r="26" spans="1:17">
      <c r="E26" s="539">
        <f>SUMPRODUCT(ABS(C4:C19-H4:H19))/COUNT(C4:C19)</f>
        <v>0.43906249999999958</v>
      </c>
      <c r="F26" s="540">
        <f>SUMXMY2(C4:C19,H4:H19)/COUNT(C4:C19)</f>
        <v>0.24234374999999955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20"/>
  <dimension ref="A1:S22"/>
  <sheetViews>
    <sheetView workbookViewId="0"/>
  </sheetViews>
  <sheetFormatPr defaultRowHeight="15"/>
  <cols>
    <col min="1" max="4" width="6.42578125" customWidth="1"/>
    <col min="5" max="6" width="4.7109375" customWidth="1"/>
    <col min="8" max="8" width="2.28515625" customWidth="1"/>
    <col min="9" max="9" width="25" customWidth="1"/>
    <col min="10" max="12" width="4.7109375" customWidth="1"/>
  </cols>
  <sheetData>
    <row r="1" spans="1:19">
      <c r="A1" s="1" t="s">
        <v>794</v>
      </c>
    </row>
    <row r="3" spans="1:19">
      <c r="A3" s="531" t="s">
        <v>795</v>
      </c>
      <c r="B3" s="531" t="s">
        <v>796</v>
      </c>
      <c r="C3" s="531" t="s">
        <v>797</v>
      </c>
      <c r="D3" s="531" t="s">
        <v>65</v>
      </c>
      <c r="E3" s="531"/>
      <c r="F3" s="531"/>
      <c r="G3" s="531" t="s">
        <v>798</v>
      </c>
      <c r="K3" s="531" t="s">
        <v>799</v>
      </c>
      <c r="L3" s="531" t="s">
        <v>800</v>
      </c>
      <c r="M3" s="531" t="s">
        <v>801</v>
      </c>
      <c r="N3" s="531" t="s">
        <v>802</v>
      </c>
      <c r="O3" s="531" t="s">
        <v>519</v>
      </c>
      <c r="P3" s="531" t="s">
        <v>803</v>
      </c>
      <c r="Q3" s="531" t="s">
        <v>804</v>
      </c>
    </row>
    <row r="4" spans="1:19">
      <c r="A4" s="505">
        <v>7</v>
      </c>
      <c r="B4" s="399">
        <v>3</v>
      </c>
      <c r="C4" s="515">
        <v>6</v>
      </c>
      <c r="D4" s="515">
        <v>23</v>
      </c>
      <c r="E4" s="5"/>
      <c r="F4">
        <v>0</v>
      </c>
      <c r="G4" s="492">
        <v>0</v>
      </c>
      <c r="K4" s="505">
        <v>0</v>
      </c>
      <c r="L4" s="399">
        <v>1</v>
      </c>
      <c r="M4" s="505">
        <f t="shared" ref="M4:N7" si="0">INDEX($G$4:$G$11,MATCH(K4,$F$4:$F$11,0))</f>
        <v>0</v>
      </c>
      <c r="N4" s="399" t="e">
        <f t="shared" ca="1" si="0"/>
        <v>#NAME?</v>
      </c>
      <c r="O4" s="515" t="e">
        <f ca="1">N4-M4</f>
        <v>#NAME?</v>
      </c>
      <c r="P4" s="399">
        <f>1/3</f>
        <v>0.33333333333333331</v>
      </c>
      <c r="Q4" s="492" t="e">
        <f ca="1">O4*P4</f>
        <v>#NAME?</v>
      </c>
    </row>
    <row r="5" spans="1:19">
      <c r="A5" s="294">
        <v>9</v>
      </c>
      <c r="B5" s="5">
        <v>4</v>
      </c>
      <c r="C5" s="295">
        <v>8</v>
      </c>
      <c r="D5" s="295">
        <v>45</v>
      </c>
      <c r="E5" s="5"/>
      <c r="F5">
        <v>1</v>
      </c>
      <c r="G5" s="293" t="e">
        <f ca="1">RSquare(A4:A8,D4:D8)</f>
        <v>#NAME?</v>
      </c>
      <c r="I5" t="e">
        <f t="shared" ref="I5:I11" ca="1" si="1">FTEXT(G5)</f>
        <v>#NAME?</v>
      </c>
      <c r="K5" s="294">
        <v>2</v>
      </c>
      <c r="L5" s="5">
        <v>12</v>
      </c>
      <c r="M5" s="294" t="e">
        <f t="shared" ca="1" si="0"/>
        <v>#NAME?</v>
      </c>
      <c r="N5" s="5" t="e">
        <f t="shared" ca="1" si="0"/>
        <v>#NAME?</v>
      </c>
      <c r="O5" s="295" t="e">
        <f ca="1">N5-M5</f>
        <v>#NAME?</v>
      </c>
      <c r="P5" s="5">
        <f>1/6</f>
        <v>0.16666666666666666</v>
      </c>
      <c r="Q5" s="293" t="e">
        <f ca="1">O5*P5</f>
        <v>#NAME?</v>
      </c>
    </row>
    <row r="6" spans="1:19">
      <c r="A6" s="294">
        <v>12</v>
      </c>
      <c r="B6" s="5">
        <v>5</v>
      </c>
      <c r="C6" s="295">
        <v>9</v>
      </c>
      <c r="D6" s="295">
        <v>68</v>
      </c>
      <c r="E6" s="5"/>
      <c r="F6">
        <v>2</v>
      </c>
      <c r="G6" s="293" t="e">
        <f ca="1">RSquare(B4:B8,D4:D8)</f>
        <v>#NAME?</v>
      </c>
      <c r="I6" t="e">
        <f t="shared" ca="1" si="1"/>
        <v>#NAME?</v>
      </c>
      <c r="K6" s="294">
        <v>3</v>
      </c>
      <c r="L6" s="5">
        <v>13</v>
      </c>
      <c r="M6" s="294" t="e">
        <f t="shared" ca="1" si="0"/>
        <v>#NAME?</v>
      </c>
      <c r="N6" s="5" t="e">
        <f t="shared" ca="1" si="0"/>
        <v>#NAME?</v>
      </c>
      <c r="O6" s="295" t="e">
        <f ca="1">N6-M6</f>
        <v>#NAME?</v>
      </c>
      <c r="P6" s="5">
        <f>1/6</f>
        <v>0.16666666666666666</v>
      </c>
      <c r="Q6" s="293" t="e">
        <f ca="1">O6*P6</f>
        <v>#NAME?</v>
      </c>
    </row>
    <row r="7" spans="1:19">
      <c r="A7" s="294">
        <v>10</v>
      </c>
      <c r="B7" s="5">
        <v>8</v>
      </c>
      <c r="C7" s="295">
        <v>12</v>
      </c>
      <c r="D7" s="295">
        <v>59</v>
      </c>
      <c r="E7" s="5"/>
      <c r="F7">
        <v>3</v>
      </c>
      <c r="G7" s="293" t="e">
        <f ca="1">RSquare(C4:C8,D4:D8)</f>
        <v>#NAME?</v>
      </c>
      <c r="I7" t="e">
        <f t="shared" ca="1" si="1"/>
        <v>#NAME?</v>
      </c>
      <c r="K7" s="284">
        <v>23</v>
      </c>
      <c r="L7" s="380">
        <v>123</v>
      </c>
      <c r="M7" s="284" t="e">
        <f t="shared" ca="1" si="0"/>
        <v>#NAME?</v>
      </c>
      <c r="N7" s="380" t="e">
        <f t="shared" ca="1" si="0"/>
        <v>#NAME?</v>
      </c>
      <c r="O7" s="288" t="e">
        <f ca="1">N7-M7</f>
        <v>#NAME?</v>
      </c>
      <c r="P7" s="380">
        <f>1/3</f>
        <v>0.33333333333333331</v>
      </c>
      <c r="Q7" s="289" t="e">
        <f ca="1">O7*P7</f>
        <v>#NAME?</v>
      </c>
    </row>
    <row r="8" spans="1:19">
      <c r="A8" s="284">
        <v>20</v>
      </c>
      <c r="B8" s="380">
        <v>9</v>
      </c>
      <c r="C8" s="288">
        <v>23</v>
      </c>
      <c r="D8" s="288">
        <v>89</v>
      </c>
      <c r="E8" s="5"/>
      <c r="F8">
        <v>12</v>
      </c>
      <c r="G8" s="293" t="e">
        <f ca="1">RSquare(A4:B8,D4:D8)</f>
        <v>#NAME?</v>
      </c>
      <c r="I8" t="e">
        <f t="shared" ca="1" si="1"/>
        <v>#NAME?</v>
      </c>
      <c r="L8" s="28">
        <v>1</v>
      </c>
      <c r="N8" s="28"/>
      <c r="Q8" s="109" t="e">
        <f ca="1">SUM(Q4:Q7)</f>
        <v>#NAME?</v>
      </c>
      <c r="S8" t="e">
        <f ca="1">Q8/Q22</f>
        <v>#NAME?</v>
      </c>
    </row>
    <row r="9" spans="1:19">
      <c r="F9">
        <v>23</v>
      </c>
      <c r="G9" s="293" t="e">
        <f ca="1">RSquare(B4:C8,D4:D8)</f>
        <v>#NAME?</v>
      </c>
      <c r="I9" t="e">
        <f t="shared" ca="1" si="1"/>
        <v>#NAME?</v>
      </c>
    </row>
    <row r="10" spans="1:19">
      <c r="B10" s="531" t="s">
        <v>795</v>
      </c>
      <c r="C10" s="531" t="s">
        <v>797</v>
      </c>
      <c r="D10" s="531" t="s">
        <v>65</v>
      </c>
      <c r="F10">
        <v>13</v>
      </c>
      <c r="G10" s="293" t="e">
        <f ca="1">RSquare(B11:C15,D11:D15)</f>
        <v>#NAME?</v>
      </c>
      <c r="I10" t="e">
        <f t="shared" ca="1" si="1"/>
        <v>#NAME?</v>
      </c>
      <c r="K10" s="505">
        <v>0</v>
      </c>
      <c r="L10" s="399">
        <v>2</v>
      </c>
      <c r="M10" s="505">
        <f t="shared" ref="M10:N13" si="2">INDEX($G$4:$G$11,MATCH(K10,$F$4:$F$11,0))</f>
        <v>0</v>
      </c>
      <c r="N10" s="399" t="e">
        <f t="shared" ca="1" si="2"/>
        <v>#NAME?</v>
      </c>
      <c r="O10" s="515" t="e">
        <f ca="1">N10-M10</f>
        <v>#NAME?</v>
      </c>
      <c r="P10" s="399">
        <f>1/3</f>
        <v>0.33333333333333331</v>
      </c>
      <c r="Q10" s="492" t="e">
        <f ca="1">O10*P10</f>
        <v>#NAME?</v>
      </c>
    </row>
    <row r="11" spans="1:19">
      <c r="B11" s="505">
        <v>7</v>
      </c>
      <c r="C11" s="515">
        <v>6</v>
      </c>
      <c r="D11" s="515">
        <v>23</v>
      </c>
      <c r="E11" s="5"/>
      <c r="F11">
        <v>123</v>
      </c>
      <c r="G11" s="289" t="e">
        <f ca="1">RSquare(A4:C8,D4:D8)</f>
        <v>#NAME?</v>
      </c>
      <c r="I11" t="e">
        <f t="shared" ca="1" si="1"/>
        <v>#NAME?</v>
      </c>
      <c r="K11" s="294">
        <v>1</v>
      </c>
      <c r="L11" s="5">
        <v>12</v>
      </c>
      <c r="M11" s="294" t="e">
        <f t="shared" ca="1" si="2"/>
        <v>#NAME?</v>
      </c>
      <c r="N11" s="5" t="e">
        <f t="shared" ca="1" si="2"/>
        <v>#NAME?</v>
      </c>
      <c r="O11" s="295" t="e">
        <f ca="1">N11-M11</f>
        <v>#NAME?</v>
      </c>
      <c r="P11" s="5">
        <f>1/6</f>
        <v>0.16666666666666666</v>
      </c>
      <c r="Q11" s="293" t="e">
        <f ca="1">O11*P11</f>
        <v>#NAME?</v>
      </c>
    </row>
    <row r="12" spans="1:19">
      <c r="B12" s="294">
        <v>9</v>
      </c>
      <c r="C12" s="295">
        <v>8</v>
      </c>
      <c r="D12" s="295">
        <v>45</v>
      </c>
      <c r="E12" s="5"/>
      <c r="K12" s="294">
        <v>3</v>
      </c>
      <c r="L12" s="5">
        <v>23</v>
      </c>
      <c r="M12" s="294" t="e">
        <f t="shared" ca="1" si="2"/>
        <v>#NAME?</v>
      </c>
      <c r="N12" s="5" t="e">
        <f t="shared" ca="1" si="2"/>
        <v>#NAME?</v>
      </c>
      <c r="O12" s="295" t="e">
        <f ca="1">N12-M12</f>
        <v>#NAME?</v>
      </c>
      <c r="P12" s="5">
        <f>1/6</f>
        <v>0.16666666666666666</v>
      </c>
      <c r="Q12" s="293" t="e">
        <f ca="1">O12*P12</f>
        <v>#NAME?</v>
      </c>
    </row>
    <row r="13" spans="1:19">
      <c r="B13" s="294">
        <v>12</v>
      </c>
      <c r="C13" s="295">
        <v>9</v>
      </c>
      <c r="D13" s="295">
        <v>68</v>
      </c>
      <c r="E13" s="5"/>
      <c r="F13" s="28">
        <v>1</v>
      </c>
      <c r="G13" s="492" t="e">
        <f t="array" aca="1" ref="G13:G15" ca="1">Shapely(A4:C8,D4:D8)</f>
        <v>#NAME?</v>
      </c>
      <c r="I13" t="e">
        <f ca="1">FTEXT(G13)</f>
        <v>#NAME?</v>
      </c>
      <c r="K13" s="284">
        <v>13</v>
      </c>
      <c r="L13" s="380">
        <v>123</v>
      </c>
      <c r="M13" s="284" t="e">
        <f t="shared" ca="1" si="2"/>
        <v>#NAME?</v>
      </c>
      <c r="N13" s="380" t="e">
        <f t="shared" ca="1" si="2"/>
        <v>#NAME?</v>
      </c>
      <c r="O13" s="288" t="e">
        <f ca="1">N13-M13</f>
        <v>#NAME?</v>
      </c>
      <c r="P13" s="380">
        <f>1/3</f>
        <v>0.33333333333333331</v>
      </c>
      <c r="Q13" s="289" t="e">
        <f ca="1">O13*P13</f>
        <v>#NAME?</v>
      </c>
    </row>
    <row r="14" spans="1:19">
      <c r="B14" s="294">
        <v>10</v>
      </c>
      <c r="C14" s="295">
        <v>12</v>
      </c>
      <c r="D14" s="295">
        <v>59</v>
      </c>
      <c r="E14" s="5"/>
      <c r="F14" s="28">
        <v>2</v>
      </c>
      <c r="G14" s="293" t="e">
        <f ca="1"/>
        <v>#NAME?</v>
      </c>
      <c r="L14" s="28">
        <v>2</v>
      </c>
      <c r="N14" s="28"/>
      <c r="Q14" s="109" t="e">
        <f ca="1">SUM(Q10:Q13)</f>
        <v>#NAME?</v>
      </c>
      <c r="S14" t="e">
        <f ca="1">Q14/Q22</f>
        <v>#NAME?</v>
      </c>
    </row>
    <row r="15" spans="1:19">
      <c r="B15" s="284">
        <v>20</v>
      </c>
      <c r="C15" s="288">
        <v>23</v>
      </c>
      <c r="D15" s="288">
        <v>89</v>
      </c>
      <c r="E15" s="5"/>
      <c r="F15" s="28">
        <v>3</v>
      </c>
      <c r="G15" s="289" t="e">
        <f ca="1"/>
        <v>#NAME?</v>
      </c>
    </row>
    <row r="16" spans="1:19">
      <c r="F16" s="11" t="s">
        <v>622</v>
      </c>
      <c r="G16" t="e">
        <f ca="1">SUM(G13:G15)</f>
        <v>#NAME?</v>
      </c>
      <c r="I16" t="e">
        <f ca="1">FTEXT(G16)</f>
        <v>#NAME?</v>
      </c>
      <c r="K16" s="505">
        <v>0</v>
      </c>
      <c r="L16" s="399">
        <v>3</v>
      </c>
      <c r="M16" s="505">
        <f t="shared" ref="M16:N19" si="3">INDEX($G$4:$G$11,MATCH(K16,$F$4:$F$11,0))</f>
        <v>0</v>
      </c>
      <c r="N16" s="399" t="e">
        <f t="shared" ca="1" si="3"/>
        <v>#NAME?</v>
      </c>
      <c r="O16" s="515" t="e">
        <f ca="1">N16-M16</f>
        <v>#NAME?</v>
      </c>
      <c r="P16" s="399">
        <f>1/3</f>
        <v>0.33333333333333331</v>
      </c>
      <c r="Q16" s="492" t="e">
        <f ca="1">O16*P16</f>
        <v>#NAME?</v>
      </c>
    </row>
    <row r="17" spans="11:19">
      <c r="K17" s="294">
        <v>1</v>
      </c>
      <c r="L17" s="5">
        <v>13</v>
      </c>
      <c r="M17" s="294" t="e">
        <f t="shared" ca="1" si="3"/>
        <v>#NAME?</v>
      </c>
      <c r="N17" s="5" t="e">
        <f t="shared" ca="1" si="3"/>
        <v>#NAME?</v>
      </c>
      <c r="O17" s="295" t="e">
        <f ca="1">N17-M17</f>
        <v>#NAME?</v>
      </c>
      <c r="P17" s="5">
        <f>1/6</f>
        <v>0.16666666666666666</v>
      </c>
      <c r="Q17" s="293" t="e">
        <f ca="1">O17*P17</f>
        <v>#NAME?</v>
      </c>
    </row>
    <row r="18" spans="11:19">
      <c r="K18" s="294">
        <v>2</v>
      </c>
      <c r="L18" s="5">
        <v>23</v>
      </c>
      <c r="M18" s="294" t="e">
        <f t="shared" ca="1" si="3"/>
        <v>#NAME?</v>
      </c>
      <c r="N18" s="5" t="e">
        <f t="shared" ca="1" si="3"/>
        <v>#NAME?</v>
      </c>
      <c r="O18" s="295" t="e">
        <f ca="1">N18-M18</f>
        <v>#NAME?</v>
      </c>
      <c r="P18" s="5">
        <f>1/6</f>
        <v>0.16666666666666666</v>
      </c>
      <c r="Q18" s="293" t="e">
        <f ca="1">O18*P18</f>
        <v>#NAME?</v>
      </c>
    </row>
    <row r="19" spans="11:19">
      <c r="K19" s="284">
        <v>12</v>
      </c>
      <c r="L19" s="380">
        <v>123</v>
      </c>
      <c r="M19" s="284" t="e">
        <f t="shared" ca="1" si="3"/>
        <v>#NAME?</v>
      </c>
      <c r="N19" s="380" t="e">
        <f t="shared" ca="1" si="3"/>
        <v>#NAME?</v>
      </c>
      <c r="O19" s="288" t="e">
        <f ca="1">N19-M19</f>
        <v>#NAME?</v>
      </c>
      <c r="P19" s="380">
        <f>1/3</f>
        <v>0.33333333333333331</v>
      </c>
      <c r="Q19" s="289" t="e">
        <f ca="1">O19*P19</f>
        <v>#NAME?</v>
      </c>
    </row>
    <row r="20" spans="11:19">
      <c r="L20" s="28">
        <v>3</v>
      </c>
      <c r="N20" s="28"/>
      <c r="Q20" s="109" t="e">
        <f ca="1">SUM(Q16:Q19)</f>
        <v>#NAME?</v>
      </c>
      <c r="S20" t="e">
        <f ca="1">Q20/Q22</f>
        <v>#NAME?</v>
      </c>
    </row>
    <row r="22" spans="11:19">
      <c r="L22" s="11" t="s">
        <v>622</v>
      </c>
      <c r="Q22" s="532" t="e">
        <f ca="1">Q8+Q14+Q20</f>
        <v>#NAME?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28"/>
  <dimension ref="A1:W38"/>
  <sheetViews>
    <sheetView workbookViewId="0"/>
  </sheetViews>
  <sheetFormatPr defaultRowHeight="15"/>
  <cols>
    <col min="1" max="1" width="11" customWidth="1"/>
    <col min="2" max="6" width="9.5703125" customWidth="1"/>
    <col min="7" max="7" width="11.42578125" customWidth="1"/>
    <col min="8" max="11" width="10.28515625" customWidth="1"/>
    <col min="12" max="12" width="5.140625" customWidth="1"/>
    <col min="14" max="14" width="6.140625" customWidth="1"/>
    <col min="17" max="17" width="16.7109375" customWidth="1"/>
  </cols>
  <sheetData>
    <row r="1" spans="1:23">
      <c r="A1" s="1" t="s">
        <v>653</v>
      </c>
      <c r="G1" t="s">
        <v>782</v>
      </c>
      <c r="Q1" t="s">
        <v>601</v>
      </c>
    </row>
    <row r="3" spans="1:23" ht="15.75" thickBot="1">
      <c r="A3" s="521"/>
      <c r="B3" s="522" t="s">
        <v>69</v>
      </c>
      <c r="C3" s="522" t="s">
        <v>70</v>
      </c>
      <c r="D3" s="522" t="s">
        <v>71</v>
      </c>
      <c r="E3" s="522" t="s">
        <v>72</v>
      </c>
      <c r="F3" s="523"/>
      <c r="H3" s="523" t="s">
        <v>69</v>
      </c>
      <c r="I3" s="523" t="s">
        <v>70</v>
      </c>
      <c r="J3" s="523" t="s">
        <v>71</v>
      </c>
      <c r="K3" s="523" t="s">
        <v>72</v>
      </c>
      <c r="Q3" s="364" t="s">
        <v>606</v>
      </c>
      <c r="R3" s="364"/>
    </row>
    <row r="4" spans="1:23" ht="15.75" thickTop="1">
      <c r="A4" s="44" t="s">
        <v>74</v>
      </c>
      <c r="B4" s="50">
        <v>448</v>
      </c>
      <c r="C4" s="51">
        <v>218.17340830567619</v>
      </c>
      <c r="D4" s="52">
        <v>1.81</v>
      </c>
      <c r="E4" s="53">
        <v>22</v>
      </c>
      <c r="F4" s="53"/>
      <c r="G4" s="136" t="str">
        <f t="array" ref="G4:G7">TRANSPOSE(H3:K3)</f>
        <v>Crime</v>
      </c>
      <c r="H4" s="505" t="e">
        <f t="array" aca="1" ref="H4:K7" ca="1">CORR(B4:E18)</f>
        <v>#NAME?</v>
      </c>
      <c r="I4" s="399" t="e">
        <f ca="1"/>
        <v>#NAME?</v>
      </c>
      <c r="J4" s="399" t="e">
        <f ca="1"/>
        <v>#NAME?</v>
      </c>
      <c r="K4" s="515" t="e">
        <f ca="1"/>
        <v>#NAME?</v>
      </c>
      <c r="Q4" t="s">
        <v>208</v>
      </c>
      <c r="R4" t="e">
        <f ca="1">SQRT(R5)</f>
        <v>#NAME?</v>
      </c>
    </row>
    <row r="5" spans="1:23">
      <c r="A5" s="44" t="s">
        <v>75</v>
      </c>
      <c r="B5" s="50">
        <v>661.2</v>
      </c>
      <c r="C5" s="51">
        <v>228.45028196578826</v>
      </c>
      <c r="D5" s="52">
        <v>1.63</v>
      </c>
      <c r="E5" s="53">
        <v>27.3</v>
      </c>
      <c r="F5" s="53"/>
      <c r="G5" s="136" t="str">
        <v>Doctors</v>
      </c>
      <c r="H5" s="294" t="e">
        <f ca="1"/>
        <v>#NAME?</v>
      </c>
      <c r="I5" s="5" t="e">
        <f ca="1"/>
        <v>#NAME?</v>
      </c>
      <c r="J5" s="5" t="e">
        <f ca="1"/>
        <v>#NAME?</v>
      </c>
      <c r="K5" s="295" t="e">
        <f ca="1"/>
        <v>#NAME?</v>
      </c>
      <c r="Q5" t="s">
        <v>201</v>
      </c>
      <c r="R5" t="e">
        <f ca="1">S12/S14</f>
        <v>#NAME?</v>
      </c>
    </row>
    <row r="6" spans="1:23">
      <c r="A6" s="44" t="s">
        <v>76</v>
      </c>
      <c r="B6" s="50">
        <v>482.7</v>
      </c>
      <c r="C6" s="51">
        <v>209.66657175716827</v>
      </c>
      <c r="D6" s="52">
        <v>1.69</v>
      </c>
      <c r="E6" s="53">
        <v>25.1</v>
      </c>
      <c r="F6" s="53"/>
      <c r="G6" s="136" t="str">
        <v>Traf Deaths</v>
      </c>
      <c r="H6" s="294" t="e">
        <f ca="1"/>
        <v>#NAME?</v>
      </c>
      <c r="I6" s="5" t="e">
        <f ca="1"/>
        <v>#NAME?</v>
      </c>
      <c r="J6" s="5" t="e">
        <f ca="1"/>
        <v>#NAME?</v>
      </c>
      <c r="K6" s="295" t="e">
        <f ca="1"/>
        <v>#NAME?</v>
      </c>
      <c r="Q6" t="s">
        <v>209</v>
      </c>
      <c r="R6" t="e">
        <f ca="1">1-(1-R5)*(R8-1)/(R8-R12-1)</f>
        <v>#NAME?</v>
      </c>
    </row>
    <row r="7" spans="1:23">
      <c r="A7" s="44" t="s">
        <v>77</v>
      </c>
      <c r="B7" s="50">
        <v>529.4</v>
      </c>
      <c r="C7" s="51">
        <v>203.42285988234826</v>
      </c>
      <c r="D7" s="52">
        <v>1.96</v>
      </c>
      <c r="E7" s="53">
        <v>18.8</v>
      </c>
      <c r="F7" s="53"/>
      <c r="G7" s="136" t="str">
        <v>University</v>
      </c>
      <c r="H7" s="284" t="e">
        <f ca="1"/>
        <v>#NAME?</v>
      </c>
      <c r="I7" s="380" t="e">
        <f ca="1"/>
        <v>#NAME?</v>
      </c>
      <c r="J7" s="380" t="e">
        <f ca="1"/>
        <v>#NAME?</v>
      </c>
      <c r="K7" s="288" t="e">
        <f ca="1"/>
        <v>#NAME?</v>
      </c>
      <c r="Q7" t="s">
        <v>9</v>
      </c>
      <c r="R7" t="e">
        <f ca="1">SQRT(T13)</f>
        <v>#NAME?</v>
      </c>
    </row>
    <row r="8" spans="1:23">
      <c r="A8" s="44" t="s">
        <v>78</v>
      </c>
      <c r="B8" s="50">
        <v>522.6</v>
      </c>
      <c r="C8" s="51">
        <v>268.69056049813605</v>
      </c>
      <c r="D8" s="52">
        <v>1.21</v>
      </c>
      <c r="E8" s="53">
        <v>29.6</v>
      </c>
      <c r="F8" s="53"/>
      <c r="Q8" s="380" t="s">
        <v>42</v>
      </c>
      <c r="R8" s="380">
        <f>COUNT(B4:B18)</f>
        <v>15</v>
      </c>
    </row>
    <row r="9" spans="1:23">
      <c r="A9" s="44" t="s">
        <v>79</v>
      </c>
      <c r="B9" s="50">
        <v>347.8</v>
      </c>
      <c r="C9" s="51">
        <v>259.68608874672964</v>
      </c>
      <c r="D9" s="52">
        <v>1.1399999999999999</v>
      </c>
      <c r="E9" s="53">
        <v>35.6</v>
      </c>
      <c r="F9" s="53"/>
      <c r="G9" t="s">
        <v>783</v>
      </c>
      <c r="M9" t="s">
        <v>784</v>
      </c>
      <c r="O9" t="s">
        <v>785</v>
      </c>
    </row>
    <row r="10" spans="1:23" ht="15.75" thickBot="1">
      <c r="A10" s="44" t="s">
        <v>80</v>
      </c>
      <c r="B10" s="50">
        <v>256</v>
      </c>
      <c r="C10" s="51">
        <v>376.3752669155395</v>
      </c>
      <c r="D10" s="52">
        <v>0.86</v>
      </c>
      <c r="E10" s="53">
        <v>35.6</v>
      </c>
      <c r="F10" s="53"/>
      <c r="Q10" t="s">
        <v>210</v>
      </c>
      <c r="U10" s="520" t="s">
        <v>16</v>
      </c>
      <c r="V10" s="520">
        <v>0.05</v>
      </c>
    </row>
    <row r="11" spans="1:23" ht="15.75" thickTop="1">
      <c r="A11" s="44" t="s">
        <v>81</v>
      </c>
      <c r="B11" s="50">
        <v>689.2</v>
      </c>
      <c r="C11" s="51">
        <v>250.94175668510928</v>
      </c>
      <c r="D11" s="52">
        <v>1.23</v>
      </c>
      <c r="E11" s="53">
        <v>27.5</v>
      </c>
      <c r="F11" s="53"/>
      <c r="G11">
        <v>1</v>
      </c>
      <c r="H11" s="505" t="e">
        <f t="array" aca="1" ref="H11:K14" ca="1">MINVERSE(H4:K7)</f>
        <v>#NAME?</v>
      </c>
      <c r="I11" s="399" t="e">
        <f ca="1"/>
        <v>#NAME?</v>
      </c>
      <c r="J11" s="399" t="e">
        <f ca="1"/>
        <v>#NAME?</v>
      </c>
      <c r="K11" s="515" t="e">
        <f ca="1"/>
        <v>#NAME?</v>
      </c>
      <c r="M11" s="492" t="e">
        <f t="array" aca="1" ref="M11:M14" ca="1">SQRT(DIAG(H11:K14))</f>
        <v>#NAME?</v>
      </c>
      <c r="O11" s="492" t="e">
        <f t="array" aca="1" ref="O11:O14" ca="1">SQRT(INDEX(H11:K14,G11:G14,G11:G14))</f>
        <v>#NAME?</v>
      </c>
      <c r="Q11" s="398"/>
      <c r="R11" s="398" t="s">
        <v>26</v>
      </c>
      <c r="S11" s="398" t="s">
        <v>137</v>
      </c>
      <c r="T11" s="398" t="s">
        <v>156</v>
      </c>
      <c r="U11" s="398" t="s">
        <v>63</v>
      </c>
      <c r="V11" s="398" t="s">
        <v>30</v>
      </c>
      <c r="W11" s="398" t="s">
        <v>374</v>
      </c>
    </row>
    <row r="12" spans="1:23">
      <c r="A12" s="44" t="s">
        <v>82</v>
      </c>
      <c r="B12" s="50">
        <v>722.6</v>
      </c>
      <c r="C12" s="51">
        <v>247.86359820579941</v>
      </c>
      <c r="D12" s="52">
        <v>1.56</v>
      </c>
      <c r="E12" s="53">
        <v>25.8</v>
      </c>
      <c r="F12" s="53"/>
      <c r="G12">
        <f>G11+1</f>
        <v>2</v>
      </c>
      <c r="H12" s="294" t="e">
        <f ca="1"/>
        <v>#NAME?</v>
      </c>
      <c r="I12" s="5" t="e">
        <f ca="1"/>
        <v>#NAME?</v>
      </c>
      <c r="J12" s="5" t="e">
        <f ca="1"/>
        <v>#NAME?</v>
      </c>
      <c r="K12" s="295" t="e">
        <f ca="1"/>
        <v>#NAME?</v>
      </c>
      <c r="M12" s="293" t="e">
        <f ca="1"/>
        <v>#NAME?</v>
      </c>
      <c r="O12" s="293" t="e">
        <f ca="1"/>
        <v>#NAME?</v>
      </c>
      <c r="Q12" t="s">
        <v>138</v>
      </c>
      <c r="R12">
        <f>COUNT(C4:E4)</f>
        <v>3</v>
      </c>
      <c r="S12" t="e">
        <f ca="1">DEVSQ(MMULT(DESIGN(C4:E18),R17:R20))</f>
        <v>#NAME?</v>
      </c>
      <c r="T12" t="e">
        <f ca="1">S12/R12</f>
        <v>#NAME?</v>
      </c>
      <c r="U12" t="e">
        <f ca="1">T12/T13</f>
        <v>#NAME?</v>
      </c>
      <c r="V12" t="e">
        <f ca="1">FDIST(U12,R12,R13)</f>
        <v>#NAME?</v>
      </c>
      <c r="W12" s="520" t="e">
        <f ca="1">IF(V12&lt;V10,"yes","no")</f>
        <v>#NAME?</v>
      </c>
    </row>
    <row r="13" spans="1:23">
      <c r="A13" s="44" t="s">
        <v>83</v>
      </c>
      <c r="B13" s="50">
        <v>493.2</v>
      </c>
      <c r="C13" s="51">
        <v>217.44570184044454</v>
      </c>
      <c r="D13" s="52">
        <v>1.46</v>
      </c>
      <c r="E13" s="53">
        <v>27.5</v>
      </c>
      <c r="F13" s="53"/>
      <c r="G13">
        <f>G12+1</f>
        <v>3</v>
      </c>
      <c r="H13" s="294" t="e">
        <f ca="1"/>
        <v>#NAME?</v>
      </c>
      <c r="I13" s="5" t="e">
        <f ca="1"/>
        <v>#NAME?</v>
      </c>
      <c r="J13" s="5" t="e">
        <f ca="1"/>
        <v>#NAME?</v>
      </c>
      <c r="K13" s="295" t="e">
        <f ca="1"/>
        <v>#NAME?</v>
      </c>
      <c r="M13" s="293" t="e">
        <f ca="1"/>
        <v>#NAME?</v>
      </c>
      <c r="O13" s="293" t="e">
        <f ca="1"/>
        <v>#NAME?</v>
      </c>
      <c r="Q13" t="s">
        <v>211</v>
      </c>
      <c r="R13">
        <f>R14-R12</f>
        <v>11</v>
      </c>
      <c r="S13" t="e">
        <f ca="1">S14-S12</f>
        <v>#NAME?</v>
      </c>
      <c r="T13" t="e">
        <f ca="1">S13/R13</f>
        <v>#NAME?</v>
      </c>
    </row>
    <row r="14" spans="1:23">
      <c r="A14" s="44" t="s">
        <v>84</v>
      </c>
      <c r="B14" s="50">
        <v>272.8</v>
      </c>
      <c r="C14" s="51">
        <v>316.98289278791503</v>
      </c>
      <c r="D14" s="52">
        <v>1.33</v>
      </c>
      <c r="E14" s="53">
        <v>29.1</v>
      </c>
      <c r="F14" s="53"/>
      <c r="G14">
        <f>G13+1</f>
        <v>4</v>
      </c>
      <c r="H14" s="284" t="e">
        <f ca="1"/>
        <v>#NAME?</v>
      </c>
      <c r="I14" s="380" t="e">
        <f ca="1"/>
        <v>#NAME?</v>
      </c>
      <c r="J14" s="380" t="e">
        <f ca="1"/>
        <v>#NAME?</v>
      </c>
      <c r="K14" s="288" t="e">
        <f ca="1"/>
        <v>#NAME?</v>
      </c>
      <c r="M14" s="289" t="e">
        <f ca="1"/>
        <v>#NAME?</v>
      </c>
      <c r="O14" s="289" t="e">
        <f ca="1"/>
        <v>#NAME?</v>
      </c>
      <c r="Q14" s="380" t="s">
        <v>1</v>
      </c>
      <c r="R14" s="380">
        <f>R8-1</f>
        <v>14</v>
      </c>
      <c r="S14" s="380">
        <f>DEVSQ(B4:B18)</f>
        <v>358680.68933333346</v>
      </c>
      <c r="T14" s="380"/>
      <c r="U14" s="380"/>
      <c r="V14" s="380"/>
      <c r="W14" s="380"/>
    </row>
    <row r="15" spans="1:23" ht="15.75" thickBot="1">
      <c r="A15" s="44" t="s">
        <v>85</v>
      </c>
      <c r="B15" s="50">
        <v>239.4</v>
      </c>
      <c r="C15" s="51">
        <v>168.83390313104681</v>
      </c>
      <c r="D15" s="52">
        <v>1.6</v>
      </c>
      <c r="E15" s="53">
        <v>24</v>
      </c>
      <c r="F15" s="53"/>
    </row>
    <row r="16" spans="1:23" ht="15.75" thickTop="1">
      <c r="A16" s="44" t="s">
        <v>86</v>
      </c>
      <c r="B16" s="50">
        <v>533.20000000000005</v>
      </c>
      <c r="C16" s="51">
        <v>280.15386787687231</v>
      </c>
      <c r="D16" s="52">
        <v>1.1599999999999999</v>
      </c>
      <c r="E16" s="53">
        <v>29.9</v>
      </c>
      <c r="F16" s="53"/>
      <c r="G16" t="s">
        <v>786</v>
      </c>
      <c r="Q16" s="398"/>
      <c r="R16" s="398" t="s">
        <v>600</v>
      </c>
      <c r="S16" s="398" t="s">
        <v>503</v>
      </c>
      <c r="T16" s="398" t="s">
        <v>27</v>
      </c>
      <c r="U16" s="398" t="s">
        <v>30</v>
      </c>
      <c r="V16" s="398" t="s">
        <v>13</v>
      </c>
      <c r="W16" s="398" t="s">
        <v>14</v>
      </c>
    </row>
    <row r="17" spans="1:23">
      <c r="A17" s="44" t="s">
        <v>87</v>
      </c>
      <c r="B17" s="50">
        <v>333.6</v>
      </c>
      <c r="C17" s="51">
        <v>216.93969975987483</v>
      </c>
      <c r="D17" s="52">
        <v>1.26</v>
      </c>
      <c r="E17" s="53">
        <v>22.9</v>
      </c>
      <c r="F17" s="53"/>
      <c r="M17" s="5"/>
      <c r="Q17" t="s">
        <v>212</v>
      </c>
      <c r="R17" t="e">
        <f t="array" aca="1" ref="R17:R20" ca="1">RegCoeff(C4:E18,B4:B18)</f>
        <v>#NAME?</v>
      </c>
      <c r="S17" t="e">
        <f t="array" aca="1" ref="S17:S20" ca="1">RegCoeffSE(C4:E18,B4:B18)</f>
        <v>#NAME?</v>
      </c>
      <c r="T17" t="e">
        <f ca="1">R17/S17</f>
        <v>#NAME?</v>
      </c>
      <c r="U17" t="e">
        <f ca="1">TDIST(ABS(T17),$R$13,2)</f>
        <v>#NAME?</v>
      </c>
      <c r="V17" t="e">
        <f ca="1">R17-TINV(V$10,$R$13)*S17</f>
        <v>#NAME?</v>
      </c>
      <c r="W17" t="e">
        <f ca="1">R17+TINV(V$10,$R$13)*S17</f>
        <v>#NAME?</v>
      </c>
    </row>
    <row r="18" spans="1:23">
      <c r="A18" s="524" t="s">
        <v>88</v>
      </c>
      <c r="B18" s="525">
        <v>294.7</v>
      </c>
      <c r="C18" s="526">
        <v>189.28322428402873</v>
      </c>
      <c r="D18" s="527">
        <v>1.42</v>
      </c>
      <c r="E18" s="528">
        <v>24.3</v>
      </c>
      <c r="F18" s="53"/>
      <c r="H18" s="523" t="s">
        <v>69</v>
      </c>
      <c r="I18" s="523" t="s">
        <v>70</v>
      </c>
      <c r="J18" s="523" t="s">
        <v>71</v>
      </c>
      <c r="K18" s="523" t="s">
        <v>72</v>
      </c>
      <c r="Q18" t="str">
        <f t="array" ref="Q18:Q20">TRANSPOSE(C3:E3)</f>
        <v>Doctors</v>
      </c>
      <c r="R18" t="e">
        <f ca="1"/>
        <v>#NAME?</v>
      </c>
      <c r="S18" t="e">
        <f ca="1"/>
        <v>#NAME?</v>
      </c>
      <c r="T18" t="e">
        <f ca="1">R18/S18</f>
        <v>#NAME?</v>
      </c>
      <c r="U18" t="e">
        <f ca="1">TDIST(ABS(T18),$R$13,2)</f>
        <v>#NAME?</v>
      </c>
      <c r="V18" t="e">
        <f ca="1">R18-TINV(V$10,$R$13)*S18</f>
        <v>#NAME?</v>
      </c>
      <c r="W18" t="e">
        <f ca="1">R18+TINV(V$10,$R$13)*S18</f>
        <v>#NAME?</v>
      </c>
    </row>
    <row r="19" spans="1:23">
      <c r="F19" s="53"/>
      <c r="G19" s="136" t="str">
        <f t="array" ref="G19:G22">TRANSPOSE(H18:K18)</f>
        <v>Crime</v>
      </c>
      <c r="H19" s="505" t="e">
        <f t="array" aca="1" ref="H19:K22" ca="1">-H11:K14/MMULT(M11:M14,TRANSPOSE(M11:M14))</f>
        <v>#NAME?</v>
      </c>
      <c r="I19" s="399" t="e">
        <f ca="1"/>
        <v>#NAME?</v>
      </c>
      <c r="J19" s="399" t="e">
        <f ca="1"/>
        <v>#NAME?</v>
      </c>
      <c r="K19" s="515" t="e">
        <f ca="1"/>
        <v>#NAME?</v>
      </c>
      <c r="Q19" t="str">
        <v>Traf Deaths</v>
      </c>
      <c r="R19" t="e">
        <f ca="1"/>
        <v>#NAME?</v>
      </c>
      <c r="S19" t="e">
        <f ca="1"/>
        <v>#NAME?</v>
      </c>
      <c r="T19" t="e">
        <f ca="1">R19/S19</f>
        <v>#NAME?</v>
      </c>
      <c r="U19" t="e">
        <f ca="1">TDIST(ABS(T19),$R$13,2)</f>
        <v>#NAME?</v>
      </c>
      <c r="V19" t="e">
        <f ca="1">R19-TINV(V$10,$R$13)*S19</f>
        <v>#NAME?</v>
      </c>
      <c r="W19" t="e">
        <f ca="1">R19+TINV(V$10,$R$13)*S19</f>
        <v>#NAME?</v>
      </c>
    </row>
    <row r="20" spans="1:23">
      <c r="A20" s="529" t="s">
        <v>787</v>
      </c>
      <c r="G20" s="136" t="str">
        <v>Doctors</v>
      </c>
      <c r="H20" s="294" t="e">
        <f ca="1"/>
        <v>#NAME?</v>
      </c>
      <c r="I20" s="5" t="e">
        <f ca="1"/>
        <v>#NAME?</v>
      </c>
      <c r="J20" s="5" t="e">
        <f ca="1"/>
        <v>#NAME?</v>
      </c>
      <c r="K20" s="295" t="e">
        <f ca="1"/>
        <v>#NAME?</v>
      </c>
      <c r="Q20" s="380" t="str">
        <v>University</v>
      </c>
      <c r="R20" s="380" t="e">
        <f ca="1"/>
        <v>#NAME?</v>
      </c>
      <c r="S20" s="380" t="e">
        <f ca="1"/>
        <v>#NAME?</v>
      </c>
      <c r="T20" s="380" t="e">
        <f ca="1">R20/S20</f>
        <v>#NAME?</v>
      </c>
      <c r="U20" s="380" t="e">
        <f ca="1">TDIST(ABS(T20),$R$13,2)</f>
        <v>#NAME?</v>
      </c>
      <c r="V20" s="380" t="e">
        <f ca="1">R20-TINV(V$10,$R$13)*S20</f>
        <v>#NAME?</v>
      </c>
      <c r="W20" s="380" t="e">
        <f ca="1">R20+TINV(V$10,$R$13)*S20</f>
        <v>#NAME?</v>
      </c>
    </row>
    <row r="21" spans="1:23">
      <c r="G21" s="136" t="str">
        <v>Traf Deaths</v>
      </c>
      <c r="H21" s="294" t="e">
        <f ca="1"/>
        <v>#NAME?</v>
      </c>
      <c r="I21" s="5" t="e">
        <f ca="1"/>
        <v>#NAME?</v>
      </c>
      <c r="J21" s="5" t="e">
        <f ca="1"/>
        <v>#NAME?</v>
      </c>
      <c r="K21" s="295" t="e">
        <f ca="1"/>
        <v>#NAME?</v>
      </c>
    </row>
    <row r="22" spans="1:23">
      <c r="B22" s="492" t="e">
        <f t="array" aca="1" ref="B22" ca="1">INDEX(-H11:K14/(M11:M12*TRANSPOSE(M11:M14)),1,2)</f>
        <v>#NAME?</v>
      </c>
      <c r="G22" s="136" t="str">
        <v>University</v>
      </c>
      <c r="H22" s="284" t="e">
        <f ca="1"/>
        <v>#NAME?</v>
      </c>
      <c r="I22" s="380" t="e">
        <f ca="1"/>
        <v>#NAME?</v>
      </c>
      <c r="J22" s="380" t="e">
        <f ca="1"/>
        <v>#NAME?</v>
      </c>
      <c r="K22" s="288" t="e">
        <f ca="1"/>
        <v>#NAME?</v>
      </c>
      <c r="Q22" t="s">
        <v>788</v>
      </c>
    </row>
    <row r="23" spans="1:23">
      <c r="B23" s="289" t="e">
        <f t="array" aca="1" ref="B23" ca="1">PCORREL(B4:E18,1,2)</f>
        <v>#NAME?</v>
      </c>
    </row>
    <row r="24" spans="1:23">
      <c r="G24" t="s">
        <v>789</v>
      </c>
      <c r="Q24" s="13" t="s">
        <v>790</v>
      </c>
      <c r="S24" s="492" t="e">
        <f ca="1">RSquare(C4:E18,B4:B18)</f>
        <v>#NAME?</v>
      </c>
    </row>
    <row r="25" spans="1:23">
      <c r="Q25" s="13" t="s">
        <v>791</v>
      </c>
      <c r="S25" s="293" t="e">
        <f ca="1">RSquare(B4:E18,1)</f>
        <v>#NAME?</v>
      </c>
    </row>
    <row r="26" spans="1:23">
      <c r="H26" s="523" t="s">
        <v>69</v>
      </c>
      <c r="I26" s="523" t="s">
        <v>70</v>
      </c>
      <c r="J26" s="523" t="s">
        <v>71</v>
      </c>
      <c r="K26" s="523" t="s">
        <v>72</v>
      </c>
      <c r="Q26" s="13" t="s">
        <v>792</v>
      </c>
      <c r="S26" s="289" t="e">
        <f ca="1">1-1/H11</f>
        <v>#NAME?</v>
      </c>
    </row>
    <row r="27" spans="1:23">
      <c r="G27" s="136" t="s">
        <v>69</v>
      </c>
      <c r="H27" s="505" t="e">
        <f t="array" aca="1" ref="H27:K30" ca="1">-H11:K14/(M11:M14*TRANSPOSE(M11:M14))</f>
        <v>#NAME?</v>
      </c>
      <c r="I27" s="399" t="e">
        <f ca="1"/>
        <v>#NAME?</v>
      </c>
      <c r="J27" s="399" t="e">
        <f ca="1"/>
        <v>#NAME?</v>
      </c>
      <c r="K27" s="515" t="e">
        <f ca="1"/>
        <v>#NAME?</v>
      </c>
    </row>
    <row r="28" spans="1:23">
      <c r="G28" s="136" t="s">
        <v>70</v>
      </c>
      <c r="H28" s="294" t="e">
        <f ca="1"/>
        <v>#NAME?</v>
      </c>
      <c r="I28" s="5" t="e">
        <f ca="1"/>
        <v>#NAME?</v>
      </c>
      <c r="J28" s="5" t="e">
        <f ca="1"/>
        <v>#NAME?</v>
      </c>
      <c r="K28" s="295" t="e">
        <f ca="1"/>
        <v>#NAME?</v>
      </c>
    </row>
    <row r="29" spans="1:23">
      <c r="G29" s="136" t="s">
        <v>71</v>
      </c>
      <c r="H29" s="294" t="e">
        <f ca="1"/>
        <v>#NAME?</v>
      </c>
      <c r="I29" s="5" t="e">
        <f ca="1"/>
        <v>#NAME?</v>
      </c>
      <c r="J29" s="5" t="e">
        <f ca="1"/>
        <v>#NAME?</v>
      </c>
      <c r="K29" s="295" t="e">
        <f ca="1"/>
        <v>#NAME?</v>
      </c>
    </row>
    <row r="30" spans="1:23">
      <c r="G30" s="136" t="s">
        <v>72</v>
      </c>
      <c r="H30" s="284" t="e">
        <f ca="1"/>
        <v>#NAME?</v>
      </c>
      <c r="I30" s="380" t="e">
        <f ca="1"/>
        <v>#NAME?</v>
      </c>
      <c r="J30" s="380" t="e">
        <f ca="1"/>
        <v>#NAME?</v>
      </c>
      <c r="K30" s="288" t="e">
        <f ca="1"/>
        <v>#NAME?</v>
      </c>
    </row>
    <row r="32" spans="1:23">
      <c r="G32" s="530" t="s">
        <v>793</v>
      </c>
    </row>
    <row r="34" spans="7:11">
      <c r="H34" s="523" t="s">
        <v>69</v>
      </c>
      <c r="I34" s="523" t="s">
        <v>70</v>
      </c>
      <c r="J34" s="523" t="s">
        <v>71</v>
      </c>
      <c r="K34" s="523" t="s">
        <v>72</v>
      </c>
    </row>
    <row r="35" spans="7:11">
      <c r="G35" s="136" t="s">
        <v>69</v>
      </c>
      <c r="H35" s="505" t="e">
        <f t="array" aca="1" ref="H35:K38" ca="1">PCORR(B4:E18)</f>
        <v>#NAME?</v>
      </c>
      <c r="I35" s="399" t="e">
        <f ca="1"/>
        <v>#NAME?</v>
      </c>
      <c r="J35" s="399" t="e">
        <f ca="1"/>
        <v>#NAME?</v>
      </c>
      <c r="K35" s="515" t="e">
        <f ca="1"/>
        <v>#NAME?</v>
      </c>
    </row>
    <row r="36" spans="7:11">
      <c r="G36" s="136" t="s">
        <v>70</v>
      </c>
      <c r="H36" s="294" t="e">
        <f ca="1"/>
        <v>#NAME?</v>
      </c>
      <c r="I36" s="5" t="e">
        <f ca="1"/>
        <v>#NAME?</v>
      </c>
      <c r="J36" s="5" t="e">
        <f ca="1"/>
        <v>#NAME?</v>
      </c>
      <c r="K36" s="295" t="e">
        <f ca="1"/>
        <v>#NAME?</v>
      </c>
    </row>
    <row r="37" spans="7:11">
      <c r="G37" s="136" t="s">
        <v>71</v>
      </c>
      <c r="H37" s="294" t="e">
        <f ca="1"/>
        <v>#NAME?</v>
      </c>
      <c r="I37" s="5" t="e">
        <f ca="1"/>
        <v>#NAME?</v>
      </c>
      <c r="J37" s="5" t="e">
        <f ca="1"/>
        <v>#NAME?</v>
      </c>
      <c r="K37" s="295" t="e">
        <f ca="1"/>
        <v>#NAME?</v>
      </c>
    </row>
    <row r="38" spans="7:11">
      <c r="G38" s="136" t="s">
        <v>72</v>
      </c>
      <c r="H38" s="284" t="e">
        <f ca="1"/>
        <v>#NAME?</v>
      </c>
      <c r="I38" s="380" t="e">
        <f ca="1"/>
        <v>#NAME?</v>
      </c>
      <c r="J38" s="380" t="e">
        <f ca="1"/>
        <v>#NAME?</v>
      </c>
      <c r="K38" s="288" t="e">
        <f ca="1"/>
        <v>#NAME?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390"/>
  <dimension ref="A1:P21"/>
  <sheetViews>
    <sheetView workbookViewId="0"/>
  </sheetViews>
  <sheetFormatPr defaultRowHeight="15"/>
  <cols>
    <col min="5" max="5" width="16.85546875" customWidth="1"/>
    <col min="14" max="14" width="9.140625" customWidth="1"/>
    <col min="15" max="15" width="3.28515625" customWidth="1"/>
    <col min="16" max="16" width="29.85546875" customWidth="1"/>
  </cols>
  <sheetData>
    <row r="1" spans="1:16" s="1" customFormat="1">
      <c r="A1" s="1" t="s">
        <v>689</v>
      </c>
    </row>
    <row r="3" spans="1:16">
      <c r="A3" s="112" t="s">
        <v>296</v>
      </c>
      <c r="B3" s="112" t="s">
        <v>297</v>
      </c>
      <c r="C3" s="112" t="s">
        <v>290</v>
      </c>
      <c r="E3" t="s">
        <v>601</v>
      </c>
      <c r="M3" t="s">
        <v>15</v>
      </c>
      <c r="N3" s="410">
        <f>COUNT(A4:A14)</f>
        <v>11</v>
      </c>
      <c r="P3" t="e">
        <f ca="1">FTEXT(N3)</f>
        <v>#NAME?</v>
      </c>
    </row>
    <row r="4" spans="1:16">
      <c r="A4" s="458">
        <v>7</v>
      </c>
      <c r="B4" s="458">
        <v>5</v>
      </c>
      <c r="C4" s="458">
        <v>65</v>
      </c>
      <c r="M4" t="s">
        <v>23</v>
      </c>
      <c r="N4" s="293">
        <f>COUNTA(A3:B3)</f>
        <v>2</v>
      </c>
      <c r="P4" t="e">
        <f ca="1">FTEXT(N4)</f>
        <v>#NAME?</v>
      </c>
    </row>
    <row r="5" spans="1:16" ht="15.75" thickBot="1">
      <c r="A5" s="458">
        <v>3</v>
      </c>
      <c r="B5" s="458">
        <v>7</v>
      </c>
      <c r="C5" s="458">
        <v>38</v>
      </c>
      <c r="E5" s="364" t="s">
        <v>606</v>
      </c>
      <c r="F5" s="364"/>
      <c r="M5" t="s">
        <v>671</v>
      </c>
      <c r="N5" s="293">
        <f>N3-N4-1</f>
        <v>8</v>
      </c>
      <c r="P5" t="e">
        <f ca="1">FTEXT(N5)</f>
        <v>#NAME?</v>
      </c>
    </row>
    <row r="6" spans="1:16" ht="15.75" thickTop="1">
      <c r="A6" s="458">
        <v>5</v>
      </c>
      <c r="B6" s="458">
        <v>8</v>
      </c>
      <c r="C6" s="458">
        <v>51</v>
      </c>
      <c r="E6" t="s">
        <v>208</v>
      </c>
      <c r="F6" t="e">
        <f ca="1">SQRT(F7)</f>
        <v>#NAME?</v>
      </c>
      <c r="M6" t="s">
        <v>442</v>
      </c>
      <c r="N6" s="289">
        <f>N4</f>
        <v>2</v>
      </c>
      <c r="P6" t="e">
        <f ca="1">FTEXT(N6)</f>
        <v>#NAME?</v>
      </c>
    </row>
    <row r="7" spans="1:16">
      <c r="A7" s="458">
        <v>8</v>
      </c>
      <c r="B7" s="458">
        <v>1</v>
      </c>
      <c r="C7" s="458">
        <v>38</v>
      </c>
      <c r="E7" t="s">
        <v>201</v>
      </c>
      <c r="F7" t="e">
        <f ca="1">G14/G16</f>
        <v>#NAME?</v>
      </c>
    </row>
    <row r="8" spans="1:16">
      <c r="A8" s="458">
        <v>9</v>
      </c>
      <c r="B8" s="458">
        <v>3</v>
      </c>
      <c r="C8" s="458">
        <v>55</v>
      </c>
      <c r="E8" t="s">
        <v>209</v>
      </c>
      <c r="F8" t="e">
        <f ca="1">1-(1-F7)*(F10-1)/(F10-F14-1)</f>
        <v>#NAME?</v>
      </c>
      <c r="M8" t="s">
        <v>686</v>
      </c>
      <c r="N8" s="410" t="e">
        <f ca="1">F7</f>
        <v>#NAME?</v>
      </c>
      <c r="P8" t="e">
        <f ca="1">FTEXT(N8)</f>
        <v>#NAME?</v>
      </c>
    </row>
    <row r="9" spans="1:16">
      <c r="A9" s="458">
        <v>5</v>
      </c>
      <c r="B9" s="458">
        <v>4</v>
      </c>
      <c r="C9" s="458">
        <v>43</v>
      </c>
      <c r="E9" t="s">
        <v>9</v>
      </c>
      <c r="F9" t="e">
        <f ca="1">SQRT(H15)</f>
        <v>#NAME?</v>
      </c>
      <c r="M9" t="s">
        <v>687</v>
      </c>
      <c r="N9" s="293" t="e">
        <f ca="1">N8/(1-N8)</f>
        <v>#NAME?</v>
      </c>
      <c r="P9" t="e">
        <f ca="1">FTEXT(N9)</f>
        <v>#NAME?</v>
      </c>
    </row>
    <row r="10" spans="1:16">
      <c r="A10" s="458">
        <v>4</v>
      </c>
      <c r="B10" s="458">
        <v>0</v>
      </c>
      <c r="C10" s="458">
        <v>25</v>
      </c>
      <c r="E10" s="380" t="s">
        <v>42</v>
      </c>
      <c r="F10" s="380">
        <f>COUNT(C4:C14)</f>
        <v>11</v>
      </c>
      <c r="M10" s="27" t="s">
        <v>502</v>
      </c>
      <c r="N10" s="289" t="e">
        <f ca="1">N9*N3</f>
        <v>#NAME?</v>
      </c>
      <c r="P10" t="e">
        <f ca="1">FTEXT(N10)</f>
        <v>#NAME?</v>
      </c>
    </row>
    <row r="11" spans="1:16">
      <c r="A11" s="458">
        <v>2</v>
      </c>
      <c r="B11" s="458">
        <v>6</v>
      </c>
      <c r="C11" s="458">
        <v>33</v>
      </c>
    </row>
    <row r="12" spans="1:16" ht="15.75" thickBot="1">
      <c r="A12" s="458">
        <v>8</v>
      </c>
      <c r="B12" s="458">
        <v>7</v>
      </c>
      <c r="C12" s="458">
        <v>71</v>
      </c>
      <c r="E12" t="s">
        <v>210</v>
      </c>
      <c r="I12" s="458" t="s">
        <v>16</v>
      </c>
      <c r="J12" s="458">
        <v>0.05</v>
      </c>
      <c r="M12" s="27" t="s">
        <v>21</v>
      </c>
      <c r="N12" s="410">
        <v>0.05</v>
      </c>
    </row>
    <row r="13" spans="1:16" ht="15.75" thickTop="1">
      <c r="A13" s="458">
        <v>6</v>
      </c>
      <c r="B13" s="458">
        <v>4</v>
      </c>
      <c r="C13" s="458">
        <v>51</v>
      </c>
      <c r="E13" s="398"/>
      <c r="F13" s="398" t="s">
        <v>26</v>
      </c>
      <c r="G13" s="398" t="s">
        <v>137</v>
      </c>
      <c r="H13" s="398" t="s">
        <v>156</v>
      </c>
      <c r="I13" s="398" t="s">
        <v>63</v>
      </c>
      <c r="J13" s="398" t="s">
        <v>30</v>
      </c>
      <c r="K13" s="398" t="s">
        <v>374</v>
      </c>
      <c r="M13" s="27" t="s">
        <v>162</v>
      </c>
      <c r="N13" s="293">
        <f>FINV(N12,N6,N5)</f>
        <v>4.4589701075245118</v>
      </c>
      <c r="P13" t="e">
        <f ca="1">FTEXT(N13)</f>
        <v>#NAME?</v>
      </c>
    </row>
    <row r="14" spans="1:16">
      <c r="A14" s="459">
        <v>9</v>
      </c>
      <c r="B14" s="459">
        <v>2</v>
      </c>
      <c r="C14" s="459">
        <v>49</v>
      </c>
      <c r="E14" t="s">
        <v>138</v>
      </c>
      <c r="F14">
        <f>COUNT(A4:B4)</f>
        <v>2</v>
      </c>
      <c r="G14" t="e">
        <f ca="1">DEVSQ(MMULT(DESIGN(A4:B14),F19:F21))</f>
        <v>#NAME?</v>
      </c>
      <c r="H14" t="e">
        <f ca="1">G14/F14</f>
        <v>#NAME?</v>
      </c>
      <c r="I14" t="e">
        <f ca="1">H14/H15</f>
        <v>#NAME?</v>
      </c>
      <c r="J14" t="e">
        <f ca="1">FDIST(I14,F14,F15)</f>
        <v>#NAME?</v>
      </c>
      <c r="K14" s="458" t="e">
        <f ca="1">IF(J14&lt;J12,"yes","no")</f>
        <v>#NAME?</v>
      </c>
      <c r="M14" s="283" t="s">
        <v>507</v>
      </c>
      <c r="N14" s="293" t="e">
        <f ca="1">NF_DIST(N13,N6,N5,N10,TRUE)</f>
        <v>#NAME?</v>
      </c>
      <c r="P14" t="e">
        <f ca="1">FTEXT(N14)</f>
        <v>#NAME?</v>
      </c>
    </row>
    <row r="15" spans="1:16">
      <c r="E15" t="s">
        <v>211</v>
      </c>
      <c r="F15">
        <f>F16-F14</f>
        <v>8</v>
      </c>
      <c r="G15" t="e">
        <f ca="1">G16-G14</f>
        <v>#NAME?</v>
      </c>
      <c r="H15" t="e">
        <f ca="1">G15/F15</f>
        <v>#NAME?</v>
      </c>
      <c r="M15" s="283" t="s">
        <v>666</v>
      </c>
      <c r="N15" s="289" t="e">
        <f ca="1">1-N14</f>
        <v>#NAME?</v>
      </c>
      <c r="P15" t="e">
        <f ca="1">FTEXT(N15)</f>
        <v>#NAME?</v>
      </c>
    </row>
    <row r="16" spans="1:16">
      <c r="E16" s="380" t="s">
        <v>1</v>
      </c>
      <c r="F16" s="380">
        <f>F10-1</f>
        <v>10</v>
      </c>
      <c r="G16" s="380">
        <f>DEVSQ(C4:C14)</f>
        <v>1857.6363636363633</v>
      </c>
      <c r="H16" s="380"/>
      <c r="I16" s="380"/>
      <c r="J16" s="380"/>
      <c r="K16" s="380"/>
    </row>
    <row r="17" spans="5:16" ht="15.75" thickBot="1">
      <c r="M17" t="s">
        <v>660</v>
      </c>
      <c r="N17" s="410" t="e">
        <f ca="1">G15</f>
        <v>#NAME?</v>
      </c>
      <c r="P17" t="e">
        <f ca="1">FTEXT(N17)</f>
        <v>#NAME?</v>
      </c>
    </row>
    <row r="18" spans="5:16" ht="15.75" thickTop="1">
      <c r="E18" s="398"/>
      <c r="F18" s="398" t="s">
        <v>600</v>
      </c>
      <c r="G18" s="398" t="s">
        <v>503</v>
      </c>
      <c r="H18" s="398" t="s">
        <v>27</v>
      </c>
      <c r="I18" s="398" t="s">
        <v>30</v>
      </c>
      <c r="J18" s="398" t="s">
        <v>13</v>
      </c>
      <c r="K18" s="398" t="s">
        <v>14</v>
      </c>
      <c r="M18" s="282" t="s">
        <v>441</v>
      </c>
      <c r="N18" s="293" t="e">
        <f ca="1">G14</f>
        <v>#NAME?</v>
      </c>
      <c r="P18" t="e">
        <f ca="1">FTEXT(N18)</f>
        <v>#NAME?</v>
      </c>
    </row>
    <row r="19" spans="5:16">
      <c r="E19" t="s">
        <v>212</v>
      </c>
      <c r="F19" t="e">
        <f t="array" aca="1" ref="F19:G21" ca="1">RegCoeff(A4:B14,C4:C14)</f>
        <v>#NAME?</v>
      </c>
      <c r="G19" t="e">
        <f ca="1"/>
        <v>#NAME?</v>
      </c>
      <c r="H19" t="e">
        <f ca="1">F19/G19</f>
        <v>#NAME?</v>
      </c>
      <c r="I19" t="e">
        <f ca="1">TDIST(ABS(H19),$F$15,2)</f>
        <v>#NAME?</v>
      </c>
      <c r="J19" t="e">
        <f ca="1">F19-TINV(J$12,$F$15)*G19</f>
        <v>#NAME?</v>
      </c>
      <c r="K19" t="e">
        <f ca="1">F19+TINV(J$12,$F$15)*G19</f>
        <v>#NAME?</v>
      </c>
      <c r="M19" t="s">
        <v>687</v>
      </c>
      <c r="N19" s="289" t="e">
        <f ca="1">N18/N17</f>
        <v>#NAME?</v>
      </c>
      <c r="P19" t="e">
        <f ca="1">FTEXT(N19)</f>
        <v>#NAME?</v>
      </c>
    </row>
    <row r="20" spans="5:16">
      <c r="E20" t="str">
        <f t="array" ref="E20:E21">TRANSPOSE(A3:B3)</f>
        <v>Color</v>
      </c>
      <c r="F20" t="e">
        <f ca="1"/>
        <v>#NAME?</v>
      </c>
      <c r="G20" t="e">
        <f ca="1"/>
        <v>#NAME?</v>
      </c>
      <c r="H20" t="e">
        <f ca="1">F20/G20</f>
        <v>#NAME?</v>
      </c>
      <c r="I20" t="e">
        <f ca="1">TDIST(ABS(H20),$F$15,2)</f>
        <v>#NAME?</v>
      </c>
      <c r="J20" t="e">
        <f ca="1">F20-TINV(J$12,$F$15)*G20</f>
        <v>#NAME?</v>
      </c>
      <c r="K20" t="e">
        <f ca="1">F20+TINV(J$12,$F$15)*G20</f>
        <v>#NAME?</v>
      </c>
    </row>
    <row r="21" spans="5:16">
      <c r="E21" s="380" t="str">
        <v>Quality</v>
      </c>
      <c r="F21" s="380" t="e">
        <f ca="1"/>
        <v>#NAME?</v>
      </c>
      <c r="G21" s="380" t="e">
        <f ca="1"/>
        <v>#NAME?</v>
      </c>
      <c r="H21" s="380" t="e">
        <f ca="1">F21/G21</f>
        <v>#NAME?</v>
      </c>
      <c r="I21" s="380" t="e">
        <f ca="1">TDIST(ABS(H21),$F$15,2)</f>
        <v>#NAME?</v>
      </c>
      <c r="J21" s="380" t="e">
        <f ca="1">F21-TINV(J$12,$F$15)*G21</f>
        <v>#NAME?</v>
      </c>
      <c r="K21" s="380" t="e">
        <f ca="1">F21+TINV(J$12,$F$15)*G21</f>
        <v>#NAME?</v>
      </c>
    </row>
  </sheetData>
  <pageMargins left="0.7" right="0.7" top="0.75" bottom="0.75" header="0.3" footer="0.3"/>
  <pageSetup paperSize="9"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391"/>
  <dimension ref="A1:W58"/>
  <sheetViews>
    <sheetView workbookViewId="0"/>
  </sheetViews>
  <sheetFormatPr defaultRowHeight="15"/>
  <cols>
    <col min="1" max="1" width="13.140625" customWidth="1"/>
    <col min="2" max="2" width="8.7109375" customWidth="1"/>
    <col min="3" max="5" width="10.28515625" customWidth="1"/>
    <col min="6" max="6" width="5" customWidth="1"/>
    <col min="7" max="7" width="17.7109375" customWidth="1"/>
    <col min="10" max="12" width="9.28515625" bestFit="1" customWidth="1"/>
    <col min="13" max="13" width="9.28515625" customWidth="1"/>
    <col min="14" max="14" width="6.5703125" customWidth="1"/>
    <col min="17" max="17" width="3" customWidth="1"/>
    <col min="18" max="18" width="28.28515625" customWidth="1"/>
    <col min="20" max="20" width="11.42578125" customWidth="1"/>
    <col min="22" max="22" width="3.140625" customWidth="1"/>
    <col min="25" max="25" width="10.5703125" customWidth="1"/>
  </cols>
  <sheetData>
    <row r="1" spans="1:23">
      <c r="A1" s="1" t="s">
        <v>688</v>
      </c>
      <c r="T1" s="400" t="s">
        <v>695</v>
      </c>
      <c r="V1" s="463"/>
      <c r="W1" s="463"/>
    </row>
    <row r="3" spans="1:23">
      <c r="A3" s="45"/>
      <c r="B3" s="46" t="s">
        <v>66</v>
      </c>
      <c r="C3" s="46" t="s">
        <v>67</v>
      </c>
      <c r="D3" s="46" t="s">
        <v>68</v>
      </c>
      <c r="E3" s="46" t="s">
        <v>69</v>
      </c>
      <c r="G3" t="s">
        <v>601</v>
      </c>
      <c r="O3" t="s">
        <v>15</v>
      </c>
      <c r="P3" s="410">
        <f>COUNT(B4:B53)</f>
        <v>50</v>
      </c>
      <c r="R3" t="e">
        <f ca="1">FTEXT(P3)</f>
        <v>#NAME?</v>
      </c>
      <c r="T3" s="27" t="s">
        <v>63</v>
      </c>
      <c r="U3" s="462" t="e">
        <f ca="1">K14</f>
        <v>#NAME?</v>
      </c>
      <c r="W3" t="e">
        <f t="shared" ref="W3:W9" ca="1" si="0">FTEXT(U3)</f>
        <v>#NAME?</v>
      </c>
    </row>
    <row r="4" spans="1:23">
      <c r="A4" s="44" t="s">
        <v>74</v>
      </c>
      <c r="B4" s="47">
        <v>15.7</v>
      </c>
      <c r="C4" s="48">
        <v>9</v>
      </c>
      <c r="D4" s="49">
        <v>71.027177760140717</v>
      </c>
      <c r="E4" s="50">
        <v>448</v>
      </c>
      <c r="O4" t="s">
        <v>23</v>
      </c>
      <c r="P4" s="293">
        <f>COUNTA(C3:E3)</f>
        <v>3</v>
      </c>
      <c r="R4" t="e">
        <f ca="1">FTEXT(P4)</f>
        <v>#NAME?</v>
      </c>
      <c r="T4" s="282" t="s">
        <v>442</v>
      </c>
      <c r="U4" s="293">
        <f>H14</f>
        <v>3</v>
      </c>
      <c r="W4" t="e">
        <f t="shared" ca="1" si="0"/>
        <v>#NAME?</v>
      </c>
    </row>
    <row r="5" spans="1:23" ht="15.75" thickBot="1">
      <c r="A5" s="44" t="s">
        <v>75</v>
      </c>
      <c r="B5" s="47">
        <v>8.4</v>
      </c>
      <c r="C5" s="48">
        <v>6.9</v>
      </c>
      <c r="D5" s="49">
        <v>70.62318863808899</v>
      </c>
      <c r="E5" s="50">
        <v>661.2</v>
      </c>
      <c r="G5" s="364" t="s">
        <v>606</v>
      </c>
      <c r="H5" s="364"/>
      <c r="O5" t="s">
        <v>671</v>
      </c>
      <c r="P5" s="293">
        <f>P3-P4-1</f>
        <v>46</v>
      </c>
      <c r="R5" t="e">
        <f ca="1">FTEXT(P5)</f>
        <v>#NAME?</v>
      </c>
      <c r="T5" s="283" t="s">
        <v>671</v>
      </c>
      <c r="U5" s="293">
        <f>H15</f>
        <v>46</v>
      </c>
      <c r="W5" t="e">
        <f t="shared" ca="1" si="0"/>
        <v>#NAME?</v>
      </c>
    </row>
    <row r="6" spans="1:23" ht="15.75" thickTop="1">
      <c r="A6" s="44" t="s">
        <v>76</v>
      </c>
      <c r="B6" s="47">
        <v>14.7</v>
      </c>
      <c r="C6" s="48">
        <v>6.4</v>
      </c>
      <c r="D6" s="49">
        <v>86.505696765320337</v>
      </c>
      <c r="E6" s="50">
        <v>482.7</v>
      </c>
      <c r="G6" t="s">
        <v>208</v>
      </c>
      <c r="H6" t="e">
        <f ca="1">SQRT(H7)</f>
        <v>#NAME?</v>
      </c>
      <c r="O6" t="s">
        <v>442</v>
      </c>
      <c r="P6" s="289">
        <f>P4</f>
        <v>3</v>
      </c>
      <c r="R6" t="e">
        <f ca="1">FTEXT(P6)</f>
        <v>#NAME?</v>
      </c>
      <c r="T6" s="283" t="s">
        <v>441</v>
      </c>
      <c r="U6" s="293" t="e">
        <f ca="1">I14</f>
        <v>#NAME?</v>
      </c>
      <c r="W6" t="e">
        <f t="shared" ca="1" si="0"/>
        <v>#NAME?</v>
      </c>
    </row>
    <row r="7" spans="1:23">
      <c r="A7" s="44" t="s">
        <v>77</v>
      </c>
      <c r="B7" s="47">
        <v>17.3</v>
      </c>
      <c r="C7" s="48">
        <v>8.5</v>
      </c>
      <c r="D7" s="49">
        <v>80.783955956979611</v>
      </c>
      <c r="E7" s="50">
        <v>529.4</v>
      </c>
      <c r="G7" t="s">
        <v>201</v>
      </c>
      <c r="H7" t="e">
        <f ca="1">I14/I16</f>
        <v>#NAME?</v>
      </c>
      <c r="T7" s="283" t="s">
        <v>660</v>
      </c>
      <c r="U7" s="293" t="e">
        <f ca="1">I15</f>
        <v>#NAME?</v>
      </c>
      <c r="W7" t="e">
        <f t="shared" ca="1" si="0"/>
        <v>#NAME?</v>
      </c>
    </row>
    <row r="8" spans="1:23">
      <c r="A8" s="44" t="s">
        <v>78</v>
      </c>
      <c r="B8" s="47">
        <v>13.3</v>
      </c>
      <c r="C8" s="48">
        <v>5</v>
      </c>
      <c r="D8" s="49">
        <v>76.640052174481781</v>
      </c>
      <c r="E8" s="50">
        <v>522.6</v>
      </c>
      <c r="G8" t="s">
        <v>209</v>
      </c>
      <c r="H8" t="e">
        <f ca="1">1-(1-H7)*(H10-1)/(H10-H14-1)</f>
        <v>#NAME?</v>
      </c>
      <c r="O8" t="s">
        <v>686</v>
      </c>
      <c r="P8" s="410" t="e">
        <f ca="1">H7</f>
        <v>#NAME?</v>
      </c>
      <c r="R8" t="e">
        <f ca="1">FTEXT(P8)</f>
        <v>#NAME?</v>
      </c>
      <c r="T8" s="283" t="s">
        <v>23</v>
      </c>
      <c r="U8" s="293">
        <f>U4</f>
        <v>3</v>
      </c>
      <c r="W8" t="e">
        <f t="shared" ca="1" si="0"/>
        <v>#NAME?</v>
      </c>
    </row>
    <row r="9" spans="1:23">
      <c r="A9" s="44" t="s">
        <v>79</v>
      </c>
      <c r="B9" s="47">
        <v>11.4</v>
      </c>
      <c r="C9" s="48">
        <v>5.7</v>
      </c>
      <c r="D9" s="49">
        <v>89.734092175332663</v>
      </c>
      <c r="E9" s="50">
        <v>347.8</v>
      </c>
      <c r="G9" t="s">
        <v>9</v>
      </c>
      <c r="H9" t="e">
        <f ca="1">SQRT(J15)</f>
        <v>#NAME?</v>
      </c>
      <c r="O9" t="s">
        <v>687</v>
      </c>
      <c r="P9" s="293" t="e">
        <f ca="1">P8/(1-P8)</f>
        <v>#NAME?</v>
      </c>
      <c r="R9" t="e">
        <f ca="1">FTEXT(P9)</f>
        <v>#NAME?</v>
      </c>
      <c r="T9" t="s">
        <v>15</v>
      </c>
      <c r="U9" s="293">
        <f>U4+U5+1</f>
        <v>50</v>
      </c>
      <c r="W9" t="e">
        <f t="shared" ca="1" si="0"/>
        <v>#NAME?</v>
      </c>
    </row>
    <row r="10" spans="1:23">
      <c r="A10" s="44" t="s">
        <v>80</v>
      </c>
      <c r="B10" s="47">
        <v>9.3000000000000007</v>
      </c>
      <c r="C10" s="48">
        <v>6.2</v>
      </c>
      <c r="D10" s="49">
        <v>84.278652322083644</v>
      </c>
      <c r="E10" s="50">
        <v>256</v>
      </c>
      <c r="G10" s="380" t="s">
        <v>42</v>
      </c>
      <c r="H10" s="380">
        <f>COUNT(B4:B53)</f>
        <v>50</v>
      </c>
      <c r="O10" s="27" t="s">
        <v>502</v>
      </c>
      <c r="P10" s="289" t="e">
        <f ca="1">P9*P3</f>
        <v>#NAME?</v>
      </c>
      <c r="R10" t="e">
        <f ca="1">FTEXT(P10)</f>
        <v>#NAME?</v>
      </c>
      <c r="T10" t="s">
        <v>53</v>
      </c>
      <c r="U10" s="462">
        <v>0.05</v>
      </c>
    </row>
    <row r="11" spans="1:23">
      <c r="A11" s="44" t="s">
        <v>81</v>
      </c>
      <c r="B11" s="56">
        <v>10</v>
      </c>
      <c r="C11" s="48">
        <v>8.3000000000000007</v>
      </c>
      <c r="D11" s="49">
        <v>74.266056727126113</v>
      </c>
      <c r="E11" s="50">
        <v>689.2</v>
      </c>
      <c r="T11" s="453" t="s">
        <v>502</v>
      </c>
      <c r="U11" s="293" t="e">
        <f ca="1">U14*U9/(1-U14)</f>
        <v>#NAME?</v>
      </c>
      <c r="W11" t="e">
        <f t="shared" ref="W11:W16" ca="1" si="1">FTEXT(U11)</f>
        <v>#NAME?</v>
      </c>
    </row>
    <row r="12" spans="1:23" ht="15.75" thickBot="1">
      <c r="A12" s="44" t="s">
        <v>82</v>
      </c>
      <c r="B12" s="47">
        <v>13.2</v>
      </c>
      <c r="C12" s="48">
        <v>7.3</v>
      </c>
      <c r="D12" s="49">
        <v>79.811068541941054</v>
      </c>
      <c r="E12" s="50">
        <v>722.6</v>
      </c>
      <c r="G12" t="s">
        <v>210</v>
      </c>
      <c r="K12" s="458" t="s">
        <v>16</v>
      </c>
      <c r="L12" s="458">
        <v>0.05</v>
      </c>
      <c r="O12" s="27" t="s">
        <v>21</v>
      </c>
      <c r="P12" s="410">
        <v>0.05</v>
      </c>
      <c r="T12" s="453" t="s">
        <v>696</v>
      </c>
      <c r="U12" s="293" t="e">
        <f ca="1">NF_NCP(1-U10/2,U4,U5,U3)</f>
        <v>#NAME?</v>
      </c>
      <c r="W12" t="e">
        <f t="shared" ca="1" si="1"/>
        <v>#NAME?</v>
      </c>
    </row>
    <row r="13" spans="1:23" ht="15.75" thickTop="1">
      <c r="A13" s="44" t="s">
        <v>83</v>
      </c>
      <c r="B13" s="47">
        <v>14.7</v>
      </c>
      <c r="C13" s="48">
        <v>8.1</v>
      </c>
      <c r="D13" s="49">
        <v>65.387718279566343</v>
      </c>
      <c r="E13" s="50">
        <v>493.2</v>
      </c>
      <c r="G13" s="398"/>
      <c r="H13" s="398" t="s">
        <v>26</v>
      </c>
      <c r="I13" s="398" t="s">
        <v>137</v>
      </c>
      <c r="J13" s="398" t="s">
        <v>156</v>
      </c>
      <c r="K13" s="398" t="s">
        <v>63</v>
      </c>
      <c r="L13" s="398" t="s">
        <v>30</v>
      </c>
      <c r="M13" s="398" t="s">
        <v>374</v>
      </c>
      <c r="O13" s="27" t="s">
        <v>162</v>
      </c>
      <c r="P13" s="293">
        <f>FINV(P12,P6,P5)</f>
        <v>2.8068449288062536</v>
      </c>
      <c r="R13" t="e">
        <f ca="1">FTEXT(P13)</f>
        <v>#NAME?</v>
      </c>
      <c r="T13" s="453" t="s">
        <v>697</v>
      </c>
      <c r="U13" s="289" t="e">
        <f ca="1">NF_NCP(U10/2,U4,U5,U3)</f>
        <v>#NAME?</v>
      </c>
      <c r="W13" t="e">
        <f t="shared" ca="1" si="1"/>
        <v>#NAME?</v>
      </c>
    </row>
    <row r="14" spans="1:23">
      <c r="A14" s="44" t="s">
        <v>84</v>
      </c>
      <c r="B14" s="47">
        <v>9.1</v>
      </c>
      <c r="C14" s="48">
        <v>5.6</v>
      </c>
      <c r="D14" s="49">
        <v>29.667333748383395</v>
      </c>
      <c r="E14" s="50">
        <v>272.8</v>
      </c>
      <c r="G14" t="s">
        <v>138</v>
      </c>
      <c r="H14">
        <f>COUNT(C4:E4)</f>
        <v>3</v>
      </c>
      <c r="I14" t="e">
        <f ca="1">DEVSQ(MMULT(DESIGN(C4:E53),H19:H22))</f>
        <v>#NAME?</v>
      </c>
      <c r="J14" t="e">
        <f ca="1">I14/H14</f>
        <v>#NAME?</v>
      </c>
      <c r="K14" t="e">
        <f ca="1">J14/J15</f>
        <v>#NAME?</v>
      </c>
      <c r="L14" t="e">
        <f ca="1">FDIST(K14,H14,H15)</f>
        <v>#NAME?</v>
      </c>
      <c r="M14" s="458" t="e">
        <f ca="1">IF(L14&lt;L12,"yes","no")</f>
        <v>#NAME?</v>
      </c>
      <c r="O14" s="283" t="s">
        <v>507</v>
      </c>
      <c r="P14" s="293" t="e">
        <f ca="1">NF_DIST(P13,P6,P5,P10,TRUE)</f>
        <v>#NAME?</v>
      </c>
      <c r="R14" t="e">
        <f ca="1">FTEXT(P14)</f>
        <v>#NAME?</v>
      </c>
      <c r="T14" s="453" t="s">
        <v>699</v>
      </c>
      <c r="U14" s="462" t="e">
        <f ca="1">H7</f>
        <v>#NAME?</v>
      </c>
      <c r="W14" t="e">
        <f t="shared" ca="1" si="1"/>
        <v>#NAME?</v>
      </c>
    </row>
    <row r="15" spans="1:23">
      <c r="A15" s="44" t="s">
        <v>85</v>
      </c>
      <c r="B15" s="47">
        <v>12.6</v>
      </c>
      <c r="C15" s="48">
        <v>6.8</v>
      </c>
      <c r="D15" s="49">
        <v>94.600660447193093</v>
      </c>
      <c r="E15" s="50">
        <v>239.4</v>
      </c>
      <c r="G15" t="s">
        <v>211</v>
      </c>
      <c r="H15">
        <f>H16-H14</f>
        <v>46</v>
      </c>
      <c r="I15" t="e">
        <f ca="1">I16-I14</f>
        <v>#NAME?</v>
      </c>
      <c r="J15" t="e">
        <f ca="1">I15/H15</f>
        <v>#NAME?</v>
      </c>
      <c r="O15" s="283" t="s">
        <v>666</v>
      </c>
      <c r="P15" s="289" t="e">
        <f ca="1">1-P14</f>
        <v>#NAME?</v>
      </c>
      <c r="R15" t="e">
        <f ca="1">FTEXT(P15)</f>
        <v>#NAME?</v>
      </c>
      <c r="T15" s="453" t="s">
        <v>700</v>
      </c>
      <c r="U15" s="293" t="e">
        <f ca="1">U12/(U9+U12)</f>
        <v>#NAME?</v>
      </c>
      <c r="W15" t="e">
        <f t="shared" ca="1" si="1"/>
        <v>#NAME?</v>
      </c>
    </row>
    <row r="16" spans="1:23">
      <c r="A16" s="44" t="s">
        <v>86</v>
      </c>
      <c r="B16" s="47">
        <v>12.2</v>
      </c>
      <c r="C16" s="48">
        <v>7.3</v>
      </c>
      <c r="D16" s="49">
        <v>79.13310968601246</v>
      </c>
      <c r="E16" s="50">
        <v>533.20000000000005</v>
      </c>
      <c r="G16" s="380" t="s">
        <v>1</v>
      </c>
      <c r="H16" s="380">
        <f>H10-1</f>
        <v>49</v>
      </c>
      <c r="I16" s="380">
        <f>DEVSQ(B4:B53)</f>
        <v>423.24879999999996</v>
      </c>
      <c r="J16" s="380"/>
      <c r="K16" s="380"/>
      <c r="L16" s="380"/>
      <c r="M16" s="380"/>
      <c r="T16" s="453" t="s">
        <v>701</v>
      </c>
      <c r="U16" s="289" t="e">
        <f ca="1">U13/(U9+U13)</f>
        <v>#NAME?</v>
      </c>
      <c r="W16" t="e">
        <f t="shared" ca="1" si="1"/>
        <v>#NAME?</v>
      </c>
    </row>
    <row r="17" spans="1:23" ht="15.75" thickBot="1">
      <c r="A17" s="44" t="s">
        <v>87</v>
      </c>
      <c r="B17" s="47">
        <v>13.1</v>
      </c>
      <c r="C17" s="48">
        <v>8</v>
      </c>
      <c r="D17" s="49">
        <v>88.000000627274659</v>
      </c>
      <c r="E17" s="50">
        <v>333.6</v>
      </c>
      <c r="O17" t="s">
        <v>660</v>
      </c>
      <c r="P17" s="410" t="e">
        <f ca="1">I15</f>
        <v>#NAME?</v>
      </c>
      <c r="R17" t="e">
        <f ca="1">FTEXT(P17)</f>
        <v>#NAME?</v>
      </c>
      <c r="T17" s="453" t="s">
        <v>21</v>
      </c>
      <c r="U17" s="462">
        <v>0.05</v>
      </c>
    </row>
    <row r="18" spans="1:23" ht="15.75" thickTop="1">
      <c r="A18" s="44" t="s">
        <v>88</v>
      </c>
      <c r="B18" s="47">
        <v>11.5</v>
      </c>
      <c r="C18" s="48">
        <v>5.0999999999999996</v>
      </c>
      <c r="D18" s="49">
        <v>94.170464820794294</v>
      </c>
      <c r="E18" s="50">
        <v>294.7</v>
      </c>
      <c r="G18" s="398"/>
      <c r="H18" s="398" t="s">
        <v>600</v>
      </c>
      <c r="I18" s="398" t="s">
        <v>503</v>
      </c>
      <c r="J18" s="398" t="s">
        <v>27</v>
      </c>
      <c r="K18" s="398" t="s">
        <v>30</v>
      </c>
      <c r="L18" s="398" t="s">
        <v>13</v>
      </c>
      <c r="M18" s="398" t="s">
        <v>14</v>
      </c>
      <c r="O18" s="282" t="s">
        <v>441</v>
      </c>
      <c r="P18" s="293" t="e">
        <f ca="1">I14</f>
        <v>#NAME?</v>
      </c>
      <c r="R18" t="e">
        <f ca="1">FTEXT(P18)</f>
        <v>#NAME?</v>
      </c>
      <c r="T18" t="s">
        <v>668</v>
      </c>
      <c r="U18" s="293" t="e">
        <f ca="1">REG_POWER(U14,U9,U8,2,U17)</f>
        <v>#NAME?</v>
      </c>
      <c r="W18" t="e">
        <f ca="1">FTEXT(U18)</f>
        <v>#NAME?</v>
      </c>
    </row>
    <row r="19" spans="1:23">
      <c r="A19" s="44" t="s">
        <v>89</v>
      </c>
      <c r="B19" s="47">
        <v>11.3</v>
      </c>
      <c r="C19" s="48">
        <v>7.1</v>
      </c>
      <c r="D19" s="49">
        <v>88.703716524620162</v>
      </c>
      <c r="E19" s="50">
        <v>452.7</v>
      </c>
      <c r="G19" t="s">
        <v>212</v>
      </c>
      <c r="H19" t="e">
        <f t="array" aca="1" ref="H19:I22" ca="1">RegCoeff(C4:E53,B4:B53)</f>
        <v>#NAME?</v>
      </c>
      <c r="I19" t="e">
        <f ca="1"/>
        <v>#NAME?</v>
      </c>
      <c r="J19" t="e">
        <f ca="1">H19/I19</f>
        <v>#NAME?</v>
      </c>
      <c r="K19" t="e">
        <f ca="1">TDIST(ABS(J19),$H$15,2)</f>
        <v>#NAME?</v>
      </c>
      <c r="L19" t="e">
        <f ca="1">H19-TINV(L$12,$H$15)*I19</f>
        <v>#NAME?</v>
      </c>
      <c r="M19" t="e">
        <f ca="1">H19+TINV(L$12,$H$15)*I19</f>
        <v>#NAME?</v>
      </c>
      <c r="O19" t="s">
        <v>687</v>
      </c>
      <c r="P19" s="289" t="e">
        <f ca="1">P18/P17</f>
        <v>#NAME?</v>
      </c>
      <c r="R19" t="e">
        <f ca="1">FTEXT(P19)</f>
        <v>#NAME?</v>
      </c>
      <c r="T19" t="s">
        <v>693</v>
      </c>
      <c r="U19" s="293" t="e">
        <f ca="1">REG_POWER(U15,U9,U8,2,U17)</f>
        <v>#NAME?</v>
      </c>
      <c r="W19" t="e">
        <f ca="1">FTEXT(U19)</f>
        <v>#NAME?</v>
      </c>
    </row>
    <row r="20" spans="1:23">
      <c r="A20" s="44" t="s">
        <v>90</v>
      </c>
      <c r="B20" s="47">
        <v>17.3</v>
      </c>
      <c r="C20" s="48">
        <v>7.5</v>
      </c>
      <c r="D20" s="49">
        <v>89.904327345935869</v>
      </c>
      <c r="E20" s="50">
        <v>295</v>
      </c>
      <c r="G20" t="str">
        <f t="array" ref="G20:G22">TRANSPOSE(C3:E3)</f>
        <v>Infant Mort</v>
      </c>
      <c r="H20" t="e">
        <f ca="1"/>
        <v>#NAME?</v>
      </c>
      <c r="I20" t="e">
        <f ca="1"/>
        <v>#NAME?</v>
      </c>
      <c r="J20" t="e">
        <f ca="1">H20/I20</f>
        <v>#NAME?</v>
      </c>
      <c r="K20" t="e">
        <f ca="1">TDIST(ABS(J20),$H$15,2)</f>
        <v>#NAME?</v>
      </c>
      <c r="L20" t="e">
        <f ca="1">H20-TINV(L$12,$H$15)*I20</f>
        <v>#NAME?</v>
      </c>
      <c r="M20" t="e">
        <f ca="1">H20+TINV(L$12,$H$15)*I20</f>
        <v>#NAME?</v>
      </c>
      <c r="T20" t="s">
        <v>694</v>
      </c>
      <c r="U20" s="289" t="e">
        <f ca="1">REG_POWER(U16,U9,U8,2,U17)</f>
        <v>#NAME?</v>
      </c>
      <c r="W20" t="e">
        <f ca="1">FTEXT(U20)</f>
        <v>#NAME?</v>
      </c>
    </row>
    <row r="21" spans="1:23">
      <c r="A21" s="44" t="s">
        <v>91</v>
      </c>
      <c r="B21" s="47">
        <v>17.3</v>
      </c>
      <c r="C21" s="48">
        <v>9.9</v>
      </c>
      <c r="D21" s="49">
        <v>64.839543701408999</v>
      </c>
      <c r="E21" s="50">
        <v>729.5</v>
      </c>
      <c r="G21" t="str">
        <v>White</v>
      </c>
      <c r="H21" t="e">
        <f ca="1"/>
        <v>#NAME?</v>
      </c>
      <c r="I21" t="e">
        <f ca="1"/>
        <v>#NAME?</v>
      </c>
      <c r="J21" t="e">
        <f ca="1">H21/I21</f>
        <v>#NAME?</v>
      </c>
      <c r="K21" t="e">
        <f ca="1">TDIST(ABS(J21),$H$15,2)</f>
        <v>#NAME?</v>
      </c>
      <c r="L21" t="e">
        <f ca="1">H21-TINV(L$12,$H$15)*I21</f>
        <v>#NAME?</v>
      </c>
      <c r="M21" t="e">
        <f ca="1">H21+TINV(L$12,$H$15)*I21</f>
        <v>#NAME?</v>
      </c>
    </row>
    <row r="22" spans="1:23">
      <c r="A22" s="44" t="s">
        <v>92</v>
      </c>
      <c r="B22" s="47">
        <v>12.3</v>
      </c>
      <c r="C22" s="48">
        <v>6.3</v>
      </c>
      <c r="D22" s="49">
        <v>96.389852756187835</v>
      </c>
      <c r="E22" s="50">
        <v>118</v>
      </c>
      <c r="G22" s="380" t="str">
        <v>Crime</v>
      </c>
      <c r="H22" s="380" t="e">
        <f ca="1"/>
        <v>#NAME?</v>
      </c>
      <c r="I22" s="380" t="e">
        <f ca="1"/>
        <v>#NAME?</v>
      </c>
      <c r="J22" s="380" t="e">
        <f ca="1">H22/I22</f>
        <v>#NAME?</v>
      </c>
      <c r="K22" s="380" t="e">
        <f ca="1">TDIST(ABS(J22),$H$15,2)</f>
        <v>#NAME?</v>
      </c>
      <c r="L22" s="380" t="e">
        <f ca="1">H22-TINV(L$12,$H$15)*I22</f>
        <v>#NAME?</v>
      </c>
      <c r="M22" s="380" t="e">
        <f ca="1">H22+TINV(L$12,$H$15)*I22</f>
        <v>#NAME?</v>
      </c>
    </row>
    <row r="23" spans="1:23">
      <c r="A23" s="44" t="s">
        <v>93</v>
      </c>
      <c r="B23" s="47">
        <v>8.1</v>
      </c>
      <c r="C23" s="48">
        <v>8</v>
      </c>
      <c r="D23" s="49">
        <v>63.398020838196281</v>
      </c>
      <c r="E23" s="50">
        <v>641.9</v>
      </c>
    </row>
    <row r="24" spans="1:23">
      <c r="A24" s="44" t="s">
        <v>94</v>
      </c>
      <c r="B24" s="56">
        <v>10</v>
      </c>
      <c r="C24" s="48">
        <v>4.8</v>
      </c>
      <c r="D24" s="49">
        <v>86.203669547721617</v>
      </c>
      <c r="E24" s="50">
        <v>431.5</v>
      </c>
    </row>
    <row r="25" spans="1:23">
      <c r="A25" s="44" t="s">
        <v>95</v>
      </c>
      <c r="B25" s="47">
        <v>14.4</v>
      </c>
      <c r="C25" s="48">
        <v>7.4</v>
      </c>
      <c r="D25" s="49">
        <v>81.183409037427396</v>
      </c>
      <c r="E25" s="50">
        <v>536</v>
      </c>
    </row>
    <row r="26" spans="1:23">
      <c r="A26" s="44" t="s">
        <v>96</v>
      </c>
      <c r="B26" s="47">
        <v>9.6</v>
      </c>
      <c r="C26" s="48">
        <v>5.2</v>
      </c>
      <c r="D26" s="49">
        <v>89.045556531854984</v>
      </c>
      <c r="E26" s="50">
        <v>288.7</v>
      </c>
    </row>
    <row r="27" spans="1:23">
      <c r="A27" s="44" t="s">
        <v>97</v>
      </c>
      <c r="B27" s="47">
        <v>21.2</v>
      </c>
      <c r="C27" s="48">
        <v>10.6</v>
      </c>
      <c r="D27" s="49">
        <v>60.598179144073846</v>
      </c>
      <c r="E27" s="50">
        <v>291.3</v>
      </c>
    </row>
    <row r="28" spans="1:23">
      <c r="A28" s="44" t="s">
        <v>98</v>
      </c>
      <c r="B28" s="47">
        <v>13.4</v>
      </c>
      <c r="C28" s="48">
        <v>7.4</v>
      </c>
      <c r="D28" s="49">
        <v>85.028888093842554</v>
      </c>
      <c r="E28" s="50">
        <v>504.9</v>
      </c>
    </row>
    <row r="29" spans="1:23">
      <c r="A29" s="44" t="s">
        <v>99</v>
      </c>
      <c r="B29" s="47">
        <v>14.8</v>
      </c>
      <c r="C29" s="48">
        <v>5.8</v>
      </c>
      <c r="D29" s="49">
        <v>90.467729264863962</v>
      </c>
      <c r="E29" s="50">
        <v>287.5</v>
      </c>
    </row>
    <row r="30" spans="1:23">
      <c r="A30" s="44" t="s">
        <v>100</v>
      </c>
      <c r="B30" s="47">
        <v>10.8</v>
      </c>
      <c r="C30" s="48">
        <v>5.6</v>
      </c>
      <c r="D30" s="49">
        <v>91.372477335833381</v>
      </c>
      <c r="E30" s="50">
        <v>302.39999999999998</v>
      </c>
    </row>
    <row r="31" spans="1:23">
      <c r="A31" s="44" t="s">
        <v>101</v>
      </c>
      <c r="B31" s="47">
        <v>11.3</v>
      </c>
      <c r="C31" s="48">
        <v>6.4</v>
      </c>
      <c r="D31" s="49">
        <v>80.891227371165002</v>
      </c>
      <c r="E31" s="50">
        <v>750.6</v>
      </c>
    </row>
    <row r="32" spans="1:23">
      <c r="A32" s="44" t="s">
        <v>102</v>
      </c>
      <c r="B32" s="47">
        <v>7.6</v>
      </c>
      <c r="C32" s="48">
        <v>6.1</v>
      </c>
      <c r="D32" s="49">
        <v>95.487186970145373</v>
      </c>
      <c r="E32" s="50">
        <v>137.30000000000001</v>
      </c>
    </row>
    <row r="33" spans="1:5">
      <c r="A33" s="44" t="s">
        <v>103</v>
      </c>
      <c r="B33" s="47">
        <v>8.6999999999999993</v>
      </c>
      <c r="C33" s="48">
        <v>5.5</v>
      </c>
      <c r="D33" s="49">
        <v>76.032117342828414</v>
      </c>
      <c r="E33" s="50">
        <v>329.3</v>
      </c>
    </row>
    <row r="34" spans="1:5">
      <c r="A34" s="44" t="s">
        <v>104</v>
      </c>
      <c r="B34" s="47">
        <v>17.100000000000001</v>
      </c>
      <c r="C34" s="48">
        <v>5.8</v>
      </c>
      <c r="D34" s="49">
        <v>83.996520785584835</v>
      </c>
      <c r="E34" s="50">
        <v>664.2</v>
      </c>
    </row>
    <row r="35" spans="1:5">
      <c r="A35" s="44" t="s">
        <v>105</v>
      </c>
      <c r="B35" s="47">
        <v>13.6</v>
      </c>
      <c r="C35" s="48">
        <v>5.6</v>
      </c>
      <c r="D35" s="49">
        <v>73.422529169257928</v>
      </c>
      <c r="E35" s="50">
        <v>414.1</v>
      </c>
    </row>
    <row r="36" spans="1:5">
      <c r="A36" s="44" t="s">
        <v>106</v>
      </c>
      <c r="B36" s="47">
        <v>14.6</v>
      </c>
      <c r="C36" s="48">
        <v>8.1</v>
      </c>
      <c r="D36" s="49">
        <v>73.937344387272134</v>
      </c>
      <c r="E36" s="50">
        <v>466.4</v>
      </c>
    </row>
    <row r="37" spans="1:5">
      <c r="A37" s="44" t="s">
        <v>107</v>
      </c>
      <c r="B37" s="57">
        <v>12</v>
      </c>
      <c r="C37" s="48">
        <v>5.8</v>
      </c>
      <c r="D37" s="49">
        <v>91.393509706444945</v>
      </c>
      <c r="E37" s="50">
        <v>142.4</v>
      </c>
    </row>
    <row r="38" spans="1:5">
      <c r="A38" s="44" t="s">
        <v>108</v>
      </c>
      <c r="B38" s="47">
        <v>13.4</v>
      </c>
      <c r="C38" s="48">
        <v>7.8</v>
      </c>
      <c r="D38" s="49">
        <v>84.764237226305966</v>
      </c>
      <c r="E38" s="50">
        <v>343.2</v>
      </c>
    </row>
    <row r="39" spans="1:5">
      <c r="A39" s="44" t="s">
        <v>109</v>
      </c>
      <c r="B39" s="47">
        <v>15.9</v>
      </c>
      <c r="C39" s="48">
        <v>8</v>
      </c>
      <c r="D39" s="49">
        <v>78.141238608693655</v>
      </c>
      <c r="E39" s="50">
        <v>499.6</v>
      </c>
    </row>
    <row r="40" spans="1:5">
      <c r="A40" s="44" t="s">
        <v>110</v>
      </c>
      <c r="B40" s="47">
        <v>13.6</v>
      </c>
      <c r="C40" s="48">
        <v>5.5</v>
      </c>
      <c r="D40" s="49">
        <v>90.140446325387984</v>
      </c>
      <c r="E40" s="50">
        <v>287.60000000000002</v>
      </c>
    </row>
    <row r="41" spans="1:5">
      <c r="A41" s="44" t="s">
        <v>111</v>
      </c>
      <c r="B41" s="47">
        <v>12.1</v>
      </c>
      <c r="C41" s="48">
        <v>7.6</v>
      </c>
      <c r="D41" s="49">
        <v>85.424563507935517</v>
      </c>
      <c r="E41" s="50">
        <v>416.5</v>
      </c>
    </row>
    <row r="42" spans="1:5">
      <c r="A42" s="44" t="s">
        <v>112</v>
      </c>
      <c r="B42" s="47">
        <v>11.7</v>
      </c>
      <c r="C42" s="48">
        <v>6.1</v>
      </c>
      <c r="D42" s="49">
        <v>88.483880668602993</v>
      </c>
      <c r="E42" s="50">
        <v>227.3</v>
      </c>
    </row>
    <row r="43" spans="1:5">
      <c r="A43" s="44" t="s">
        <v>113</v>
      </c>
      <c r="B43" s="47">
        <v>15.7</v>
      </c>
      <c r="C43" s="48">
        <v>8.4</v>
      </c>
      <c r="D43" s="49">
        <v>68.748136077503446</v>
      </c>
      <c r="E43" s="50">
        <v>788.3</v>
      </c>
    </row>
    <row r="44" spans="1:5">
      <c r="A44" s="44" t="s">
        <v>114</v>
      </c>
      <c r="B44" s="47">
        <v>12.5</v>
      </c>
      <c r="C44" s="48">
        <v>6.9</v>
      </c>
      <c r="D44" s="49">
        <v>88.189790025789804</v>
      </c>
      <c r="E44" s="50">
        <v>169.2</v>
      </c>
    </row>
    <row r="45" spans="1:5">
      <c r="A45" s="44" t="s">
        <v>115</v>
      </c>
      <c r="B45" s="47">
        <v>15.5</v>
      </c>
      <c r="C45" s="48">
        <v>8.6999999999999993</v>
      </c>
      <c r="D45" s="49">
        <v>80.371971305033981</v>
      </c>
      <c r="E45" s="50">
        <v>753.3</v>
      </c>
    </row>
    <row r="46" spans="1:5">
      <c r="A46" s="44" t="s">
        <v>116</v>
      </c>
      <c r="B46" s="47">
        <v>15.8</v>
      </c>
      <c r="C46" s="48">
        <v>6.2</v>
      </c>
      <c r="D46" s="49">
        <v>82.402677784750395</v>
      </c>
      <c r="E46" s="50">
        <v>510.6</v>
      </c>
    </row>
    <row r="47" spans="1:5">
      <c r="A47" s="44" t="s">
        <v>117</v>
      </c>
      <c r="B47" s="47">
        <v>9.6</v>
      </c>
      <c r="C47" s="48">
        <v>5.0999999999999996</v>
      </c>
      <c r="D47" s="49">
        <v>92.915461931338129</v>
      </c>
      <c r="E47" s="50">
        <v>234.8</v>
      </c>
    </row>
    <row r="48" spans="1:5">
      <c r="A48" s="44" t="s">
        <v>118</v>
      </c>
      <c r="B48" s="47">
        <v>10.6</v>
      </c>
      <c r="C48" s="48">
        <v>5.5</v>
      </c>
      <c r="D48" s="49">
        <v>96.408807764739961</v>
      </c>
      <c r="E48" s="50">
        <v>124.3</v>
      </c>
    </row>
    <row r="49" spans="1:5">
      <c r="A49" s="44" t="s">
        <v>119</v>
      </c>
      <c r="B49" s="47">
        <v>10.199999999999999</v>
      </c>
      <c r="C49" s="48">
        <v>7.1</v>
      </c>
      <c r="D49" s="49">
        <v>73.031896017666924</v>
      </c>
      <c r="E49" s="50">
        <v>269.7</v>
      </c>
    </row>
    <row r="50" spans="1:5">
      <c r="A50" s="44" t="s">
        <v>120</v>
      </c>
      <c r="B50" s="47">
        <v>11.3</v>
      </c>
      <c r="C50" s="48">
        <v>4.7</v>
      </c>
      <c r="D50" s="49">
        <v>84.290902250404002</v>
      </c>
      <c r="E50" s="50">
        <v>333.1</v>
      </c>
    </row>
    <row r="51" spans="1:5">
      <c r="A51" s="44" t="s">
        <v>121</v>
      </c>
      <c r="B51" s="57">
        <v>17</v>
      </c>
      <c r="C51" s="48">
        <v>7.4</v>
      </c>
      <c r="D51" s="49">
        <v>94.524786328554711</v>
      </c>
      <c r="E51" s="50">
        <v>275.2</v>
      </c>
    </row>
    <row r="52" spans="1:5">
      <c r="A52" s="44" t="s">
        <v>122</v>
      </c>
      <c r="B52" s="47">
        <v>10.4</v>
      </c>
      <c r="C52" s="48">
        <v>6.4</v>
      </c>
      <c r="D52" s="49">
        <v>89.673695670212709</v>
      </c>
      <c r="E52" s="50">
        <v>290.89999999999998</v>
      </c>
    </row>
    <row r="53" spans="1:5">
      <c r="A53" s="58" t="s">
        <v>123</v>
      </c>
      <c r="B53" s="59">
        <v>9.4</v>
      </c>
      <c r="C53" s="60">
        <v>7</v>
      </c>
      <c r="D53" s="61">
        <v>93.867286940458214</v>
      </c>
      <c r="E53" s="62">
        <v>239.3</v>
      </c>
    </row>
    <row r="54" spans="1:5">
      <c r="A54" s="44"/>
      <c r="B54" s="44"/>
      <c r="C54" s="44"/>
      <c r="D54" s="44"/>
      <c r="E54" s="44"/>
    </row>
    <row r="55" spans="1:5">
      <c r="A55" s="44" t="s">
        <v>124</v>
      </c>
      <c r="B55" s="44"/>
      <c r="C55" s="44"/>
      <c r="D55" s="44"/>
      <c r="E55" s="44"/>
    </row>
    <row r="56" spans="1:5">
      <c r="A56" s="44" t="s">
        <v>125</v>
      </c>
      <c r="B56" s="44"/>
      <c r="C56" s="44"/>
      <c r="D56" s="44"/>
      <c r="E56" s="44"/>
    </row>
    <row r="57" spans="1:5">
      <c r="A57" s="44" t="s">
        <v>126</v>
      </c>
      <c r="B57" s="44"/>
      <c r="C57" s="44"/>
      <c r="D57" s="44"/>
      <c r="E57" s="44"/>
    </row>
    <row r="58" spans="1:5">
      <c r="A58" s="44" t="s">
        <v>127</v>
      </c>
      <c r="B58" s="44"/>
      <c r="C58" s="44"/>
      <c r="D58" s="44"/>
      <c r="E58" s="44"/>
    </row>
  </sheetData>
  <pageMargins left="0.7" right="0.7" top="0.75" bottom="0.75" header="0.3" footer="0.3"/>
  <ignoredErrors>
    <ignoredError sqref="H14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392"/>
  <dimension ref="A1:J18"/>
  <sheetViews>
    <sheetView workbookViewId="0"/>
  </sheetViews>
  <sheetFormatPr defaultRowHeight="15"/>
  <cols>
    <col min="3" max="3" width="3.5703125" customWidth="1"/>
    <col min="4" max="4" width="28.140625" customWidth="1"/>
    <col min="7" max="7" width="11" customWidth="1"/>
    <col min="9" max="9" width="3.5703125" customWidth="1"/>
    <col min="10" max="10" width="33" customWidth="1"/>
  </cols>
  <sheetData>
    <row r="1" spans="1:10">
      <c r="A1" s="1" t="s">
        <v>690</v>
      </c>
    </row>
    <row r="3" spans="1:10">
      <c r="A3" t="s">
        <v>15</v>
      </c>
      <c r="B3" s="410">
        <v>100</v>
      </c>
      <c r="D3" t="e">
        <f ca="1">FTEXT(B3)</f>
        <v>#NAME?</v>
      </c>
      <c r="G3" s="27" t="s">
        <v>21</v>
      </c>
      <c r="H3" s="410">
        <v>0.05</v>
      </c>
    </row>
    <row r="4" spans="1:10">
      <c r="A4" t="s">
        <v>23</v>
      </c>
      <c r="B4" s="293">
        <v>10</v>
      </c>
      <c r="D4" t="e">
        <f ca="1">FTEXT(B4)</f>
        <v>#NAME?</v>
      </c>
      <c r="G4" t="s">
        <v>23</v>
      </c>
      <c r="H4" s="293">
        <v>8</v>
      </c>
    </row>
    <row r="5" spans="1:10">
      <c r="A5" t="s">
        <v>671</v>
      </c>
      <c r="B5" s="293">
        <f>B3-B4-1</f>
        <v>89</v>
      </c>
      <c r="D5" t="e">
        <f ca="1">FTEXT(B5)</f>
        <v>#NAME?</v>
      </c>
      <c r="G5" t="s">
        <v>686</v>
      </c>
      <c r="H5" s="293">
        <v>0.2</v>
      </c>
    </row>
    <row r="6" spans="1:10">
      <c r="A6" t="s">
        <v>442</v>
      </c>
      <c r="B6" s="289">
        <f>B4</f>
        <v>10</v>
      </c>
      <c r="D6" t="e">
        <f ca="1">FTEXT(B6)</f>
        <v>#NAME?</v>
      </c>
      <c r="G6" s="283" t="s">
        <v>666</v>
      </c>
      <c r="H6" s="289">
        <v>0.9</v>
      </c>
    </row>
    <row r="8" spans="1:10">
      <c r="A8" t="s">
        <v>686</v>
      </c>
      <c r="B8" s="410">
        <v>0.15</v>
      </c>
      <c r="G8" t="s">
        <v>15</v>
      </c>
      <c r="H8" s="410" t="e">
        <f ca="1">REG_SIZE(H5,H4,H6,2,H3)</f>
        <v>#NAME?</v>
      </c>
      <c r="J8" t="e">
        <f t="shared" ref="J8:J14" ca="1" si="0">FTEXT(H8)</f>
        <v>#NAME?</v>
      </c>
    </row>
    <row r="9" spans="1:10">
      <c r="A9" t="s">
        <v>687</v>
      </c>
      <c r="B9" s="293">
        <f>B8/(1-B8)</f>
        <v>0.17647058823529413</v>
      </c>
      <c r="D9" t="e">
        <f ca="1">FTEXT(B9)</f>
        <v>#NAME?</v>
      </c>
      <c r="G9" t="s">
        <v>687</v>
      </c>
      <c r="H9" s="293">
        <f>H5/(1-H5)</f>
        <v>0.25</v>
      </c>
      <c r="J9" t="e">
        <f t="shared" ca="1" si="0"/>
        <v>#NAME?</v>
      </c>
    </row>
    <row r="10" spans="1:10">
      <c r="A10" s="27" t="s">
        <v>502</v>
      </c>
      <c r="B10" s="289">
        <f>B9*B3</f>
        <v>17.647058823529413</v>
      </c>
      <c r="D10" t="e">
        <f ca="1">FTEXT(B10)</f>
        <v>#NAME?</v>
      </c>
      <c r="G10" s="27" t="s">
        <v>502</v>
      </c>
      <c r="H10" s="293" t="e">
        <f ca="1">H9*H8</f>
        <v>#NAME?</v>
      </c>
      <c r="J10" t="e">
        <f t="shared" ca="1" si="0"/>
        <v>#NAME?</v>
      </c>
    </row>
    <row r="11" spans="1:10">
      <c r="G11" t="s">
        <v>671</v>
      </c>
      <c r="H11" s="293" t="e">
        <f ca="1">H8-H4-1</f>
        <v>#NAME?</v>
      </c>
      <c r="J11" t="e">
        <f t="shared" ca="1" si="0"/>
        <v>#NAME?</v>
      </c>
    </row>
    <row r="12" spans="1:10">
      <c r="A12" s="27" t="s">
        <v>21</v>
      </c>
      <c r="B12" s="410">
        <v>0.05</v>
      </c>
      <c r="G12" t="s">
        <v>442</v>
      </c>
      <c r="H12" s="293">
        <f>H4</f>
        <v>8</v>
      </c>
      <c r="J12" t="e">
        <f t="shared" ca="1" si="0"/>
        <v>#NAME?</v>
      </c>
    </row>
    <row r="13" spans="1:10">
      <c r="A13" s="27" t="s">
        <v>162</v>
      </c>
      <c r="B13" s="293">
        <f>FINV(B12,B6,B5)</f>
        <v>1.938791309452103</v>
      </c>
      <c r="D13" t="e">
        <f ca="1">FTEXT(B13)</f>
        <v>#NAME?</v>
      </c>
      <c r="G13" s="27" t="s">
        <v>162</v>
      </c>
      <c r="H13" s="293" t="e">
        <f ca="1">FINV(H3,H12,H11)</f>
        <v>#NAME?</v>
      </c>
      <c r="J13" t="e">
        <f t="shared" ca="1" si="0"/>
        <v>#NAME?</v>
      </c>
    </row>
    <row r="14" spans="1:10">
      <c r="A14" s="283" t="s">
        <v>507</v>
      </c>
      <c r="B14" s="293" t="e">
        <f ca="1">NF_DIST(B13,B6,B5,B10,TRUE)</f>
        <v>#NAME?</v>
      </c>
      <c r="D14" t="e">
        <f ca="1">FTEXT(B14)</f>
        <v>#NAME?</v>
      </c>
      <c r="G14" s="283" t="s">
        <v>691</v>
      </c>
      <c r="H14" s="289" t="e">
        <f ca="1">1-NF_DIST(H13,H12,H11,H10,TRUE)</f>
        <v>#NAME?</v>
      </c>
      <c r="J14" t="e">
        <f t="shared" ca="1" si="0"/>
        <v>#NAME?</v>
      </c>
    </row>
    <row r="15" spans="1:10">
      <c r="A15" s="283" t="s">
        <v>666</v>
      </c>
      <c r="B15" s="289" t="e">
        <f ca="1">1-B14</f>
        <v>#NAME?</v>
      </c>
      <c r="D15" t="e">
        <f ca="1">FTEXT(B15)</f>
        <v>#NAME?</v>
      </c>
    </row>
    <row r="18" spans="1:4">
      <c r="A18" s="283" t="s">
        <v>666</v>
      </c>
      <c r="B18" s="303" t="e">
        <f ca="1">REG_POWER(B8,B3,B4,2,B12)</f>
        <v>#NAME?</v>
      </c>
      <c r="D18" t="e">
        <f ca="1">FTEXT(B18)</f>
        <v>#NAME?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96"/>
  <dimension ref="A1:V43"/>
  <sheetViews>
    <sheetView zoomScaleNormal="100" workbookViewId="0"/>
  </sheetViews>
  <sheetFormatPr defaultColWidth="9.140625" defaultRowHeight="15"/>
  <cols>
    <col min="1" max="1" width="9.140625" style="14"/>
    <col min="2" max="7" width="7.140625" style="14" customWidth="1"/>
    <col min="8" max="8" width="13.5703125" style="14" customWidth="1"/>
    <col min="9" max="12" width="9.140625" style="14"/>
    <col min="13" max="13" width="17.28515625" style="14" customWidth="1"/>
    <col min="14" max="14" width="11.85546875" style="14" customWidth="1"/>
    <col min="15" max="15" width="14.28515625" style="14" customWidth="1"/>
    <col min="16" max="19" width="11.85546875" style="14" customWidth="1"/>
    <col min="20" max="20" width="9.140625" style="14"/>
    <col min="21" max="21" width="12.85546875" style="14" customWidth="1"/>
    <col min="22" max="16384" width="9.140625" style="14"/>
  </cols>
  <sheetData>
    <row r="1" spans="1:18">
      <c r="A1" s="1" t="s">
        <v>338</v>
      </c>
    </row>
    <row r="2" spans="1:18">
      <c r="I2" s="318" t="s">
        <v>341</v>
      </c>
      <c r="J2" s="318" t="s">
        <v>342</v>
      </c>
      <c r="K2" s="318" t="s">
        <v>344</v>
      </c>
      <c r="M2" s="1" t="s">
        <v>346</v>
      </c>
    </row>
    <row r="3" spans="1:18">
      <c r="B3" s="743" t="s">
        <v>339</v>
      </c>
      <c r="C3" s="743"/>
      <c r="D3" s="743"/>
      <c r="E3" s="743"/>
      <c r="F3" s="743"/>
      <c r="G3" s="743"/>
      <c r="I3" s="195">
        <v>1</v>
      </c>
      <c r="J3" s="181">
        <f>I3^2</f>
        <v>1</v>
      </c>
      <c r="K3" s="181">
        <v>7</v>
      </c>
    </row>
    <row r="4" spans="1:18">
      <c r="A4" s="167" t="s">
        <v>51</v>
      </c>
      <c r="B4" s="167">
        <v>1</v>
      </c>
      <c r="C4" s="167">
        <v>2</v>
      </c>
      <c r="D4" s="167">
        <v>3</v>
      </c>
      <c r="E4" s="167">
        <v>4</v>
      </c>
      <c r="F4" s="167">
        <v>5</v>
      </c>
      <c r="G4" s="167">
        <v>6</v>
      </c>
      <c r="I4" s="195">
        <v>2</v>
      </c>
      <c r="J4" s="181">
        <f t="shared" ref="J4:J32" si="0">I4^2</f>
        <v>4</v>
      </c>
      <c r="K4" s="181">
        <v>11</v>
      </c>
      <c r="M4" s="14" t="s">
        <v>206</v>
      </c>
    </row>
    <row r="5" spans="1:18" ht="15.75" thickBot="1">
      <c r="A5" s="167">
        <v>1</v>
      </c>
      <c r="B5" s="319">
        <v>7</v>
      </c>
      <c r="C5" s="320">
        <v>11</v>
      </c>
      <c r="D5" s="320">
        <v>23</v>
      </c>
      <c r="E5" s="320">
        <v>59</v>
      </c>
      <c r="F5" s="320">
        <v>120</v>
      </c>
      <c r="G5" s="321">
        <v>180</v>
      </c>
      <c r="I5" s="195">
        <v>3</v>
      </c>
      <c r="J5" s="181">
        <f t="shared" si="0"/>
        <v>9</v>
      </c>
      <c r="K5" s="181">
        <v>23</v>
      </c>
    </row>
    <row r="6" spans="1:18">
      <c r="A6" s="167">
        <v>2</v>
      </c>
      <c r="B6" s="39">
        <v>3</v>
      </c>
      <c r="C6" s="181">
        <v>8</v>
      </c>
      <c r="D6" s="181">
        <v>20</v>
      </c>
      <c r="E6" s="181">
        <v>48</v>
      </c>
      <c r="F6" s="181">
        <v>88</v>
      </c>
      <c r="G6" s="322">
        <v>140</v>
      </c>
      <c r="I6" s="195">
        <v>4</v>
      </c>
      <c r="J6" s="181">
        <f t="shared" si="0"/>
        <v>16</v>
      </c>
      <c r="K6" s="181">
        <v>59</v>
      </c>
      <c r="M6" s="18" t="s">
        <v>207</v>
      </c>
      <c r="N6" s="18"/>
    </row>
    <row r="7" spans="1:18">
      <c r="A7" s="167">
        <v>3</v>
      </c>
      <c r="B7" s="39">
        <v>4</v>
      </c>
      <c r="C7" s="181">
        <v>11</v>
      </c>
      <c r="D7" s="181">
        <v>21</v>
      </c>
      <c r="E7" s="181">
        <v>58</v>
      </c>
      <c r="F7" s="181">
        <v>128</v>
      </c>
      <c r="G7" s="322">
        <v>195</v>
      </c>
      <c r="I7" s="195">
        <v>5</v>
      </c>
      <c r="J7" s="181">
        <f t="shared" si="0"/>
        <v>25</v>
      </c>
      <c r="K7" s="181">
        <v>120</v>
      </c>
      <c r="M7" s="323" t="s">
        <v>208</v>
      </c>
      <c r="N7" s="323">
        <v>0.97741197717339279</v>
      </c>
    </row>
    <row r="8" spans="1:18">
      <c r="A8" s="167">
        <v>4</v>
      </c>
      <c r="B8" s="39">
        <v>5</v>
      </c>
      <c r="C8" s="181">
        <v>9</v>
      </c>
      <c r="D8" s="181">
        <v>16</v>
      </c>
      <c r="E8" s="181">
        <v>45</v>
      </c>
      <c r="F8" s="181">
        <v>111</v>
      </c>
      <c r="G8" s="322">
        <v>156</v>
      </c>
      <c r="I8" s="195">
        <v>6</v>
      </c>
      <c r="J8" s="181">
        <f t="shared" si="0"/>
        <v>36</v>
      </c>
      <c r="K8" s="181">
        <v>180</v>
      </c>
      <c r="M8" s="323" t="s">
        <v>201</v>
      </c>
      <c r="N8" s="323">
        <v>0.95533417312200086</v>
      </c>
    </row>
    <row r="9" spans="1:18">
      <c r="A9" s="167">
        <v>5</v>
      </c>
      <c r="B9" s="324">
        <v>2</v>
      </c>
      <c r="C9" s="325">
        <v>5</v>
      </c>
      <c r="D9" s="325">
        <v>12</v>
      </c>
      <c r="E9" s="325">
        <v>38</v>
      </c>
      <c r="F9" s="325">
        <v>78</v>
      </c>
      <c r="G9" s="326">
        <v>145</v>
      </c>
      <c r="I9" s="195">
        <v>1</v>
      </c>
      <c r="J9" s="181">
        <f t="shared" si="0"/>
        <v>1</v>
      </c>
      <c r="K9" s="181">
        <v>3</v>
      </c>
      <c r="M9" s="323" t="s">
        <v>209</v>
      </c>
      <c r="N9" s="323">
        <v>0.9520255933532602</v>
      </c>
    </row>
    <row r="10" spans="1:18">
      <c r="I10" s="195">
        <v>2</v>
      </c>
      <c r="J10" s="181">
        <f t="shared" si="0"/>
        <v>4</v>
      </c>
      <c r="K10" s="181">
        <v>8</v>
      </c>
      <c r="M10" s="323" t="s">
        <v>9</v>
      </c>
      <c r="N10" s="323">
        <v>13.217448784881009</v>
      </c>
    </row>
    <row r="11" spans="1:18" ht="15.75" thickBot="1">
      <c r="I11" s="195">
        <v>3</v>
      </c>
      <c r="J11" s="181">
        <f t="shared" si="0"/>
        <v>9</v>
      </c>
      <c r="K11" s="181">
        <v>20</v>
      </c>
      <c r="M11" s="327" t="s">
        <v>42</v>
      </c>
      <c r="N11" s="327">
        <v>30</v>
      </c>
    </row>
    <row r="12" spans="1:18">
      <c r="I12" s="195">
        <v>4</v>
      </c>
      <c r="J12" s="181">
        <f t="shared" si="0"/>
        <v>16</v>
      </c>
      <c r="K12" s="181">
        <v>48</v>
      </c>
    </row>
    <row r="13" spans="1:18" ht="15.75" thickBot="1">
      <c r="I13" s="195">
        <v>5</v>
      </c>
      <c r="J13" s="181">
        <f t="shared" si="0"/>
        <v>25</v>
      </c>
      <c r="K13" s="181">
        <v>88</v>
      </c>
      <c r="M13" s="14" t="s">
        <v>210</v>
      </c>
    </row>
    <row r="14" spans="1:18">
      <c r="I14" s="195">
        <v>6</v>
      </c>
      <c r="J14" s="181">
        <f t="shared" si="0"/>
        <v>36</v>
      </c>
      <c r="K14" s="181">
        <v>140</v>
      </c>
      <c r="M14" s="316"/>
      <c r="N14" s="316" t="s">
        <v>26</v>
      </c>
      <c r="O14" s="316" t="s">
        <v>137</v>
      </c>
      <c r="P14" s="316" t="s">
        <v>156</v>
      </c>
      <c r="Q14" s="316" t="s">
        <v>63</v>
      </c>
      <c r="R14" s="316" t="s">
        <v>213</v>
      </c>
    </row>
    <row r="15" spans="1:18">
      <c r="I15" s="195">
        <v>1</v>
      </c>
      <c r="J15" s="181">
        <f t="shared" si="0"/>
        <v>1</v>
      </c>
      <c r="K15" s="181">
        <v>4</v>
      </c>
      <c r="M15" s="323" t="s">
        <v>138</v>
      </c>
      <c r="N15" s="323">
        <v>2</v>
      </c>
      <c r="O15" s="323">
        <v>100887.87428571429</v>
      </c>
      <c r="P15" s="323">
        <v>50443.937142857147</v>
      </c>
      <c r="Q15" s="323">
        <v>288.74448854096238</v>
      </c>
      <c r="R15" s="323">
        <v>5.9520642004325394E-19</v>
      </c>
    </row>
    <row r="16" spans="1:18">
      <c r="I16" s="195">
        <v>2</v>
      </c>
      <c r="J16" s="181">
        <f t="shared" si="0"/>
        <v>4</v>
      </c>
      <c r="K16" s="181">
        <v>11</v>
      </c>
      <c r="M16" s="323" t="s">
        <v>211</v>
      </c>
      <c r="N16" s="323">
        <v>27</v>
      </c>
      <c r="O16" s="323">
        <v>4716.9257142857168</v>
      </c>
      <c r="P16" s="323">
        <v>174.70095238095249</v>
      </c>
      <c r="Q16" s="323"/>
      <c r="R16" s="323"/>
    </row>
    <row r="17" spans="9:22" ht="15.75" thickBot="1">
      <c r="I17" s="195">
        <v>3</v>
      </c>
      <c r="J17" s="181">
        <f t="shared" si="0"/>
        <v>9</v>
      </c>
      <c r="K17" s="181">
        <v>21</v>
      </c>
      <c r="M17" s="327" t="s">
        <v>1</v>
      </c>
      <c r="N17" s="327">
        <v>29</v>
      </c>
      <c r="O17" s="327">
        <v>105604.80000000002</v>
      </c>
      <c r="P17" s="327"/>
      <c r="Q17" s="327"/>
      <c r="R17" s="327"/>
    </row>
    <row r="18" spans="9:22" ht="15.75" thickBot="1">
      <c r="I18" s="195">
        <v>4</v>
      </c>
      <c r="J18" s="181">
        <f t="shared" si="0"/>
        <v>16</v>
      </c>
      <c r="K18" s="181">
        <v>58</v>
      </c>
    </row>
    <row r="19" spans="9:22">
      <c r="I19" s="195">
        <v>5</v>
      </c>
      <c r="J19" s="181">
        <f t="shared" si="0"/>
        <v>25</v>
      </c>
      <c r="K19" s="181">
        <v>128</v>
      </c>
      <c r="M19" s="316"/>
      <c r="N19" s="316" t="s">
        <v>214</v>
      </c>
      <c r="O19" s="316" t="s">
        <v>9</v>
      </c>
      <c r="P19" s="316" t="s">
        <v>45</v>
      </c>
      <c r="Q19" s="316" t="s">
        <v>56</v>
      </c>
      <c r="R19" s="316" t="s">
        <v>215</v>
      </c>
      <c r="S19" s="316" t="s">
        <v>216</v>
      </c>
      <c r="U19" s="14" t="s">
        <v>341</v>
      </c>
      <c r="V19" s="329">
        <v>3</v>
      </c>
    </row>
    <row r="20" spans="9:22">
      <c r="I20" s="195">
        <v>6</v>
      </c>
      <c r="J20" s="181">
        <f t="shared" si="0"/>
        <v>36</v>
      </c>
      <c r="K20" s="181">
        <v>195</v>
      </c>
      <c r="M20" s="323" t="s">
        <v>212</v>
      </c>
      <c r="N20" s="323">
        <v>21.920000000000073</v>
      </c>
      <c r="O20" s="323">
        <v>10.573959027904825</v>
      </c>
      <c r="P20" s="323">
        <v>2.0730173005354842</v>
      </c>
      <c r="Q20" s="323">
        <v>4.7839766500995397E-2</v>
      </c>
      <c r="R20" s="323">
        <v>0.22402818653273116</v>
      </c>
      <c r="S20" s="323">
        <v>43.615971813467411</v>
      </c>
      <c r="U20" s="14" t="s">
        <v>347</v>
      </c>
      <c r="V20" s="310">
        <f>N20+V19*N21+V19^2*N22</f>
        <v>20.78857142857143</v>
      </c>
    </row>
    <row r="21" spans="9:22">
      <c r="I21" s="195">
        <v>1</v>
      </c>
      <c r="J21" s="181">
        <f t="shared" si="0"/>
        <v>1</v>
      </c>
      <c r="K21" s="181">
        <v>5</v>
      </c>
      <c r="M21" s="323" t="s">
        <v>341</v>
      </c>
      <c r="N21" s="323">
        <v>-24.548571428571464</v>
      </c>
      <c r="O21" s="323">
        <v>6.9177729301362048</v>
      </c>
      <c r="P21" s="323">
        <v>-3.5486234770195217</v>
      </c>
      <c r="Q21" s="323">
        <v>1.441195885607783E-3</v>
      </c>
      <c r="R21" s="323">
        <v>-38.742669032706175</v>
      </c>
      <c r="S21" s="323">
        <v>-10.354473824436754</v>
      </c>
    </row>
    <row r="22" spans="9:22" ht="15.75" thickBot="1">
      <c r="I22" s="195">
        <v>2</v>
      </c>
      <c r="J22" s="181">
        <f t="shared" si="0"/>
        <v>4</v>
      </c>
      <c r="K22" s="181">
        <v>9</v>
      </c>
      <c r="M22" s="327" t="s">
        <v>342</v>
      </c>
      <c r="N22" s="327">
        <v>8.0571428571428605</v>
      </c>
      <c r="O22" s="327">
        <v>0.9674181925019163</v>
      </c>
      <c r="P22" s="327">
        <v>8.3285004557394657</v>
      </c>
      <c r="Q22" s="327">
        <v>6.1451920419363139E-9</v>
      </c>
      <c r="R22" s="327">
        <v>6.072164687569229</v>
      </c>
      <c r="S22" s="327">
        <v>10.042121026716492</v>
      </c>
    </row>
    <row r="23" spans="9:22">
      <c r="I23" s="195">
        <v>3</v>
      </c>
      <c r="J23" s="181">
        <f t="shared" si="0"/>
        <v>9</v>
      </c>
      <c r="K23" s="181">
        <v>16</v>
      </c>
    </row>
    <row r="24" spans="9:22">
      <c r="I24" s="195">
        <v>4</v>
      </c>
      <c r="J24" s="181">
        <f t="shared" si="0"/>
        <v>16</v>
      </c>
      <c r="K24" s="181">
        <v>45</v>
      </c>
      <c r="M24" s="1" t="s">
        <v>345</v>
      </c>
    </row>
    <row r="25" spans="9:22">
      <c r="I25" s="195">
        <v>5</v>
      </c>
      <c r="J25" s="181">
        <f t="shared" si="0"/>
        <v>25</v>
      </c>
      <c r="K25" s="181">
        <v>111</v>
      </c>
    </row>
    <row r="26" spans="9:22">
      <c r="I26" s="195">
        <v>6</v>
      </c>
      <c r="J26" s="181">
        <f t="shared" si="0"/>
        <v>36</v>
      </c>
      <c r="K26" s="181">
        <v>156</v>
      </c>
      <c r="M26" s="14" t="s">
        <v>206</v>
      </c>
    </row>
    <row r="27" spans="9:22" ht="15.75" thickBot="1">
      <c r="I27" s="195">
        <v>1</v>
      </c>
      <c r="J27" s="181">
        <f t="shared" si="0"/>
        <v>1</v>
      </c>
      <c r="K27" s="181">
        <v>2</v>
      </c>
    </row>
    <row r="28" spans="9:22">
      <c r="I28" s="195">
        <v>2</v>
      </c>
      <c r="J28" s="181">
        <f t="shared" si="0"/>
        <v>4</v>
      </c>
      <c r="K28" s="181">
        <v>5</v>
      </c>
      <c r="M28" s="18" t="s">
        <v>207</v>
      </c>
      <c r="N28" s="18"/>
    </row>
    <row r="29" spans="9:22">
      <c r="I29" s="195">
        <v>3</v>
      </c>
      <c r="J29" s="181">
        <f t="shared" si="0"/>
        <v>9</v>
      </c>
      <c r="K29" s="181">
        <v>12</v>
      </c>
      <c r="M29" s="323" t="s">
        <v>208</v>
      </c>
      <c r="N29" s="323">
        <v>0.91683485000753651</v>
      </c>
    </row>
    <row r="30" spans="9:22">
      <c r="I30" s="195">
        <v>4</v>
      </c>
      <c r="J30" s="181">
        <f t="shared" si="0"/>
        <v>16</v>
      </c>
      <c r="K30" s="181">
        <v>38</v>
      </c>
      <c r="M30" s="323" t="s">
        <v>201</v>
      </c>
      <c r="N30" s="323">
        <v>0.84058614218834204</v>
      </c>
    </row>
    <row r="31" spans="9:22">
      <c r="I31" s="195">
        <v>5</v>
      </c>
      <c r="J31" s="181">
        <f t="shared" si="0"/>
        <v>25</v>
      </c>
      <c r="K31" s="181">
        <v>78</v>
      </c>
      <c r="M31" s="323" t="s">
        <v>209</v>
      </c>
      <c r="N31" s="323">
        <v>0.83489279012364004</v>
      </c>
    </row>
    <row r="32" spans="9:22">
      <c r="I32" s="328">
        <v>6</v>
      </c>
      <c r="J32" s="325">
        <f t="shared" si="0"/>
        <v>36</v>
      </c>
      <c r="K32" s="325">
        <v>145</v>
      </c>
      <c r="M32" s="323" t="s">
        <v>9</v>
      </c>
      <c r="N32" s="323">
        <v>24.520303956567286</v>
      </c>
    </row>
    <row r="33" spans="13:19" ht="15.75" thickBot="1">
      <c r="M33" s="327" t="s">
        <v>42</v>
      </c>
      <c r="N33" s="327">
        <v>30</v>
      </c>
    </row>
    <row r="35" spans="13:19" ht="15.75" thickBot="1">
      <c r="M35" s="14" t="s">
        <v>210</v>
      </c>
    </row>
    <row r="36" spans="13:19">
      <c r="M36" s="316"/>
      <c r="N36" s="316" t="s">
        <v>26</v>
      </c>
      <c r="O36" s="316" t="s">
        <v>137</v>
      </c>
      <c r="P36" s="316" t="s">
        <v>156</v>
      </c>
      <c r="Q36" s="316" t="s">
        <v>63</v>
      </c>
      <c r="R36" s="316" t="s">
        <v>213</v>
      </c>
    </row>
    <row r="37" spans="13:19">
      <c r="M37" s="323" t="s">
        <v>138</v>
      </c>
      <c r="N37" s="323">
        <v>1</v>
      </c>
      <c r="O37" s="323">
        <v>88769.931428571435</v>
      </c>
      <c r="P37" s="323">
        <v>88769.931428571435</v>
      </c>
      <c r="Q37" s="323">
        <v>147.64345022677418</v>
      </c>
      <c r="R37" s="323">
        <v>1.108796400759207E-12</v>
      </c>
    </row>
    <row r="38" spans="13:19">
      <c r="M38" s="323" t="s">
        <v>211</v>
      </c>
      <c r="N38" s="323">
        <v>28</v>
      </c>
      <c r="O38" s="323">
        <v>16834.868571428578</v>
      </c>
      <c r="P38" s="323">
        <v>601.24530612244928</v>
      </c>
      <c r="Q38" s="323"/>
      <c r="R38" s="323"/>
    </row>
    <row r="39" spans="13:19" ht="15.75" thickBot="1">
      <c r="M39" s="327" t="s">
        <v>1</v>
      </c>
      <c r="N39" s="327">
        <v>29</v>
      </c>
      <c r="O39" s="327">
        <v>105604.80000000002</v>
      </c>
      <c r="P39" s="327"/>
      <c r="Q39" s="327"/>
      <c r="R39" s="327"/>
    </row>
    <row r="40" spans="13:19" ht="15.75" thickBot="1"/>
    <row r="41" spans="13:19">
      <c r="M41" s="316"/>
      <c r="N41" s="316" t="s">
        <v>214</v>
      </c>
      <c r="O41" s="316" t="s">
        <v>9</v>
      </c>
      <c r="P41" s="316" t="s">
        <v>45</v>
      </c>
      <c r="Q41" s="316" t="s">
        <v>56</v>
      </c>
      <c r="R41" s="316" t="s">
        <v>215</v>
      </c>
      <c r="S41" s="316" t="s">
        <v>216</v>
      </c>
    </row>
    <row r="42" spans="13:19">
      <c r="M42" s="323" t="s">
        <v>212</v>
      </c>
      <c r="N42" s="323">
        <v>-53.280000000000015</v>
      </c>
      <c r="O42" s="323">
        <v>10.208616608592202</v>
      </c>
      <c r="P42" s="323">
        <v>-5.2191204785921999</v>
      </c>
      <c r="Q42" s="323">
        <v>1.5237399157471087E-5</v>
      </c>
      <c r="R42" s="323">
        <v>-74.191403168889835</v>
      </c>
      <c r="S42" s="323">
        <v>-32.368596831110196</v>
      </c>
    </row>
    <row r="43" spans="13:19" ht="15.75" thickBot="1">
      <c r="M43" s="327" t="s">
        <v>341</v>
      </c>
      <c r="N43" s="327">
        <v>31.851428571428578</v>
      </c>
      <c r="O43" s="327">
        <v>2.6213307550009226</v>
      </c>
      <c r="P43" s="327">
        <v>12.150862118663605</v>
      </c>
      <c r="Q43" s="327">
        <v>1.1087964007592032E-12</v>
      </c>
      <c r="R43" s="327">
        <v>26.481875931877166</v>
      </c>
      <c r="S43" s="327">
        <v>37.220981210979986</v>
      </c>
    </row>
  </sheetData>
  <mergeCells count="1">
    <mergeCell ref="B3:G3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105"/>
  <dimension ref="A1:G55"/>
  <sheetViews>
    <sheetView workbookViewId="0"/>
  </sheetViews>
  <sheetFormatPr defaultRowHeight="15"/>
  <cols>
    <col min="1" max="1" width="18.42578125" customWidth="1"/>
    <col min="2" max="2" width="11.5703125" customWidth="1"/>
    <col min="3" max="3" width="13.7109375" customWidth="1"/>
    <col min="6" max="6" width="12.85546875" customWidth="1"/>
    <col min="7" max="7" width="13" customWidth="1"/>
  </cols>
  <sheetData>
    <row r="1" spans="1:7">
      <c r="A1" t="s">
        <v>206</v>
      </c>
    </row>
    <row r="2" spans="1:7" ht="15.75" thickBot="1"/>
    <row r="3" spans="1:7">
      <c r="A3" s="18" t="s">
        <v>207</v>
      </c>
      <c r="B3" s="18"/>
    </row>
    <row r="4" spans="1:7">
      <c r="A4" s="16" t="s">
        <v>208</v>
      </c>
      <c r="B4" s="16">
        <v>0.97741197717339279</v>
      </c>
    </row>
    <row r="5" spans="1:7">
      <c r="A5" s="16" t="s">
        <v>201</v>
      </c>
      <c r="B5" s="16">
        <v>0.95533417312200086</v>
      </c>
    </row>
    <row r="6" spans="1:7">
      <c r="A6" s="16" t="s">
        <v>209</v>
      </c>
      <c r="B6" s="16">
        <v>0.9520255933532602</v>
      </c>
    </row>
    <row r="7" spans="1:7">
      <c r="A7" s="16" t="s">
        <v>9</v>
      </c>
      <c r="B7" s="16">
        <v>13.217448784881009</v>
      </c>
    </row>
    <row r="8" spans="1:7" ht="15.75" thickBot="1">
      <c r="A8" s="17" t="s">
        <v>42</v>
      </c>
      <c r="B8" s="17">
        <v>30</v>
      </c>
    </row>
    <row r="10" spans="1:7" ht="15.75" thickBot="1">
      <c r="A10" t="s">
        <v>210</v>
      </c>
    </row>
    <row r="11" spans="1:7">
      <c r="A11" s="15"/>
      <c r="B11" s="15" t="s">
        <v>26</v>
      </c>
      <c r="C11" s="15" t="s">
        <v>137</v>
      </c>
      <c r="D11" s="15" t="s">
        <v>156</v>
      </c>
      <c r="E11" s="15" t="s">
        <v>63</v>
      </c>
      <c r="F11" s="15" t="s">
        <v>213</v>
      </c>
    </row>
    <row r="12" spans="1:7">
      <c r="A12" s="16" t="s">
        <v>138</v>
      </c>
      <c r="B12" s="16">
        <v>2</v>
      </c>
      <c r="C12" s="16">
        <v>100887.87428571429</v>
      </c>
      <c r="D12" s="16">
        <v>50443.937142857147</v>
      </c>
      <c r="E12" s="16">
        <v>288.74448854096238</v>
      </c>
      <c r="F12" s="16">
        <v>5.9520642004325394E-19</v>
      </c>
    </row>
    <row r="13" spans="1:7">
      <c r="A13" s="16" t="s">
        <v>211</v>
      </c>
      <c r="B13" s="16">
        <v>27</v>
      </c>
      <c r="C13" s="16">
        <v>4716.9257142857168</v>
      </c>
      <c r="D13" s="16">
        <v>174.70095238095249</v>
      </c>
      <c r="E13" s="16"/>
      <c r="F13" s="16"/>
    </row>
    <row r="14" spans="1:7" ht="15.75" thickBot="1">
      <c r="A14" s="17" t="s">
        <v>1</v>
      </c>
      <c r="B14" s="17">
        <v>29</v>
      </c>
      <c r="C14" s="17">
        <v>105604.80000000002</v>
      </c>
      <c r="D14" s="17"/>
      <c r="E14" s="17"/>
      <c r="F14" s="17"/>
    </row>
    <row r="15" spans="1:7" ht="15.75" thickBot="1"/>
    <row r="16" spans="1:7">
      <c r="A16" s="15"/>
      <c r="B16" s="15" t="s">
        <v>214</v>
      </c>
      <c r="C16" s="15" t="s">
        <v>9</v>
      </c>
      <c r="D16" s="15" t="s">
        <v>45</v>
      </c>
      <c r="E16" s="15" t="s">
        <v>56</v>
      </c>
      <c r="F16" s="15" t="s">
        <v>215</v>
      </c>
      <c r="G16" s="15" t="s">
        <v>216</v>
      </c>
    </row>
    <row r="17" spans="1:7">
      <c r="A17" s="16" t="s">
        <v>212</v>
      </c>
      <c r="B17" s="16">
        <v>21.920000000000073</v>
      </c>
      <c r="C17" s="16">
        <v>10.573959027904825</v>
      </c>
      <c r="D17" s="16">
        <v>2.0730173005354842</v>
      </c>
      <c r="E17" s="16">
        <v>4.7839766500995397E-2</v>
      </c>
      <c r="F17" s="16">
        <v>0.22402818653273116</v>
      </c>
      <c r="G17" s="16">
        <v>43.615971813467411</v>
      </c>
    </row>
    <row r="18" spans="1:7">
      <c r="A18" s="16" t="s">
        <v>341</v>
      </c>
      <c r="B18" s="16">
        <v>-24.548571428571464</v>
      </c>
      <c r="C18" s="16">
        <v>6.9177729301362048</v>
      </c>
      <c r="D18" s="16">
        <v>-3.5486234770195217</v>
      </c>
      <c r="E18" s="16">
        <v>1.441195885607783E-3</v>
      </c>
      <c r="F18" s="16">
        <v>-38.742669032706175</v>
      </c>
      <c r="G18" s="16">
        <v>-10.354473824436754</v>
      </c>
    </row>
    <row r="19" spans="1:7" ht="15.75" thickBot="1">
      <c r="A19" s="17" t="s">
        <v>342</v>
      </c>
      <c r="B19" s="17">
        <v>8.0571428571428605</v>
      </c>
      <c r="C19" s="17">
        <v>0.9674181925019163</v>
      </c>
      <c r="D19" s="17">
        <v>8.3285004557394657</v>
      </c>
      <c r="E19" s="17">
        <v>6.1451920419363139E-9</v>
      </c>
      <c r="F19" s="17">
        <v>6.072164687569229</v>
      </c>
      <c r="G19" s="17">
        <v>10.042121026716492</v>
      </c>
    </row>
    <row r="23" spans="1:7">
      <c r="A23" t="s">
        <v>217</v>
      </c>
      <c r="F23" t="s">
        <v>221</v>
      </c>
    </row>
    <row r="24" spans="1:7" ht="15.75" thickBot="1"/>
    <row r="25" spans="1:7">
      <c r="A25" s="15" t="s">
        <v>218</v>
      </c>
      <c r="B25" s="15" t="s">
        <v>343</v>
      </c>
      <c r="C25" s="15" t="s">
        <v>219</v>
      </c>
      <c r="D25" s="15" t="s">
        <v>220</v>
      </c>
      <c r="F25" s="15" t="s">
        <v>222</v>
      </c>
      <c r="G25" s="15" t="s">
        <v>340</v>
      </c>
    </row>
    <row r="26" spans="1:7">
      <c r="A26" s="16">
        <v>1</v>
      </c>
      <c r="B26" s="16">
        <v>5.4285714285714697</v>
      </c>
      <c r="C26" s="16">
        <v>1.5714285714285303</v>
      </c>
      <c r="D26" s="16">
        <v>0.12321515444488092</v>
      </c>
      <c r="F26" s="16">
        <v>1.6666666666666667</v>
      </c>
      <c r="G26" s="16">
        <v>2</v>
      </c>
    </row>
    <row r="27" spans="1:7">
      <c r="A27" s="16">
        <v>2</v>
      </c>
      <c r="B27" s="16">
        <v>5.0514285714285876</v>
      </c>
      <c r="C27" s="16">
        <v>5.9485714285714124</v>
      </c>
      <c r="D27" s="16">
        <v>0.46642536646226923</v>
      </c>
      <c r="F27" s="16">
        <v>5</v>
      </c>
      <c r="G27" s="16">
        <v>3</v>
      </c>
    </row>
    <row r="28" spans="1:7">
      <c r="A28" s="16">
        <v>3</v>
      </c>
      <c r="B28" s="16">
        <v>20.78857142857143</v>
      </c>
      <c r="C28" s="16">
        <v>2.21142857142857</v>
      </c>
      <c r="D28" s="16">
        <v>0.1733973264369823</v>
      </c>
      <c r="F28" s="16">
        <v>8.3333333333333339</v>
      </c>
      <c r="G28" s="16">
        <v>4</v>
      </c>
    </row>
    <row r="29" spans="1:7">
      <c r="A29" s="16">
        <v>4</v>
      </c>
      <c r="B29" s="16">
        <v>52.639999999999986</v>
      </c>
      <c r="C29" s="16">
        <v>6.3600000000000136</v>
      </c>
      <c r="D29" s="16">
        <v>0.49868533417147765</v>
      </c>
      <c r="F29" s="16">
        <v>11.666666666666666</v>
      </c>
      <c r="G29" s="16">
        <v>5</v>
      </c>
    </row>
    <row r="30" spans="1:7">
      <c r="A30" s="16">
        <v>5</v>
      </c>
      <c r="B30" s="16">
        <v>100.60571428571426</v>
      </c>
      <c r="C30" s="16">
        <v>19.394285714285743</v>
      </c>
      <c r="D30" s="16">
        <v>1.5206990334034087</v>
      </c>
      <c r="F30" s="16">
        <v>15</v>
      </c>
      <c r="G30" s="16">
        <v>5</v>
      </c>
    </row>
    <row r="31" spans="1:7">
      <c r="A31" s="16">
        <v>6</v>
      </c>
      <c r="B31" s="16">
        <v>164.68571428571428</v>
      </c>
      <c r="C31" s="16">
        <v>15.314285714285717</v>
      </c>
      <c r="D31" s="16">
        <v>1.2007876869537801</v>
      </c>
      <c r="F31" s="16">
        <v>18.333333333333336</v>
      </c>
      <c r="G31" s="16">
        <v>7</v>
      </c>
    </row>
    <row r="32" spans="1:7">
      <c r="A32" s="16">
        <v>7</v>
      </c>
      <c r="B32" s="16">
        <v>5.4285714285714697</v>
      </c>
      <c r="C32" s="16">
        <v>-2.4285714285714697</v>
      </c>
      <c r="D32" s="16">
        <v>-0.19042342050573327</v>
      </c>
      <c r="F32" s="16">
        <v>21.666666666666668</v>
      </c>
      <c r="G32" s="16">
        <v>8</v>
      </c>
    </row>
    <row r="33" spans="1:7">
      <c r="A33" s="16">
        <v>8</v>
      </c>
      <c r="B33" s="16">
        <v>5.0514285714285876</v>
      </c>
      <c r="C33" s="16">
        <v>2.9485714285714124</v>
      </c>
      <c r="D33" s="16">
        <v>0.23119643524930861</v>
      </c>
      <c r="F33" s="16">
        <v>25.000000000000004</v>
      </c>
      <c r="G33" s="16">
        <v>9</v>
      </c>
    </row>
    <row r="34" spans="1:7">
      <c r="A34" s="16">
        <v>9</v>
      </c>
      <c r="B34" s="16">
        <v>20.78857142857143</v>
      </c>
      <c r="C34" s="16">
        <v>-0.78857142857143003</v>
      </c>
      <c r="D34" s="16">
        <v>-6.1831604775978342E-2</v>
      </c>
      <c r="F34" s="16">
        <v>28.333333333333336</v>
      </c>
      <c r="G34" s="16">
        <v>11</v>
      </c>
    </row>
    <row r="35" spans="1:7">
      <c r="A35" s="16">
        <v>10</v>
      </c>
      <c r="B35" s="16">
        <v>52.639999999999986</v>
      </c>
      <c r="C35" s="16">
        <v>-4.6399999999999864</v>
      </c>
      <c r="D35" s="16">
        <v>-0.36382074694271138</v>
      </c>
      <c r="F35" s="16">
        <v>31.666666666666668</v>
      </c>
      <c r="G35" s="16">
        <v>11</v>
      </c>
    </row>
    <row r="36" spans="1:7">
      <c r="A36" s="16">
        <v>11</v>
      </c>
      <c r="B36" s="16">
        <v>100.60571428571426</v>
      </c>
      <c r="C36" s="16">
        <v>-12.605714285714257</v>
      </c>
      <c r="D36" s="16">
        <v>-0.98840956620150466</v>
      </c>
      <c r="F36" s="16">
        <v>35</v>
      </c>
      <c r="G36" s="16">
        <v>12</v>
      </c>
    </row>
    <row r="37" spans="1:7">
      <c r="A37" s="16">
        <v>12</v>
      </c>
      <c r="B37" s="16">
        <v>164.68571428571428</v>
      </c>
      <c r="C37" s="16">
        <v>-24.685714285714283</v>
      </c>
      <c r="D37" s="16">
        <v>-1.9355980625523617</v>
      </c>
      <c r="F37" s="16">
        <v>38.333333333333336</v>
      </c>
      <c r="G37" s="16">
        <v>16</v>
      </c>
    </row>
    <row r="38" spans="1:7">
      <c r="A38" s="16">
        <v>13</v>
      </c>
      <c r="B38" s="16">
        <v>5.4285714285714697</v>
      </c>
      <c r="C38" s="16">
        <v>-1.4285714285714697</v>
      </c>
      <c r="D38" s="16">
        <v>-0.11201377676807972</v>
      </c>
      <c r="F38" s="16">
        <v>41.666666666666664</v>
      </c>
      <c r="G38" s="16">
        <v>20</v>
      </c>
    </row>
    <row r="39" spans="1:7">
      <c r="A39" s="16">
        <v>14</v>
      </c>
      <c r="B39" s="16">
        <v>5.0514285714285876</v>
      </c>
      <c r="C39" s="16">
        <v>5.9485714285714124</v>
      </c>
      <c r="D39" s="16">
        <v>0.46642536646226923</v>
      </c>
      <c r="F39" s="16">
        <v>45</v>
      </c>
      <c r="G39" s="16">
        <v>21</v>
      </c>
    </row>
    <row r="40" spans="1:7">
      <c r="A40" s="16">
        <v>15</v>
      </c>
      <c r="B40" s="16">
        <v>20.78857142857143</v>
      </c>
      <c r="C40" s="16">
        <v>0.21142857142856997</v>
      </c>
      <c r="D40" s="16">
        <v>1.6578038961675208E-2</v>
      </c>
      <c r="F40" s="16">
        <v>48.333333333333336</v>
      </c>
      <c r="G40" s="16">
        <v>23</v>
      </c>
    </row>
    <row r="41" spans="1:7">
      <c r="A41" s="16">
        <v>16</v>
      </c>
      <c r="B41" s="16">
        <v>52.639999999999986</v>
      </c>
      <c r="C41" s="16">
        <v>5.3600000000000136</v>
      </c>
      <c r="D41" s="16">
        <v>0.42027569043382407</v>
      </c>
      <c r="F41" s="16">
        <v>51.666666666666664</v>
      </c>
      <c r="G41" s="16">
        <v>38</v>
      </c>
    </row>
    <row r="42" spans="1:7">
      <c r="A42" s="16">
        <v>17</v>
      </c>
      <c r="B42" s="16">
        <v>100.60571428571426</v>
      </c>
      <c r="C42" s="16">
        <v>27.394285714285743</v>
      </c>
      <c r="D42" s="16">
        <v>2.1479761833046371</v>
      </c>
      <c r="F42" s="16">
        <v>55</v>
      </c>
      <c r="G42" s="16">
        <v>45</v>
      </c>
    </row>
    <row r="43" spans="1:7">
      <c r="A43" s="16">
        <v>18</v>
      </c>
      <c r="B43" s="16">
        <v>164.68571428571428</v>
      </c>
      <c r="C43" s="16">
        <v>30.314285714285717</v>
      </c>
      <c r="D43" s="16">
        <v>2.3769323430185834</v>
      </c>
      <c r="F43" s="16">
        <v>58.333333333333336</v>
      </c>
      <c r="G43" s="16">
        <v>48</v>
      </c>
    </row>
    <row r="44" spans="1:7">
      <c r="A44" s="16">
        <v>19</v>
      </c>
      <c r="B44" s="16">
        <v>5.4285714285714697</v>
      </c>
      <c r="C44" s="16">
        <v>-0.42857142857146968</v>
      </c>
      <c r="D44" s="16">
        <v>-3.360413303042617E-2</v>
      </c>
      <c r="F44" s="16">
        <v>61.666666666666664</v>
      </c>
      <c r="G44" s="16">
        <v>58</v>
      </c>
    </row>
    <row r="45" spans="1:7">
      <c r="A45" s="16">
        <v>20</v>
      </c>
      <c r="B45" s="16">
        <v>5.0514285714285876</v>
      </c>
      <c r="C45" s="16">
        <v>3.9485714285714124</v>
      </c>
      <c r="D45" s="16">
        <v>0.30960607898696219</v>
      </c>
      <c r="F45" s="16">
        <v>65</v>
      </c>
      <c r="G45" s="16">
        <v>59</v>
      </c>
    </row>
    <row r="46" spans="1:7">
      <c r="A46" s="16">
        <v>21</v>
      </c>
      <c r="B46" s="16">
        <v>20.78857142857143</v>
      </c>
      <c r="C46" s="16">
        <v>-4.78857142857143</v>
      </c>
      <c r="D46" s="16">
        <v>-0.37547017972659252</v>
      </c>
      <c r="F46" s="16">
        <v>68.333333333333343</v>
      </c>
      <c r="G46" s="16">
        <v>78</v>
      </c>
    </row>
    <row r="47" spans="1:7">
      <c r="A47" s="16">
        <v>22</v>
      </c>
      <c r="B47" s="16">
        <v>52.639999999999986</v>
      </c>
      <c r="C47" s="16">
        <v>-7.6399999999999864</v>
      </c>
      <c r="D47" s="16">
        <v>-0.59904967815567201</v>
      </c>
      <c r="F47" s="16">
        <v>71.666666666666671</v>
      </c>
      <c r="G47" s="16">
        <v>88</v>
      </c>
    </row>
    <row r="48" spans="1:7">
      <c r="A48" s="16">
        <v>23</v>
      </c>
      <c r="B48" s="16">
        <v>100.60571428571426</v>
      </c>
      <c r="C48" s="16">
        <v>10.394285714285743</v>
      </c>
      <c r="D48" s="16">
        <v>0.81501223976452686</v>
      </c>
      <c r="F48" s="16">
        <v>75.000000000000014</v>
      </c>
      <c r="G48" s="16">
        <v>111</v>
      </c>
    </row>
    <row r="49" spans="1:7">
      <c r="A49" s="16">
        <v>24</v>
      </c>
      <c r="B49" s="16">
        <v>164.68571428571428</v>
      </c>
      <c r="C49" s="16">
        <v>-8.6857142857142833</v>
      </c>
      <c r="D49" s="16">
        <v>-0.68104376274990486</v>
      </c>
      <c r="F49" s="16">
        <v>78.333333333333343</v>
      </c>
      <c r="G49" s="16">
        <v>120</v>
      </c>
    </row>
    <row r="50" spans="1:7">
      <c r="A50" s="16">
        <v>25</v>
      </c>
      <c r="B50" s="16">
        <v>5.4285714285714697</v>
      </c>
      <c r="C50" s="16">
        <v>-3.4285714285714697</v>
      </c>
      <c r="D50" s="16">
        <v>-0.26883306424338682</v>
      </c>
      <c r="F50" s="16">
        <v>81.666666666666671</v>
      </c>
      <c r="G50" s="16">
        <v>128</v>
      </c>
    </row>
    <row r="51" spans="1:7">
      <c r="A51" s="16">
        <v>26</v>
      </c>
      <c r="B51" s="16">
        <v>5.0514285714285876</v>
      </c>
      <c r="C51" s="16">
        <v>-5.1428571428587588E-2</v>
      </c>
      <c r="D51" s="16">
        <v>-4.0324959636520207E-3</v>
      </c>
      <c r="F51" s="16">
        <v>85.000000000000014</v>
      </c>
      <c r="G51" s="16">
        <v>140</v>
      </c>
    </row>
    <row r="52" spans="1:7">
      <c r="A52" s="16">
        <v>27</v>
      </c>
      <c r="B52" s="16">
        <v>20.78857142857143</v>
      </c>
      <c r="C52" s="16">
        <v>-8.78857142857143</v>
      </c>
      <c r="D52" s="16">
        <v>-0.68910875467720667</v>
      </c>
      <c r="F52" s="16">
        <v>88.333333333333343</v>
      </c>
      <c r="G52" s="16">
        <v>145</v>
      </c>
    </row>
    <row r="53" spans="1:7">
      <c r="A53" s="16">
        <v>28</v>
      </c>
      <c r="B53" s="16">
        <v>52.639999999999986</v>
      </c>
      <c r="C53" s="16">
        <v>-14.639999999999986</v>
      </c>
      <c r="D53" s="16">
        <v>-1.1479171843192468</v>
      </c>
      <c r="F53" s="16">
        <v>91.666666666666671</v>
      </c>
      <c r="G53" s="16">
        <v>156</v>
      </c>
    </row>
    <row r="54" spans="1:7">
      <c r="A54" s="16">
        <v>29</v>
      </c>
      <c r="B54" s="16">
        <v>100.60571428571426</v>
      </c>
      <c r="C54" s="16">
        <v>-22.605714285714257</v>
      </c>
      <c r="D54" s="16">
        <v>-1.7725060035780402</v>
      </c>
      <c r="F54" s="16">
        <v>95.000000000000014</v>
      </c>
      <c r="G54" s="16">
        <v>180</v>
      </c>
    </row>
    <row r="55" spans="1:7" ht="15.75" thickBot="1">
      <c r="A55" s="17">
        <v>30</v>
      </c>
      <c r="B55" s="17">
        <v>164.68571428571428</v>
      </c>
      <c r="C55" s="17">
        <v>-19.685714285714283</v>
      </c>
      <c r="D55" s="17">
        <v>-1.543549843864094</v>
      </c>
      <c r="F55" s="17">
        <v>98.333333333333343</v>
      </c>
      <c r="G55" s="17">
        <v>195</v>
      </c>
    </row>
  </sheetData>
  <sortState ref="G26:G55">
    <sortCondition ref="G26"/>
  </sortState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107"/>
  <dimension ref="A1:G18"/>
  <sheetViews>
    <sheetView workbookViewId="0"/>
  </sheetViews>
  <sheetFormatPr defaultRowHeight="15"/>
  <cols>
    <col min="1" max="1" width="19.85546875" customWidth="1"/>
    <col min="2" max="2" width="11.85546875" customWidth="1"/>
    <col min="3" max="3" width="14.7109375" customWidth="1"/>
    <col min="4" max="7" width="11.85546875" customWidth="1"/>
  </cols>
  <sheetData>
    <row r="1" spans="1:7">
      <c r="A1" t="s">
        <v>206</v>
      </c>
    </row>
    <row r="2" spans="1:7" ht="15.75" thickBot="1"/>
    <row r="3" spans="1:7">
      <c r="A3" s="18" t="s">
        <v>207</v>
      </c>
      <c r="B3" s="18"/>
    </row>
    <row r="4" spans="1:7">
      <c r="A4" s="16" t="s">
        <v>208</v>
      </c>
      <c r="B4" s="16">
        <v>0.91683485000753651</v>
      </c>
    </row>
    <row r="5" spans="1:7">
      <c r="A5" s="16" t="s">
        <v>201</v>
      </c>
      <c r="B5" s="16">
        <v>0.84058614218834204</v>
      </c>
    </row>
    <row r="6" spans="1:7">
      <c r="A6" s="16" t="s">
        <v>209</v>
      </c>
      <c r="B6" s="16">
        <v>0.83489279012364004</v>
      </c>
    </row>
    <row r="7" spans="1:7">
      <c r="A7" s="16" t="s">
        <v>9</v>
      </c>
      <c r="B7" s="16">
        <v>24.520303956567286</v>
      </c>
    </row>
    <row r="8" spans="1:7" ht="15.75" thickBot="1">
      <c r="A8" s="17" t="s">
        <v>42</v>
      </c>
      <c r="B8" s="17">
        <v>30</v>
      </c>
    </row>
    <row r="10" spans="1:7" ht="15.75" thickBot="1">
      <c r="A10" t="s">
        <v>210</v>
      </c>
    </row>
    <row r="11" spans="1:7">
      <c r="A11" s="15"/>
      <c r="B11" s="15" t="s">
        <v>26</v>
      </c>
      <c r="C11" s="15" t="s">
        <v>137</v>
      </c>
      <c r="D11" s="15" t="s">
        <v>156</v>
      </c>
      <c r="E11" s="15" t="s">
        <v>63</v>
      </c>
      <c r="F11" s="15" t="s">
        <v>213</v>
      </c>
    </row>
    <row r="12" spans="1:7">
      <c r="A12" s="16" t="s">
        <v>138</v>
      </c>
      <c r="B12" s="16">
        <v>1</v>
      </c>
      <c r="C12" s="16">
        <v>88769.931428571435</v>
      </c>
      <c r="D12" s="16">
        <v>88769.931428571435</v>
      </c>
      <c r="E12" s="16">
        <v>147.64345022677418</v>
      </c>
      <c r="F12" s="16">
        <v>1.108796400759207E-12</v>
      </c>
    </row>
    <row r="13" spans="1:7">
      <c r="A13" s="16" t="s">
        <v>211</v>
      </c>
      <c r="B13" s="16">
        <v>28</v>
      </c>
      <c r="C13" s="16">
        <v>16834.868571428578</v>
      </c>
      <c r="D13" s="16">
        <v>601.24530612244928</v>
      </c>
      <c r="E13" s="16"/>
      <c r="F13" s="16"/>
    </row>
    <row r="14" spans="1:7" ht="15.75" thickBot="1">
      <c r="A14" s="17" t="s">
        <v>1</v>
      </c>
      <c r="B14" s="17">
        <v>29</v>
      </c>
      <c r="C14" s="17">
        <v>105604.80000000002</v>
      </c>
      <c r="D14" s="17"/>
      <c r="E14" s="17"/>
      <c r="F14" s="17"/>
    </row>
    <row r="15" spans="1:7" ht="15.75" thickBot="1"/>
    <row r="16" spans="1:7">
      <c r="A16" s="15"/>
      <c r="B16" s="15" t="s">
        <v>214</v>
      </c>
      <c r="C16" s="15" t="s">
        <v>9</v>
      </c>
      <c r="D16" s="15" t="s">
        <v>45</v>
      </c>
      <c r="E16" s="15" t="s">
        <v>56</v>
      </c>
      <c r="F16" s="15" t="s">
        <v>215</v>
      </c>
      <c r="G16" s="15" t="s">
        <v>216</v>
      </c>
    </row>
    <row r="17" spans="1:7">
      <c r="A17" s="16" t="s">
        <v>212</v>
      </c>
      <c r="B17" s="16">
        <v>-53.280000000000015</v>
      </c>
      <c r="C17" s="16">
        <v>10.208616608592202</v>
      </c>
      <c r="D17" s="16">
        <v>-5.2191204785921999</v>
      </c>
      <c r="E17" s="16">
        <v>1.5237399157471087E-5</v>
      </c>
      <c r="F17" s="16">
        <v>-74.191403168889835</v>
      </c>
      <c r="G17" s="16">
        <v>-32.368596831110196</v>
      </c>
    </row>
    <row r="18" spans="1:7" ht="15.75" thickBot="1">
      <c r="A18" s="17" t="s">
        <v>341</v>
      </c>
      <c r="B18" s="17">
        <v>31.851428571428578</v>
      </c>
      <c r="C18" s="17">
        <v>2.6213307550009226</v>
      </c>
      <c r="D18" s="17">
        <v>12.150862118663605</v>
      </c>
      <c r="E18" s="17">
        <v>1.1087964007592032E-12</v>
      </c>
      <c r="F18" s="17">
        <v>26.481875931877166</v>
      </c>
      <c r="G18" s="17">
        <v>37.220981210979986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31"/>
  <dimension ref="A1:AP31"/>
  <sheetViews>
    <sheetView workbookViewId="0"/>
  </sheetViews>
  <sheetFormatPr defaultRowHeight="15"/>
  <cols>
    <col min="1" max="1" width="9.140625" style="26"/>
    <col min="5" max="5" width="12" bestFit="1" customWidth="1"/>
    <col min="11" max="11" width="16.7109375" customWidth="1"/>
    <col min="18" max="18" width="5.28515625" customWidth="1"/>
    <col min="23" max="23" width="16.85546875" customWidth="1"/>
    <col min="30" max="30" width="3.85546875" customWidth="1"/>
    <col min="37" max="37" width="3.5703125" customWidth="1"/>
    <col min="38" max="38" width="36.140625" customWidth="1"/>
    <col min="39" max="39" width="2.7109375" customWidth="1"/>
  </cols>
  <sheetData>
    <row r="1" spans="1:42" ht="17.25">
      <c r="A1" s="555" t="s">
        <v>291</v>
      </c>
      <c r="B1" s="11" t="s">
        <v>292</v>
      </c>
      <c r="K1" t="s">
        <v>338</v>
      </c>
      <c r="W1" t="s">
        <v>338</v>
      </c>
      <c r="AI1" t="s">
        <v>644</v>
      </c>
      <c r="AN1" s="11" t="s">
        <v>4</v>
      </c>
      <c r="AO1" s="11" t="s">
        <v>820</v>
      </c>
      <c r="AP1" s="11" t="s">
        <v>821</v>
      </c>
    </row>
    <row r="2" spans="1:42" ht="15.75" thickBot="1">
      <c r="A2" s="26">
        <v>1</v>
      </c>
      <c r="B2">
        <v>7</v>
      </c>
      <c r="AN2" s="542" t="e">
        <f t="array" aca="1" ref="AN2:AP31" ca="1">PolyDesign(A2:A31,3)</f>
        <v>#NAME?</v>
      </c>
      <c r="AO2" s="549" t="e">
        <f ca="1"/>
        <v>#NAME?</v>
      </c>
      <c r="AP2" s="543" t="e">
        <f ca="1"/>
        <v>#NAME?</v>
      </c>
    </row>
    <row r="3" spans="1:42" ht="16.5" thickTop="1" thickBot="1">
      <c r="A3" s="26">
        <v>1.2</v>
      </c>
      <c r="B3">
        <v>12</v>
      </c>
      <c r="K3" s="364" t="s">
        <v>606</v>
      </c>
      <c r="L3" s="364"/>
      <c r="N3" s="364"/>
      <c r="O3" s="364"/>
      <c r="S3" s="398" t="s">
        <v>815</v>
      </c>
      <c r="T3" s="398" t="s">
        <v>686</v>
      </c>
      <c r="U3" s="398" t="s">
        <v>30</v>
      </c>
      <c r="W3" s="364" t="s">
        <v>606</v>
      </c>
      <c r="X3" s="364"/>
      <c r="Z3" s="364"/>
      <c r="AA3" s="364"/>
      <c r="AE3" s="398" t="s">
        <v>815</v>
      </c>
      <c r="AF3" s="398" t="s">
        <v>686</v>
      </c>
      <c r="AG3" s="398" t="s">
        <v>30</v>
      </c>
      <c r="AI3" s="542" t="e">
        <f t="array" aca="1" ref="AI3:AJ6" ca="1">PolyCoeff(A2:A31,B2:B31,3)</f>
        <v>#NAME?</v>
      </c>
      <c r="AJ3" s="543" t="e">
        <f ca="1"/>
        <v>#NAME?</v>
      </c>
      <c r="AL3" t="e">
        <f ca="1">FTEXT(AI3)</f>
        <v>#NAME?</v>
      </c>
      <c r="AN3" s="294" t="e">
        <f ca="1"/>
        <v>#NAME?</v>
      </c>
      <c r="AO3" s="5" t="e">
        <f ca="1"/>
        <v>#NAME?</v>
      </c>
      <c r="AP3" s="295" t="e">
        <f ca="1"/>
        <v>#NAME?</v>
      </c>
    </row>
    <row r="4" spans="1:42" ht="15.75" thickTop="1">
      <c r="A4" s="26">
        <v>1.4</v>
      </c>
      <c r="B4">
        <v>18</v>
      </c>
      <c r="K4" t="s">
        <v>208</v>
      </c>
      <c r="L4" t="e">
        <f ca="1">SQRT(L5)</f>
        <v>#NAME?</v>
      </c>
      <c r="N4" t="s">
        <v>498</v>
      </c>
      <c r="O4" t="e">
        <f ca="1">L8*LN(M13/L8)+2*(L12+1)</f>
        <v>#NAME?</v>
      </c>
      <c r="S4">
        <v>1</v>
      </c>
      <c r="T4" t="e">
        <f ca="1">PolyRSquare($A$2:$A$31,$B$2:$B$31,S4)</f>
        <v>#NAME?</v>
      </c>
      <c r="W4" t="s">
        <v>208</v>
      </c>
      <c r="X4" t="e">
        <f ca="1">SQRT(X5)</f>
        <v>#NAME?</v>
      </c>
      <c r="Z4" t="s">
        <v>498</v>
      </c>
      <c r="AA4" t="e">
        <f ca="1">X8*LN(Y13/X8)+2*(X12+1)</f>
        <v>#NAME?</v>
      </c>
      <c r="AE4">
        <v>1</v>
      </c>
      <c r="AF4" t="e">
        <f t="shared" ref="AF4:AF11" ca="1" si="0">PolyRSquare($A$2:$A$31,$B$2:$B$31,AE4)</f>
        <v>#NAME?</v>
      </c>
      <c r="AI4" s="294" t="e">
        <f ca="1"/>
        <v>#NAME?</v>
      </c>
      <c r="AJ4" s="295" t="e">
        <f ca="1"/>
        <v>#NAME?</v>
      </c>
      <c r="AN4" s="294" t="e">
        <f ca="1"/>
        <v>#NAME?</v>
      </c>
      <c r="AO4" s="5" t="e">
        <f ca="1"/>
        <v>#NAME?</v>
      </c>
      <c r="AP4" s="295" t="e">
        <f ca="1"/>
        <v>#NAME?</v>
      </c>
    </row>
    <row r="5" spans="1:42">
      <c r="A5" s="26">
        <v>1.6</v>
      </c>
      <c r="B5">
        <v>27</v>
      </c>
      <c r="K5" t="s">
        <v>201</v>
      </c>
      <c r="L5" t="e">
        <f ca="1">M12/M14</f>
        <v>#NAME?</v>
      </c>
      <c r="N5" t="s">
        <v>499</v>
      </c>
      <c r="O5" t="e">
        <f ca="1">O4+2*(L12+2)*(L12+3)/(L8-L12-3)</f>
        <v>#NAME?</v>
      </c>
      <c r="S5" s="367">
        <f>S4+1</f>
        <v>2</v>
      </c>
      <c r="T5" s="367" t="e">
        <f ca="1">PolyRSquare($A$2:$A$31,$B$2:$B$31,S5)</f>
        <v>#NAME?</v>
      </c>
      <c r="U5" s="367" t="e">
        <f ca="1">RSquareTest(PolyDesign($A$2:$A$31,S5),PolyDesign($A$2:$A$31,S4),$B$2:$B$31)</f>
        <v>#NAME?</v>
      </c>
      <c r="W5" t="s">
        <v>201</v>
      </c>
      <c r="X5" t="e">
        <f ca="1">Y12/Y14</f>
        <v>#NAME?</v>
      </c>
      <c r="Z5" t="s">
        <v>499</v>
      </c>
      <c r="AA5" t="e">
        <f ca="1">AA4+2*(X12+2)*(X12+3)/(X8-X12-3)</f>
        <v>#NAME?</v>
      </c>
      <c r="AE5">
        <f>AE4+1</f>
        <v>2</v>
      </c>
      <c r="AF5" t="e">
        <f t="shared" ca="1" si="0"/>
        <v>#NAME?</v>
      </c>
      <c r="AG5" t="e">
        <f t="shared" ref="AG5:AG11" ca="1" si="1">RSquareTest(PolyDesign($A$2:$A$31,AE5),PolyDesign($A$2:$A$31,AE4),$B$2:$B$31)</f>
        <v>#NAME?</v>
      </c>
      <c r="AI5" s="294" t="e">
        <f ca="1"/>
        <v>#NAME?</v>
      </c>
      <c r="AJ5" s="295" t="e">
        <f ca="1"/>
        <v>#NAME?</v>
      </c>
      <c r="AN5" s="294" t="e">
        <f ca="1"/>
        <v>#NAME?</v>
      </c>
      <c r="AO5" s="5" t="e">
        <f ca="1"/>
        <v>#NAME?</v>
      </c>
      <c r="AP5" s="295" t="e">
        <f ca="1"/>
        <v>#NAME?</v>
      </c>
    </row>
    <row r="6" spans="1:42">
      <c r="A6" s="26">
        <v>1.8</v>
      </c>
      <c r="B6">
        <v>38</v>
      </c>
      <c r="K6" t="s">
        <v>209</v>
      </c>
      <c r="L6" t="e">
        <f ca="1">1-(1-L5)*(L8-1)/(L8-L12-1)</f>
        <v>#NAME?</v>
      </c>
      <c r="N6" s="367" t="s">
        <v>762</v>
      </c>
      <c r="O6" s="367" t="e">
        <f ca="1">L8*LN(M13/L8)+(L12+1)*LN(L8)</f>
        <v>#NAME?</v>
      </c>
      <c r="W6" t="s">
        <v>209</v>
      </c>
      <c r="X6" t="e">
        <f ca="1">1-(1-X5)*(X8-1)/(X8-X12-1)</f>
        <v>#NAME?</v>
      </c>
      <c r="Z6" s="367" t="s">
        <v>762</v>
      </c>
      <c r="AA6" s="367" t="e">
        <f ca="1">X8*LN(Y13/X8)+(X12+1)*LN(X8)</f>
        <v>#NAME?</v>
      </c>
      <c r="AE6">
        <f t="shared" ref="AE6:AE11" si="2">AE5+1</f>
        <v>3</v>
      </c>
      <c r="AF6" t="e">
        <f t="shared" ca="1" si="0"/>
        <v>#NAME?</v>
      </c>
      <c r="AG6" t="e">
        <f t="shared" ca="1" si="1"/>
        <v>#NAME?</v>
      </c>
      <c r="AI6" s="284" t="e">
        <f ca="1"/>
        <v>#NAME?</v>
      </c>
      <c r="AJ6" s="288" t="e">
        <f ca="1"/>
        <v>#NAME?</v>
      </c>
      <c r="AN6" s="294" t="e">
        <f ca="1"/>
        <v>#NAME?</v>
      </c>
      <c r="AO6" s="5" t="e">
        <f ca="1"/>
        <v>#NAME?</v>
      </c>
      <c r="AP6" s="295" t="e">
        <f ca="1"/>
        <v>#NAME?</v>
      </c>
    </row>
    <row r="7" spans="1:42">
      <c r="A7" s="26">
        <v>2</v>
      </c>
      <c r="B7">
        <v>51</v>
      </c>
      <c r="K7" t="s">
        <v>9</v>
      </c>
      <c r="L7" t="e">
        <f ca="1">SQRT(N13)</f>
        <v>#NAME?</v>
      </c>
      <c r="S7" t="s">
        <v>816</v>
      </c>
      <c r="T7" s="556" t="e">
        <f ca="1">PolyDeg(A2:A31,B2:B31,S5)</f>
        <v>#NAME?</v>
      </c>
      <c r="W7" t="s">
        <v>9</v>
      </c>
      <c r="X7" t="e">
        <f ca="1">SQRT(Z13)</f>
        <v>#NAME?</v>
      </c>
      <c r="AE7">
        <f t="shared" si="2"/>
        <v>4</v>
      </c>
      <c r="AF7" t="e">
        <f t="shared" ca="1" si="0"/>
        <v>#NAME?</v>
      </c>
      <c r="AG7" t="e">
        <f t="shared" ca="1" si="1"/>
        <v>#NAME?</v>
      </c>
      <c r="AN7" s="294" t="e">
        <f ca="1"/>
        <v>#NAME?</v>
      </c>
      <c r="AO7" s="5" t="e">
        <f ca="1"/>
        <v>#NAME?</v>
      </c>
      <c r="AP7" s="295" t="e">
        <f ca="1"/>
        <v>#NAME?</v>
      </c>
    </row>
    <row r="8" spans="1:42">
      <c r="A8" s="26">
        <v>2.2000000000000002</v>
      </c>
      <c r="B8">
        <v>56</v>
      </c>
      <c r="K8" s="367" t="s">
        <v>42</v>
      </c>
      <c r="L8" s="367">
        <f>COUNT(B2:B31)</f>
        <v>30</v>
      </c>
      <c r="W8" s="367" t="s">
        <v>42</v>
      </c>
      <c r="X8" s="367">
        <f>COUNT(B2:B31)</f>
        <v>30</v>
      </c>
      <c r="AE8">
        <f t="shared" si="2"/>
        <v>5</v>
      </c>
      <c r="AF8" t="e">
        <f t="shared" ca="1" si="0"/>
        <v>#NAME?</v>
      </c>
      <c r="AG8" t="e">
        <f t="shared" ca="1" si="1"/>
        <v>#NAME?</v>
      </c>
      <c r="AJ8" s="303" t="e">
        <f ca="1">PolyDeg(A2:A31,B2:B31,8)</f>
        <v>#NAME?</v>
      </c>
      <c r="AL8" t="e">
        <f ca="1">FTEXT(AJ8)</f>
        <v>#NAME?</v>
      </c>
      <c r="AN8" s="294" t="e">
        <f ca="1"/>
        <v>#NAME?</v>
      </c>
      <c r="AO8" s="5" t="e">
        <f ca="1"/>
        <v>#NAME?</v>
      </c>
      <c r="AP8" s="295" t="e">
        <f ca="1"/>
        <v>#NAME?</v>
      </c>
    </row>
    <row r="9" spans="1:42">
      <c r="A9" s="26">
        <v>2.4</v>
      </c>
      <c r="B9">
        <v>64</v>
      </c>
      <c r="AE9">
        <f t="shared" si="2"/>
        <v>6</v>
      </c>
      <c r="AF9" t="e">
        <f t="shared" ca="1" si="0"/>
        <v>#NAME?</v>
      </c>
      <c r="AG9" t="e">
        <f t="shared" ca="1" si="1"/>
        <v>#NAME?</v>
      </c>
      <c r="AN9" s="294" t="e">
        <f ca="1"/>
        <v>#NAME?</v>
      </c>
      <c r="AO9" s="5" t="e">
        <f ca="1"/>
        <v>#NAME?</v>
      </c>
      <c r="AP9" s="295" t="e">
        <f ca="1"/>
        <v>#NAME?</v>
      </c>
    </row>
    <row r="10" spans="1:42" ht="15.75" thickBot="1">
      <c r="A10" s="26">
        <v>2.6</v>
      </c>
      <c r="B10">
        <v>76</v>
      </c>
      <c r="K10" t="s">
        <v>210</v>
      </c>
      <c r="O10" s="552" t="s">
        <v>16</v>
      </c>
      <c r="P10" s="552">
        <v>0.05</v>
      </c>
      <c r="W10" t="s">
        <v>210</v>
      </c>
      <c r="AA10" s="552" t="s">
        <v>16</v>
      </c>
      <c r="AB10" s="552">
        <v>0.05</v>
      </c>
      <c r="AE10">
        <f t="shared" si="2"/>
        <v>7</v>
      </c>
      <c r="AF10" t="e">
        <f t="shared" ca="1" si="0"/>
        <v>#NAME?</v>
      </c>
      <c r="AG10" t="e">
        <f t="shared" ca="1" si="1"/>
        <v>#NAME?</v>
      </c>
      <c r="AJ10" s="303" t="e">
        <f ca="1">PolyRSquare($A$2:$A$31,$B$2:$B$31,5)</f>
        <v>#NAME?</v>
      </c>
      <c r="AL10" t="e">
        <f ca="1">FTEXT(AJ10)</f>
        <v>#NAME?</v>
      </c>
      <c r="AN10" s="294" t="e">
        <f ca="1"/>
        <v>#NAME?</v>
      </c>
      <c r="AO10" s="5" t="e">
        <f ca="1"/>
        <v>#NAME?</v>
      </c>
      <c r="AP10" s="295" t="e">
        <f ca="1"/>
        <v>#NAME?</v>
      </c>
    </row>
    <row r="11" spans="1:42" ht="15.75" thickTop="1">
      <c r="A11" s="26">
        <v>2.8</v>
      </c>
      <c r="B11">
        <v>95</v>
      </c>
      <c r="K11" s="398"/>
      <c r="L11" s="398" t="s">
        <v>26</v>
      </c>
      <c r="M11" s="398" t="s">
        <v>137</v>
      </c>
      <c r="N11" s="398" t="s">
        <v>156</v>
      </c>
      <c r="O11" s="398" t="s">
        <v>63</v>
      </c>
      <c r="P11" s="398" t="s">
        <v>30</v>
      </c>
      <c r="Q11" s="398" t="s">
        <v>374</v>
      </c>
      <c r="W11" s="398"/>
      <c r="X11" s="398" t="s">
        <v>26</v>
      </c>
      <c r="Y11" s="398" t="s">
        <v>137</v>
      </c>
      <c r="Z11" s="398" t="s">
        <v>156</v>
      </c>
      <c r="AA11" s="398" t="s">
        <v>63</v>
      </c>
      <c r="AB11" s="398" t="s">
        <v>30</v>
      </c>
      <c r="AC11" s="398" t="s">
        <v>374</v>
      </c>
      <c r="AE11" s="367">
        <f t="shared" si="2"/>
        <v>8</v>
      </c>
      <c r="AF11" s="367" t="e">
        <f t="shared" ca="1" si="0"/>
        <v>#NAME?</v>
      </c>
      <c r="AG11" s="367" t="e">
        <f t="shared" ca="1" si="1"/>
        <v>#NAME?</v>
      </c>
      <c r="AN11" s="294" t="e">
        <f ca="1"/>
        <v>#NAME?</v>
      </c>
      <c r="AO11" s="5" t="e">
        <f ca="1"/>
        <v>#NAME?</v>
      </c>
      <c r="AP11" s="295" t="e">
        <f ca="1"/>
        <v>#NAME?</v>
      </c>
    </row>
    <row r="12" spans="1:42">
      <c r="A12" s="26">
        <v>3</v>
      </c>
      <c r="B12">
        <v>111</v>
      </c>
      <c r="K12" t="s">
        <v>138</v>
      </c>
      <c r="L12">
        <f>COUNTA(K18:K19)</f>
        <v>2</v>
      </c>
      <c r="M12" t="e">
        <f ca="1">DEVSQ(MMULT(PolyDesign(A2:A31,L12,TRUE),L17:L19))</f>
        <v>#NAME?</v>
      </c>
      <c r="N12" t="e">
        <f ca="1">M12/L12</f>
        <v>#NAME?</v>
      </c>
      <c r="O12" t="e">
        <f ca="1">N12/N13</f>
        <v>#NAME?</v>
      </c>
      <c r="P12" t="e">
        <f ca="1">FDIST(O12,L12,L13)</f>
        <v>#NAME?</v>
      </c>
      <c r="Q12" s="552" t="e">
        <f ca="1">IF(P12&lt;P10,"yes","no")</f>
        <v>#NAME?</v>
      </c>
      <c r="W12" t="s">
        <v>138</v>
      </c>
      <c r="X12">
        <f>COUNTA(W18:W20)</f>
        <v>3</v>
      </c>
      <c r="Y12" t="e">
        <f ca="1">DEVSQ(MMULT(PolyDesign(A2:A31,X12,TRUE),X17:X20))</f>
        <v>#NAME?</v>
      </c>
      <c r="Z12" t="e">
        <f ca="1">Y12/X12</f>
        <v>#NAME?</v>
      </c>
      <c r="AA12" t="e">
        <f ca="1">Z12/Z13</f>
        <v>#NAME?</v>
      </c>
      <c r="AB12" t="e">
        <f ca="1">FDIST(AA12,X12,X13)</f>
        <v>#NAME?</v>
      </c>
      <c r="AC12" s="552" t="e">
        <f ca="1">IF(AB12&lt;AB10,"yes","no")</f>
        <v>#NAME?</v>
      </c>
      <c r="AN12" s="294" t="e">
        <f ca="1"/>
        <v>#NAME?</v>
      </c>
      <c r="AO12" s="5" t="e">
        <f ca="1"/>
        <v>#NAME?</v>
      </c>
      <c r="AP12" s="295" t="e">
        <f ca="1"/>
        <v>#NAME?</v>
      </c>
    </row>
    <row r="13" spans="1:42">
      <c r="A13" s="26">
        <v>3.2</v>
      </c>
      <c r="B13">
        <v>107</v>
      </c>
      <c r="K13" t="s">
        <v>211</v>
      </c>
      <c r="L13">
        <f>L14-L12</f>
        <v>27</v>
      </c>
      <c r="M13" t="e">
        <f ca="1">M14-M12</f>
        <v>#NAME?</v>
      </c>
      <c r="N13" t="e">
        <f ca="1">M13/L13</f>
        <v>#NAME?</v>
      </c>
      <c r="W13" t="s">
        <v>211</v>
      </c>
      <c r="X13">
        <f>X14-X12</f>
        <v>26</v>
      </c>
      <c r="Y13" t="e">
        <f ca="1">Y14-Y12</f>
        <v>#NAME?</v>
      </c>
      <c r="Z13" t="e">
        <f ca="1">Y13/X13</f>
        <v>#NAME?</v>
      </c>
      <c r="AE13" t="s">
        <v>816</v>
      </c>
      <c r="AF13" s="556" t="e">
        <f ca="1">PolyDeg(A2:A31,B2:B31,AE11)</f>
        <v>#NAME?</v>
      </c>
      <c r="AN13" s="294" t="e">
        <f ca="1"/>
        <v>#NAME?</v>
      </c>
      <c r="AO13" s="5" t="e">
        <f ca="1"/>
        <v>#NAME?</v>
      </c>
      <c r="AP13" s="295" t="e">
        <f ca="1"/>
        <v>#NAME?</v>
      </c>
    </row>
    <row r="14" spans="1:42">
      <c r="A14" s="26">
        <v>3.4</v>
      </c>
      <c r="B14">
        <v>121</v>
      </c>
      <c r="K14" s="367" t="s">
        <v>1</v>
      </c>
      <c r="L14" s="367">
        <f>L8-1</f>
        <v>29</v>
      </c>
      <c r="M14" s="367">
        <f>DEVSQ(B2:B31)</f>
        <v>1317093.4666666668</v>
      </c>
      <c r="N14" s="367"/>
      <c r="O14" s="367"/>
      <c r="P14" s="367"/>
      <c r="Q14" s="367"/>
      <c r="W14" s="367" t="s">
        <v>1</v>
      </c>
      <c r="X14" s="367">
        <f>X8-1</f>
        <v>29</v>
      </c>
      <c r="Y14" s="367">
        <f>DEVSQ(B2:B31)</f>
        <v>1317093.4666666668</v>
      </c>
      <c r="Z14" s="367"/>
      <c r="AA14" s="367"/>
      <c r="AB14" s="367"/>
      <c r="AC14" s="367"/>
      <c r="AN14" s="294" t="e">
        <f ca="1"/>
        <v>#NAME?</v>
      </c>
      <c r="AO14" s="5" t="e">
        <f ca="1"/>
        <v>#NAME?</v>
      </c>
      <c r="AP14" s="295" t="e">
        <f ca="1"/>
        <v>#NAME?</v>
      </c>
    </row>
    <row r="15" spans="1:42" ht="15.75" thickBot="1">
      <c r="A15" s="26">
        <v>3.6</v>
      </c>
      <c r="B15">
        <v>143</v>
      </c>
      <c r="AN15" s="294" t="e">
        <f ca="1"/>
        <v>#NAME?</v>
      </c>
      <c r="AO15" s="5" t="e">
        <f ca="1"/>
        <v>#NAME?</v>
      </c>
      <c r="AP15" s="295" t="e">
        <f ca="1"/>
        <v>#NAME?</v>
      </c>
    </row>
    <row r="16" spans="1:42" ht="15.75" thickTop="1">
      <c r="A16" s="26">
        <v>3.8</v>
      </c>
      <c r="B16">
        <v>168</v>
      </c>
      <c r="K16" s="398"/>
      <c r="L16" s="398" t="s">
        <v>600</v>
      </c>
      <c r="M16" s="398" t="s">
        <v>503</v>
      </c>
      <c r="N16" s="398" t="s">
        <v>27</v>
      </c>
      <c r="O16" s="398" t="s">
        <v>30</v>
      </c>
      <c r="P16" s="398" t="s">
        <v>13</v>
      </c>
      <c r="Q16" s="398" t="s">
        <v>14</v>
      </c>
      <c r="W16" s="398"/>
      <c r="X16" s="398" t="s">
        <v>600</v>
      </c>
      <c r="Y16" s="398" t="s">
        <v>503</v>
      </c>
      <c r="Z16" s="398" t="s">
        <v>27</v>
      </c>
      <c r="AA16" s="398" t="s">
        <v>30</v>
      </c>
      <c r="AB16" s="398" t="s">
        <v>13</v>
      </c>
      <c r="AC16" s="398" t="s">
        <v>14</v>
      </c>
      <c r="AN16" s="294" t="e">
        <f ca="1"/>
        <v>#NAME?</v>
      </c>
      <c r="AO16" s="5" t="e">
        <f ca="1"/>
        <v>#NAME?</v>
      </c>
      <c r="AP16" s="295" t="e">
        <f ca="1"/>
        <v>#NAME?</v>
      </c>
    </row>
    <row r="17" spans="1:42">
      <c r="A17" s="26">
        <v>4</v>
      </c>
      <c r="B17">
        <v>197</v>
      </c>
      <c r="K17" s="399" t="s">
        <v>212</v>
      </c>
      <c r="L17" s="399" t="e">
        <f t="array" aca="1" ref="L17:M19" ca="1">PolyCoeff(A2:A31,B2:B31,L12)</f>
        <v>#NAME?</v>
      </c>
      <c r="M17" s="399" t="e">
        <f ca="1"/>
        <v>#NAME?</v>
      </c>
      <c r="N17" s="399" t="e">
        <f ca="1">L17/M17</f>
        <v>#NAME?</v>
      </c>
      <c r="O17" s="399" t="e">
        <f ca="1">TDIST(ABS(N17),$L$13,2)</f>
        <v>#NAME?</v>
      </c>
      <c r="P17" s="399" t="e">
        <f ca="1">L17-TINV(P$10,$L$13)*M17</f>
        <v>#NAME?</v>
      </c>
      <c r="Q17" s="399" t="e">
        <f ca="1">L17+TINV(P$10,$L$13)*M17</f>
        <v>#NAME?</v>
      </c>
      <c r="W17" s="399" t="s">
        <v>212</v>
      </c>
      <c r="X17" s="399" t="e">
        <f t="array" aca="1" ref="X17:Y20" ca="1">PolyCoeff(A2:A31,B2:B31,X12)</f>
        <v>#NAME?</v>
      </c>
      <c r="Y17" s="399" t="e">
        <f ca="1"/>
        <v>#NAME?</v>
      </c>
      <c r="Z17" s="399" t="e">
        <f ca="1">X17/Y17</f>
        <v>#NAME?</v>
      </c>
      <c r="AA17" s="399" t="e">
        <f ca="1">TDIST(ABS(Z17),$X$13,2)</f>
        <v>#NAME?</v>
      </c>
      <c r="AB17" s="399" t="e">
        <f ca="1">X17-TINV(AB$10,$X$13)*Y17</f>
        <v>#NAME?</v>
      </c>
      <c r="AC17" s="399" t="e">
        <f ca="1">X17+TINV(AB$10,$X$13)*Y17</f>
        <v>#NAME?</v>
      </c>
      <c r="AN17" s="294" t="e">
        <f ca="1"/>
        <v>#NAME?</v>
      </c>
      <c r="AO17" s="5" t="e">
        <f ca="1"/>
        <v>#NAME?</v>
      </c>
      <c r="AP17" s="295" t="e">
        <f ca="1"/>
        <v>#NAME?</v>
      </c>
    </row>
    <row r="18" spans="1:42">
      <c r="A18" s="26">
        <v>4.2</v>
      </c>
      <c r="B18">
        <v>229</v>
      </c>
      <c r="K18" s="5" t="s">
        <v>817</v>
      </c>
      <c r="L18" s="5" t="e">
        <f ca="1"/>
        <v>#NAME?</v>
      </c>
      <c r="M18" s="5" t="e">
        <f ca="1"/>
        <v>#NAME?</v>
      </c>
      <c r="N18" s="5" t="e">
        <f ca="1">L18/M18</f>
        <v>#NAME?</v>
      </c>
      <c r="O18" s="5" t="e">
        <f ca="1">TDIST(ABS(N18),$L$13,2)</f>
        <v>#NAME?</v>
      </c>
      <c r="P18" s="5" t="e">
        <f ca="1">L18-TINV(P$10,$L$13)*M18</f>
        <v>#NAME?</v>
      </c>
      <c r="Q18" s="5" t="e">
        <f ca="1">L18+TINV(P$10,$L$13)*M18</f>
        <v>#NAME?</v>
      </c>
      <c r="W18" s="5" t="s">
        <v>817</v>
      </c>
      <c r="X18" s="5" t="e">
        <f ca="1"/>
        <v>#NAME?</v>
      </c>
      <c r="Y18" s="5" t="e">
        <f ca="1"/>
        <v>#NAME?</v>
      </c>
      <c r="Z18" s="5" t="e">
        <f ca="1">X18/Y18</f>
        <v>#NAME?</v>
      </c>
      <c r="AA18" s="5" t="e">
        <f ca="1">TDIST(ABS(Z18),$X$13,2)</f>
        <v>#NAME?</v>
      </c>
      <c r="AB18" s="5" t="e">
        <f ca="1">X18-TINV(AB$10,$X$13)*Y18</f>
        <v>#NAME?</v>
      </c>
      <c r="AC18" s="5" t="e">
        <f ca="1">X18+TINV(AB$10,$X$13)*Y18</f>
        <v>#NAME?</v>
      </c>
      <c r="AN18" s="294" t="e">
        <f ca="1"/>
        <v>#NAME?</v>
      </c>
      <c r="AO18" s="5" t="e">
        <f ca="1"/>
        <v>#NAME?</v>
      </c>
      <c r="AP18" s="295" t="e">
        <f ca="1"/>
        <v>#NAME?</v>
      </c>
    </row>
    <row r="19" spans="1:42">
      <c r="A19" s="26">
        <v>4.4000000000000004</v>
      </c>
      <c r="B19">
        <v>241</v>
      </c>
      <c r="K19" s="367" t="s">
        <v>818</v>
      </c>
      <c r="L19" s="367" t="e">
        <f ca="1"/>
        <v>#NAME?</v>
      </c>
      <c r="M19" s="367" t="e">
        <f ca="1"/>
        <v>#NAME?</v>
      </c>
      <c r="N19" s="367" t="e">
        <f ca="1">L19/M19</f>
        <v>#NAME?</v>
      </c>
      <c r="O19" s="367" t="e">
        <f ca="1">TDIST(ABS(N19),$L$13,2)</f>
        <v>#NAME?</v>
      </c>
      <c r="P19" s="367" t="e">
        <f ca="1">L19-TINV(P$10,$L$13)*M19</f>
        <v>#NAME?</v>
      </c>
      <c r="Q19" s="367" t="e">
        <f ca="1">L19+TINV(P$10,$L$13)*M19</f>
        <v>#NAME?</v>
      </c>
      <c r="W19" s="5" t="s">
        <v>818</v>
      </c>
      <c r="X19" s="5" t="e">
        <f ca="1"/>
        <v>#NAME?</v>
      </c>
      <c r="Y19" s="5" t="e">
        <f ca="1"/>
        <v>#NAME?</v>
      </c>
      <c r="Z19" s="5" t="e">
        <f ca="1">X19/Y19</f>
        <v>#NAME?</v>
      </c>
      <c r="AA19" s="5" t="e">
        <f ca="1">TDIST(ABS(Z19),$X$13,2)</f>
        <v>#NAME?</v>
      </c>
      <c r="AB19" s="5" t="e">
        <f ca="1">X19-TINV(AB$10,$X$13)*Y19</f>
        <v>#NAME?</v>
      </c>
      <c r="AC19" s="5" t="e">
        <f ca="1">X19+TINV(AB$10,$X$13)*Y19</f>
        <v>#NAME?</v>
      </c>
      <c r="AN19" s="294" t="e">
        <f ca="1"/>
        <v>#NAME?</v>
      </c>
      <c r="AO19" s="5" t="e">
        <f ca="1"/>
        <v>#NAME?</v>
      </c>
      <c r="AP19" s="295" t="e">
        <f ca="1"/>
        <v>#NAME?</v>
      </c>
    </row>
    <row r="20" spans="1:42">
      <c r="A20" s="26">
        <v>4.5999999999999996</v>
      </c>
      <c r="B20">
        <v>249</v>
      </c>
      <c r="W20" s="367" t="s">
        <v>819</v>
      </c>
      <c r="X20" s="367" t="e">
        <f ca="1"/>
        <v>#NAME?</v>
      </c>
      <c r="Y20" s="367" t="e">
        <f ca="1"/>
        <v>#NAME?</v>
      </c>
      <c r="Z20" s="367" t="e">
        <f ca="1">X20/Y20</f>
        <v>#NAME?</v>
      </c>
      <c r="AA20" s="367" t="e">
        <f ca="1">TDIST(ABS(Z20),$X$13,2)</f>
        <v>#NAME?</v>
      </c>
      <c r="AB20" s="367" t="e">
        <f ca="1">X20-TINV(AB$10,$X$13)*Y20</f>
        <v>#NAME?</v>
      </c>
      <c r="AC20" s="367" t="e">
        <f ca="1">X20+TINV(AB$10,$X$13)*Y20</f>
        <v>#NAME?</v>
      </c>
      <c r="AN20" s="294" t="e">
        <f ca="1"/>
        <v>#NAME?</v>
      </c>
      <c r="AO20" s="5" t="e">
        <f ca="1"/>
        <v>#NAME?</v>
      </c>
      <c r="AP20" s="295" t="e">
        <f ca="1"/>
        <v>#NAME?</v>
      </c>
    </row>
    <row r="21" spans="1:42">
      <c r="A21" s="26">
        <v>4.8</v>
      </c>
      <c r="B21">
        <v>303</v>
      </c>
      <c r="AN21" s="294" t="e">
        <f ca="1"/>
        <v>#NAME?</v>
      </c>
      <c r="AO21" s="5" t="e">
        <f ca="1"/>
        <v>#NAME?</v>
      </c>
      <c r="AP21" s="295" t="e">
        <f ca="1"/>
        <v>#NAME?</v>
      </c>
    </row>
    <row r="22" spans="1:42">
      <c r="A22" s="26">
        <v>5</v>
      </c>
      <c r="B22">
        <v>339</v>
      </c>
      <c r="AN22" s="294" t="e">
        <f ca="1"/>
        <v>#NAME?</v>
      </c>
      <c r="AO22" s="5" t="e">
        <f ca="1"/>
        <v>#NAME?</v>
      </c>
      <c r="AP22" s="295" t="e">
        <f ca="1"/>
        <v>#NAME?</v>
      </c>
    </row>
    <row r="23" spans="1:42">
      <c r="A23" s="26">
        <v>5.2</v>
      </c>
      <c r="B23">
        <v>317</v>
      </c>
      <c r="AN23" s="294" t="e">
        <f ca="1"/>
        <v>#NAME?</v>
      </c>
      <c r="AO23" s="5" t="e">
        <f ca="1"/>
        <v>#NAME?</v>
      </c>
      <c r="AP23" s="295" t="e">
        <f ca="1"/>
        <v>#NAME?</v>
      </c>
    </row>
    <row r="24" spans="1:42">
      <c r="A24" s="26">
        <v>5.4</v>
      </c>
      <c r="B24">
        <v>387</v>
      </c>
      <c r="AN24" s="294" t="e">
        <f ca="1"/>
        <v>#NAME?</v>
      </c>
      <c r="AO24" s="5" t="e">
        <f ca="1"/>
        <v>#NAME?</v>
      </c>
      <c r="AP24" s="295" t="e">
        <f ca="1"/>
        <v>#NAME?</v>
      </c>
    </row>
    <row r="25" spans="1:42">
      <c r="A25" s="26">
        <v>5.6</v>
      </c>
      <c r="B25">
        <v>430</v>
      </c>
      <c r="AN25" s="294" t="e">
        <f ca="1"/>
        <v>#NAME?</v>
      </c>
      <c r="AO25" s="5" t="e">
        <f ca="1"/>
        <v>#NAME?</v>
      </c>
      <c r="AP25" s="295" t="e">
        <f ca="1"/>
        <v>#NAME?</v>
      </c>
    </row>
    <row r="26" spans="1:42">
      <c r="A26" s="26">
        <v>5.8</v>
      </c>
      <c r="B26">
        <v>478</v>
      </c>
      <c r="AN26" s="294" t="e">
        <f ca="1"/>
        <v>#NAME?</v>
      </c>
      <c r="AO26" s="5" t="e">
        <f ca="1"/>
        <v>#NAME?</v>
      </c>
      <c r="AP26" s="295" t="e">
        <f ca="1"/>
        <v>#NAME?</v>
      </c>
    </row>
    <row r="27" spans="1:42">
      <c r="A27" s="26">
        <v>6</v>
      </c>
      <c r="B27">
        <v>510</v>
      </c>
      <c r="AN27" s="294" t="e">
        <f ca="1"/>
        <v>#NAME?</v>
      </c>
      <c r="AO27" s="5" t="e">
        <f ca="1"/>
        <v>#NAME?</v>
      </c>
      <c r="AP27" s="295" t="e">
        <f ca="1"/>
        <v>#NAME?</v>
      </c>
    </row>
    <row r="28" spans="1:42">
      <c r="A28" s="26">
        <v>6.2</v>
      </c>
      <c r="B28">
        <v>560</v>
      </c>
      <c r="AN28" s="294" t="e">
        <f ca="1"/>
        <v>#NAME?</v>
      </c>
      <c r="AO28" s="5" t="e">
        <f ca="1"/>
        <v>#NAME?</v>
      </c>
      <c r="AP28" s="295" t="e">
        <f ca="1"/>
        <v>#NAME?</v>
      </c>
    </row>
    <row r="29" spans="1:42">
      <c r="A29" s="26">
        <v>6.4</v>
      </c>
      <c r="B29">
        <v>600</v>
      </c>
      <c r="AN29" s="294" t="e">
        <f ca="1"/>
        <v>#NAME?</v>
      </c>
      <c r="AO29" s="5" t="e">
        <f ca="1"/>
        <v>#NAME?</v>
      </c>
      <c r="AP29" s="295" t="e">
        <f ca="1"/>
        <v>#NAME?</v>
      </c>
    </row>
    <row r="30" spans="1:42">
      <c r="A30" s="26">
        <v>6.6</v>
      </c>
      <c r="B30">
        <v>690</v>
      </c>
      <c r="AN30" s="294" t="e">
        <f ca="1"/>
        <v>#NAME?</v>
      </c>
      <c r="AO30" s="5" t="e">
        <f ca="1"/>
        <v>#NAME?</v>
      </c>
      <c r="AP30" s="295" t="e">
        <f ca="1"/>
        <v>#NAME?</v>
      </c>
    </row>
    <row r="31" spans="1:42">
      <c r="A31" s="26">
        <v>6.8</v>
      </c>
      <c r="B31">
        <v>710</v>
      </c>
      <c r="AN31" s="284" t="e">
        <f ca="1"/>
        <v>#NAME?</v>
      </c>
      <c r="AO31" s="367" t="e">
        <f ca="1"/>
        <v>#NAME?</v>
      </c>
      <c r="AP31" s="288" t="e">
        <f ca="1"/>
        <v>#NAME?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60"/>
  <dimension ref="A1:G31"/>
  <sheetViews>
    <sheetView workbookViewId="0"/>
  </sheetViews>
  <sheetFormatPr defaultRowHeight="15"/>
  <cols>
    <col min="1" max="1" width="6.85546875" style="26" customWidth="1"/>
    <col min="2" max="2" width="6.85546875" customWidth="1"/>
    <col min="3" max="3" width="5" customWidth="1"/>
  </cols>
  <sheetData>
    <row r="1" spans="1:7">
      <c r="A1" s="555" t="s">
        <v>291</v>
      </c>
      <c r="B1" s="11" t="s">
        <v>292</v>
      </c>
      <c r="D1" t="str">
        <f>B1</f>
        <v>Y</v>
      </c>
      <c r="E1" s="26" t="str">
        <f>A1</f>
        <v>X</v>
      </c>
      <c r="F1" t="str">
        <f>A1&amp;"^"&amp;2</f>
        <v>X^2</v>
      </c>
      <c r="G1" t="str">
        <f>A1&amp;"^"&amp;3</f>
        <v>X^3</v>
      </c>
    </row>
    <row r="2" spans="1:7">
      <c r="A2" s="26">
        <v>1</v>
      </c>
      <c r="B2">
        <v>7</v>
      </c>
      <c r="D2">
        <f t="shared" ref="D2:D31" si="0">B2</f>
        <v>7</v>
      </c>
      <c r="E2" s="26">
        <f t="shared" ref="E2:E31" si="1">A2</f>
        <v>1</v>
      </c>
      <c r="F2">
        <f>$A2^2</f>
        <v>1</v>
      </c>
      <c r="G2">
        <f>$A2^3</f>
        <v>1</v>
      </c>
    </row>
    <row r="3" spans="1:7">
      <c r="A3" s="26">
        <v>1.2</v>
      </c>
      <c r="B3">
        <v>12</v>
      </c>
      <c r="D3">
        <f t="shared" si="0"/>
        <v>12</v>
      </c>
      <c r="E3" s="26">
        <f t="shared" si="1"/>
        <v>1.2</v>
      </c>
      <c r="F3">
        <f t="shared" ref="F3:F31" si="2">$A3^2</f>
        <v>1.44</v>
      </c>
      <c r="G3">
        <f t="shared" ref="G3:G31" si="3">$A3^3</f>
        <v>1.728</v>
      </c>
    </row>
    <row r="4" spans="1:7">
      <c r="A4" s="26">
        <v>1.4</v>
      </c>
      <c r="B4">
        <v>18</v>
      </c>
      <c r="D4">
        <f t="shared" si="0"/>
        <v>18</v>
      </c>
      <c r="E4" s="26">
        <f t="shared" si="1"/>
        <v>1.4</v>
      </c>
      <c r="F4">
        <f t="shared" si="2"/>
        <v>1.9599999999999997</v>
      </c>
      <c r="G4">
        <f t="shared" si="3"/>
        <v>2.7439999999999993</v>
      </c>
    </row>
    <row r="5" spans="1:7">
      <c r="A5" s="26">
        <v>1.6</v>
      </c>
      <c r="B5">
        <v>27</v>
      </c>
      <c r="D5">
        <f t="shared" si="0"/>
        <v>27</v>
      </c>
      <c r="E5" s="26">
        <f t="shared" si="1"/>
        <v>1.6</v>
      </c>
      <c r="F5">
        <f t="shared" si="2"/>
        <v>2.5600000000000005</v>
      </c>
      <c r="G5">
        <f t="shared" si="3"/>
        <v>4.096000000000001</v>
      </c>
    </row>
    <row r="6" spans="1:7">
      <c r="A6" s="26">
        <v>1.8</v>
      </c>
      <c r="B6">
        <v>38</v>
      </c>
      <c r="D6">
        <f t="shared" si="0"/>
        <v>38</v>
      </c>
      <c r="E6" s="26">
        <f t="shared" si="1"/>
        <v>1.8</v>
      </c>
      <c r="F6">
        <f t="shared" si="2"/>
        <v>3.24</v>
      </c>
      <c r="G6">
        <f t="shared" si="3"/>
        <v>5.8320000000000007</v>
      </c>
    </row>
    <row r="7" spans="1:7">
      <c r="A7" s="26">
        <v>2</v>
      </c>
      <c r="B7">
        <v>51</v>
      </c>
      <c r="D7">
        <f t="shared" si="0"/>
        <v>51</v>
      </c>
      <c r="E7" s="26">
        <f t="shared" si="1"/>
        <v>2</v>
      </c>
      <c r="F7">
        <f t="shared" si="2"/>
        <v>4</v>
      </c>
      <c r="G7">
        <f t="shared" si="3"/>
        <v>8</v>
      </c>
    </row>
    <row r="8" spans="1:7">
      <c r="A8" s="26">
        <v>2.2000000000000002</v>
      </c>
      <c r="B8">
        <v>56</v>
      </c>
      <c r="D8">
        <f t="shared" si="0"/>
        <v>56</v>
      </c>
      <c r="E8" s="26">
        <f t="shared" si="1"/>
        <v>2.2000000000000002</v>
      </c>
      <c r="F8">
        <f t="shared" si="2"/>
        <v>4.8400000000000007</v>
      </c>
      <c r="G8">
        <f t="shared" si="3"/>
        <v>10.648000000000003</v>
      </c>
    </row>
    <row r="9" spans="1:7">
      <c r="A9" s="26">
        <v>2.4</v>
      </c>
      <c r="B9">
        <v>64</v>
      </c>
      <c r="D9">
        <f t="shared" si="0"/>
        <v>64</v>
      </c>
      <c r="E9" s="26">
        <f t="shared" si="1"/>
        <v>2.4</v>
      </c>
      <c r="F9">
        <f t="shared" si="2"/>
        <v>5.76</v>
      </c>
      <c r="G9">
        <f t="shared" si="3"/>
        <v>13.824</v>
      </c>
    </row>
    <row r="10" spans="1:7">
      <c r="A10" s="26">
        <v>2.6</v>
      </c>
      <c r="B10">
        <v>76</v>
      </c>
      <c r="D10">
        <f t="shared" si="0"/>
        <v>76</v>
      </c>
      <c r="E10" s="26">
        <f t="shared" si="1"/>
        <v>2.6</v>
      </c>
      <c r="F10">
        <f t="shared" si="2"/>
        <v>6.7600000000000007</v>
      </c>
      <c r="G10">
        <f t="shared" si="3"/>
        <v>17.576000000000004</v>
      </c>
    </row>
    <row r="11" spans="1:7">
      <c r="A11" s="26">
        <v>2.8</v>
      </c>
      <c r="B11">
        <v>95</v>
      </c>
      <c r="D11">
        <f t="shared" si="0"/>
        <v>95</v>
      </c>
      <c r="E11" s="26">
        <f t="shared" si="1"/>
        <v>2.8</v>
      </c>
      <c r="F11">
        <f t="shared" si="2"/>
        <v>7.839999999999999</v>
      </c>
      <c r="G11">
        <f t="shared" si="3"/>
        <v>21.951999999999995</v>
      </c>
    </row>
    <row r="12" spans="1:7">
      <c r="A12" s="26">
        <v>3</v>
      </c>
      <c r="B12">
        <v>111</v>
      </c>
      <c r="D12">
        <f t="shared" si="0"/>
        <v>111</v>
      </c>
      <c r="E12" s="26">
        <f t="shared" si="1"/>
        <v>3</v>
      </c>
      <c r="F12">
        <f t="shared" si="2"/>
        <v>9</v>
      </c>
      <c r="G12">
        <f t="shared" si="3"/>
        <v>27</v>
      </c>
    </row>
    <row r="13" spans="1:7">
      <c r="A13" s="26">
        <v>3.2</v>
      </c>
      <c r="B13">
        <v>107</v>
      </c>
      <c r="D13">
        <f t="shared" si="0"/>
        <v>107</v>
      </c>
      <c r="E13" s="26">
        <f t="shared" si="1"/>
        <v>3.2</v>
      </c>
      <c r="F13">
        <f t="shared" si="2"/>
        <v>10.240000000000002</v>
      </c>
      <c r="G13">
        <f t="shared" si="3"/>
        <v>32.768000000000008</v>
      </c>
    </row>
    <row r="14" spans="1:7">
      <c r="A14" s="26">
        <v>3.4</v>
      </c>
      <c r="B14">
        <v>121</v>
      </c>
      <c r="D14">
        <f t="shared" si="0"/>
        <v>121</v>
      </c>
      <c r="E14" s="26">
        <f t="shared" si="1"/>
        <v>3.4</v>
      </c>
      <c r="F14">
        <f t="shared" si="2"/>
        <v>11.559999999999999</v>
      </c>
      <c r="G14">
        <f t="shared" si="3"/>
        <v>39.303999999999995</v>
      </c>
    </row>
    <row r="15" spans="1:7">
      <c r="A15" s="26">
        <v>3.6</v>
      </c>
      <c r="B15">
        <v>143</v>
      </c>
      <c r="D15">
        <f t="shared" si="0"/>
        <v>143</v>
      </c>
      <c r="E15" s="26">
        <f t="shared" si="1"/>
        <v>3.6</v>
      </c>
      <c r="F15">
        <f t="shared" si="2"/>
        <v>12.96</v>
      </c>
      <c r="G15">
        <f t="shared" si="3"/>
        <v>46.656000000000006</v>
      </c>
    </row>
    <row r="16" spans="1:7">
      <c r="A16" s="26">
        <v>3.8</v>
      </c>
      <c r="B16">
        <v>168</v>
      </c>
      <c r="D16">
        <f t="shared" si="0"/>
        <v>168</v>
      </c>
      <c r="E16" s="26">
        <f t="shared" si="1"/>
        <v>3.8</v>
      </c>
      <c r="F16">
        <f t="shared" si="2"/>
        <v>14.44</v>
      </c>
      <c r="G16">
        <f t="shared" si="3"/>
        <v>54.871999999999993</v>
      </c>
    </row>
    <row r="17" spans="1:7">
      <c r="A17" s="26">
        <v>4</v>
      </c>
      <c r="B17">
        <v>197</v>
      </c>
      <c r="D17">
        <f t="shared" si="0"/>
        <v>197</v>
      </c>
      <c r="E17" s="26">
        <f t="shared" si="1"/>
        <v>4</v>
      </c>
      <c r="F17">
        <f t="shared" si="2"/>
        <v>16</v>
      </c>
      <c r="G17">
        <f t="shared" si="3"/>
        <v>64</v>
      </c>
    </row>
    <row r="18" spans="1:7">
      <c r="A18" s="26">
        <v>4.2</v>
      </c>
      <c r="B18">
        <v>229</v>
      </c>
      <c r="D18">
        <f t="shared" si="0"/>
        <v>229</v>
      </c>
      <c r="E18" s="26">
        <f t="shared" si="1"/>
        <v>4.2</v>
      </c>
      <c r="F18">
        <f t="shared" si="2"/>
        <v>17.64</v>
      </c>
      <c r="G18">
        <f t="shared" si="3"/>
        <v>74.088000000000008</v>
      </c>
    </row>
    <row r="19" spans="1:7">
      <c r="A19" s="26">
        <v>4.4000000000000004</v>
      </c>
      <c r="B19">
        <v>241</v>
      </c>
      <c r="D19">
        <f t="shared" si="0"/>
        <v>241</v>
      </c>
      <c r="E19" s="26">
        <f t="shared" si="1"/>
        <v>4.4000000000000004</v>
      </c>
      <c r="F19">
        <f t="shared" si="2"/>
        <v>19.360000000000003</v>
      </c>
      <c r="G19">
        <f t="shared" si="3"/>
        <v>85.184000000000026</v>
      </c>
    </row>
    <row r="20" spans="1:7">
      <c r="A20" s="26">
        <v>4.5999999999999996</v>
      </c>
      <c r="B20">
        <v>249</v>
      </c>
      <c r="D20">
        <f t="shared" si="0"/>
        <v>249</v>
      </c>
      <c r="E20" s="26">
        <f t="shared" si="1"/>
        <v>4.5999999999999996</v>
      </c>
      <c r="F20">
        <f t="shared" si="2"/>
        <v>21.159999999999997</v>
      </c>
      <c r="G20">
        <f t="shared" si="3"/>
        <v>97.33599999999997</v>
      </c>
    </row>
    <row r="21" spans="1:7">
      <c r="A21" s="26">
        <v>4.8</v>
      </c>
      <c r="B21">
        <v>303</v>
      </c>
      <c r="D21">
        <f t="shared" si="0"/>
        <v>303</v>
      </c>
      <c r="E21" s="26">
        <f t="shared" si="1"/>
        <v>4.8</v>
      </c>
      <c r="F21">
        <f t="shared" si="2"/>
        <v>23.04</v>
      </c>
      <c r="G21">
        <f t="shared" si="3"/>
        <v>110.592</v>
      </c>
    </row>
    <row r="22" spans="1:7">
      <c r="A22" s="26">
        <v>5</v>
      </c>
      <c r="B22">
        <v>339</v>
      </c>
      <c r="D22">
        <f t="shared" si="0"/>
        <v>339</v>
      </c>
      <c r="E22" s="26">
        <f t="shared" si="1"/>
        <v>5</v>
      </c>
      <c r="F22">
        <f t="shared" si="2"/>
        <v>25</v>
      </c>
      <c r="G22">
        <f t="shared" si="3"/>
        <v>125</v>
      </c>
    </row>
    <row r="23" spans="1:7">
      <c r="A23" s="26">
        <v>5.2</v>
      </c>
      <c r="B23">
        <v>317</v>
      </c>
      <c r="D23">
        <f t="shared" si="0"/>
        <v>317</v>
      </c>
      <c r="E23" s="26">
        <f t="shared" si="1"/>
        <v>5.2</v>
      </c>
      <c r="F23">
        <f t="shared" si="2"/>
        <v>27.040000000000003</v>
      </c>
      <c r="G23">
        <f t="shared" si="3"/>
        <v>140.60800000000003</v>
      </c>
    </row>
    <row r="24" spans="1:7">
      <c r="A24" s="26">
        <v>5.4</v>
      </c>
      <c r="B24">
        <v>387</v>
      </c>
      <c r="D24">
        <f t="shared" si="0"/>
        <v>387</v>
      </c>
      <c r="E24" s="26">
        <f t="shared" si="1"/>
        <v>5.4</v>
      </c>
      <c r="F24">
        <f t="shared" si="2"/>
        <v>29.160000000000004</v>
      </c>
      <c r="G24">
        <f t="shared" si="3"/>
        <v>157.46400000000003</v>
      </c>
    </row>
    <row r="25" spans="1:7">
      <c r="A25" s="26">
        <v>5.6</v>
      </c>
      <c r="B25">
        <v>430</v>
      </c>
      <c r="D25">
        <f t="shared" si="0"/>
        <v>430</v>
      </c>
      <c r="E25" s="26">
        <f t="shared" si="1"/>
        <v>5.6</v>
      </c>
      <c r="F25">
        <f t="shared" si="2"/>
        <v>31.359999999999996</v>
      </c>
      <c r="G25">
        <f t="shared" si="3"/>
        <v>175.61599999999996</v>
      </c>
    </row>
    <row r="26" spans="1:7">
      <c r="A26" s="26">
        <v>5.8</v>
      </c>
      <c r="B26">
        <v>478</v>
      </c>
      <c r="D26">
        <f t="shared" si="0"/>
        <v>478</v>
      </c>
      <c r="E26" s="26">
        <f t="shared" si="1"/>
        <v>5.8</v>
      </c>
      <c r="F26">
        <f t="shared" si="2"/>
        <v>33.64</v>
      </c>
      <c r="G26">
        <f t="shared" si="3"/>
        <v>195.11199999999999</v>
      </c>
    </row>
    <row r="27" spans="1:7">
      <c r="A27" s="26">
        <v>6</v>
      </c>
      <c r="B27">
        <v>510</v>
      </c>
      <c r="D27">
        <f t="shared" si="0"/>
        <v>510</v>
      </c>
      <c r="E27" s="26">
        <f t="shared" si="1"/>
        <v>6</v>
      </c>
      <c r="F27">
        <f t="shared" si="2"/>
        <v>36</v>
      </c>
      <c r="G27">
        <f t="shared" si="3"/>
        <v>216</v>
      </c>
    </row>
    <row r="28" spans="1:7">
      <c r="A28" s="26">
        <v>6.2</v>
      </c>
      <c r="B28">
        <v>560</v>
      </c>
      <c r="D28">
        <f t="shared" si="0"/>
        <v>560</v>
      </c>
      <c r="E28" s="26">
        <f t="shared" si="1"/>
        <v>6.2</v>
      </c>
      <c r="F28">
        <f t="shared" si="2"/>
        <v>38.440000000000005</v>
      </c>
      <c r="G28">
        <f t="shared" si="3"/>
        <v>238.32800000000003</v>
      </c>
    </row>
    <row r="29" spans="1:7">
      <c r="A29" s="26">
        <v>6.4</v>
      </c>
      <c r="B29">
        <v>600</v>
      </c>
      <c r="D29">
        <f t="shared" si="0"/>
        <v>600</v>
      </c>
      <c r="E29" s="26">
        <f t="shared" si="1"/>
        <v>6.4</v>
      </c>
      <c r="F29">
        <f t="shared" si="2"/>
        <v>40.960000000000008</v>
      </c>
      <c r="G29">
        <f t="shared" si="3"/>
        <v>262.14400000000006</v>
      </c>
    </row>
    <row r="30" spans="1:7">
      <c r="A30" s="26">
        <v>6.6</v>
      </c>
      <c r="B30">
        <v>690</v>
      </c>
      <c r="D30">
        <f t="shared" si="0"/>
        <v>690</v>
      </c>
      <c r="E30" s="26">
        <f t="shared" si="1"/>
        <v>6.6</v>
      </c>
      <c r="F30">
        <f t="shared" si="2"/>
        <v>43.559999999999995</v>
      </c>
      <c r="G30">
        <f t="shared" si="3"/>
        <v>287.49599999999998</v>
      </c>
    </row>
    <row r="31" spans="1:7">
      <c r="A31" s="26">
        <v>6.8</v>
      </c>
      <c r="B31">
        <v>710</v>
      </c>
      <c r="D31">
        <f t="shared" si="0"/>
        <v>710</v>
      </c>
      <c r="E31" s="26">
        <f t="shared" si="1"/>
        <v>6.8</v>
      </c>
      <c r="F31">
        <f t="shared" si="2"/>
        <v>46.239999999999995</v>
      </c>
      <c r="G31">
        <f t="shared" si="3"/>
        <v>314.43199999999996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257"/>
  <dimension ref="A1:AA58"/>
  <sheetViews>
    <sheetView workbookViewId="0"/>
  </sheetViews>
  <sheetFormatPr defaultRowHeight="15"/>
  <cols>
    <col min="4" max="4" width="5.42578125" customWidth="1"/>
    <col min="6" max="6" width="9.140625" customWidth="1"/>
    <col min="9" max="9" width="17.85546875" customWidth="1"/>
    <col min="17" max="17" width="12.85546875" customWidth="1"/>
    <col min="21" max="21" width="19.140625" customWidth="1"/>
    <col min="22" max="22" width="2" customWidth="1"/>
    <col min="26" max="26" width="4.42578125" customWidth="1"/>
    <col min="27" max="27" width="48.85546875" customWidth="1"/>
  </cols>
  <sheetData>
    <row r="1" spans="1:27">
      <c r="A1" s="1" t="s">
        <v>607</v>
      </c>
    </row>
    <row r="2" spans="1:27">
      <c r="A2" s="1"/>
    </row>
    <row r="3" spans="1:27">
      <c r="A3" s="1" t="s">
        <v>614</v>
      </c>
    </row>
    <row r="5" spans="1:27">
      <c r="A5" s="112" t="s">
        <v>296</v>
      </c>
      <c r="B5" s="112" t="s">
        <v>297</v>
      </c>
      <c r="C5" s="366" t="s">
        <v>290</v>
      </c>
      <c r="E5" s="112" t="s">
        <v>296</v>
      </c>
      <c r="F5" s="112" t="s">
        <v>297</v>
      </c>
      <c r="G5" s="366" t="s">
        <v>609</v>
      </c>
      <c r="I5" t="s">
        <v>601</v>
      </c>
      <c r="Q5" s="1" t="s">
        <v>275</v>
      </c>
      <c r="W5" s="1" t="s">
        <v>281</v>
      </c>
    </row>
    <row r="6" spans="1:27">
      <c r="A6" s="362">
        <v>7</v>
      </c>
      <c r="B6" s="362">
        <v>5</v>
      </c>
      <c r="C6" s="362">
        <v>58</v>
      </c>
      <c r="E6" s="362">
        <f>A6</f>
        <v>7</v>
      </c>
      <c r="F6" s="362">
        <f>B6</f>
        <v>5</v>
      </c>
      <c r="G6" s="11">
        <f>LN(C6)</f>
        <v>4.0604430105464191</v>
      </c>
    </row>
    <row r="7" spans="1:27" ht="15.75" thickBot="1">
      <c r="A7" s="362">
        <v>3</v>
      </c>
      <c r="B7" s="362">
        <v>7</v>
      </c>
      <c r="C7" s="362">
        <v>11</v>
      </c>
      <c r="E7" s="362">
        <f t="shared" ref="E7:E16" si="0">A7</f>
        <v>3</v>
      </c>
      <c r="F7" s="362">
        <f t="shared" ref="F7:F16" si="1">B7</f>
        <v>7</v>
      </c>
      <c r="G7" s="11">
        <f t="shared" ref="G7:G16" si="2">LN(C7)</f>
        <v>2.3978952727983707</v>
      </c>
      <c r="I7" s="364" t="s">
        <v>606</v>
      </c>
      <c r="J7" s="364"/>
      <c r="Q7" t="s">
        <v>276</v>
      </c>
      <c r="R7" s="108">
        <f t="array" ref="R7:T11">LOGEST(C6:C16,A6:B16,TRUE,TRUE)</f>
        <v>1.2586149756368867</v>
      </c>
      <c r="S7" s="108">
        <v>1.3490959792835211</v>
      </c>
      <c r="T7" s="108">
        <v>1.1934517062513368</v>
      </c>
      <c r="U7" t="s">
        <v>277</v>
      </c>
      <c r="W7" s="362" t="s">
        <v>296</v>
      </c>
      <c r="X7" s="362" t="s">
        <v>297</v>
      </c>
      <c r="Y7" s="362" t="s">
        <v>290</v>
      </c>
    </row>
    <row r="8" spans="1:27" ht="18.75" thickTop="1">
      <c r="A8" s="362">
        <v>5</v>
      </c>
      <c r="B8" s="362">
        <v>8</v>
      </c>
      <c r="C8" s="362">
        <v>24</v>
      </c>
      <c r="E8" s="362">
        <f t="shared" si="0"/>
        <v>5</v>
      </c>
      <c r="F8" s="362">
        <f t="shared" si="1"/>
        <v>8</v>
      </c>
      <c r="G8" s="11">
        <f t="shared" si="2"/>
        <v>3.1780538303479458</v>
      </c>
      <c r="I8" t="s">
        <v>208</v>
      </c>
      <c r="J8" t="e">
        <f ca="1">SQRT(J9)</f>
        <v>#NAME?</v>
      </c>
      <c r="Q8" t="s">
        <v>278</v>
      </c>
      <c r="R8" s="108">
        <v>4.7228556379341986E-2</v>
      </c>
      <c r="S8" s="108">
        <v>5.1206484748915648E-2</v>
      </c>
      <c r="T8" s="108">
        <v>0.43452154662158687</v>
      </c>
      <c r="U8" t="s">
        <v>200</v>
      </c>
      <c r="W8" s="334">
        <v>7</v>
      </c>
      <c r="X8" s="3">
        <v>7</v>
      </c>
      <c r="Y8" s="368">
        <f t="array" ref="Y8:Y9">GROWTH(C6:C16,A6:B16,W8:X9)</f>
        <v>48.568540133870997</v>
      </c>
      <c r="AA8" s="13" t="s">
        <v>618</v>
      </c>
    </row>
    <row r="9" spans="1:27" ht="18">
      <c r="A9" s="362">
        <v>8</v>
      </c>
      <c r="B9" s="362">
        <v>1</v>
      </c>
      <c r="C9" s="362">
        <v>11</v>
      </c>
      <c r="E9" s="362">
        <f t="shared" si="0"/>
        <v>8</v>
      </c>
      <c r="F9" s="362">
        <f t="shared" si="1"/>
        <v>1</v>
      </c>
      <c r="G9" s="11">
        <f t="shared" si="2"/>
        <v>2.3978952727983707</v>
      </c>
      <c r="I9" t="s">
        <v>201</v>
      </c>
      <c r="J9" t="e">
        <f ca="1">K16/K18</f>
        <v>#NAME?</v>
      </c>
      <c r="Q9" t="s">
        <v>279</v>
      </c>
      <c r="R9" s="108">
        <v>0.84548244133075312</v>
      </c>
      <c r="S9" s="108">
        <v>0.3675898087109174</v>
      </c>
      <c r="T9" s="108" t="e">
        <v>#N/A</v>
      </c>
      <c r="U9" t="s">
        <v>202</v>
      </c>
      <c r="W9" s="284">
        <v>4</v>
      </c>
      <c r="X9" s="8">
        <v>5</v>
      </c>
      <c r="Y9" s="369">
        <v>12.486499842727524</v>
      </c>
    </row>
    <row r="10" spans="1:27" ht="18">
      <c r="A10" s="362">
        <v>9</v>
      </c>
      <c r="B10" s="362">
        <v>3</v>
      </c>
      <c r="C10" s="362">
        <v>31</v>
      </c>
      <c r="E10" s="362">
        <f t="shared" si="0"/>
        <v>9</v>
      </c>
      <c r="F10" s="362">
        <f t="shared" si="1"/>
        <v>3</v>
      </c>
      <c r="G10" s="11">
        <f t="shared" si="2"/>
        <v>3.4339872044851463</v>
      </c>
      <c r="I10" t="s">
        <v>209</v>
      </c>
      <c r="J10" t="e">
        <f ca="1">1-(1-J9)*(J12-1)/(J12-J16-1)</f>
        <v>#NAME?</v>
      </c>
      <c r="Q10" t="s">
        <v>63</v>
      </c>
      <c r="R10" s="108">
        <v>21.887025619931087</v>
      </c>
      <c r="S10" s="108">
        <v>8</v>
      </c>
      <c r="T10" s="108" t="e">
        <v>#N/A</v>
      </c>
      <c r="U10" t="s">
        <v>203</v>
      </c>
    </row>
    <row r="11" spans="1:27" ht="18">
      <c r="A11" s="362">
        <v>5</v>
      </c>
      <c r="B11" s="362">
        <v>4</v>
      </c>
      <c r="C11" s="362">
        <v>15</v>
      </c>
      <c r="E11" s="362">
        <f t="shared" si="0"/>
        <v>5</v>
      </c>
      <c r="F11" s="362">
        <f t="shared" si="1"/>
        <v>4</v>
      </c>
      <c r="G11" s="11">
        <f t="shared" si="2"/>
        <v>2.7080502011022101</v>
      </c>
      <c r="I11" t="s">
        <v>9</v>
      </c>
      <c r="J11" t="e">
        <f ca="1">SQRT(L17)</f>
        <v>#NAME?</v>
      </c>
      <c r="Q11" t="s">
        <v>204</v>
      </c>
      <c r="R11" s="108">
        <v>5.9148490597962331</v>
      </c>
      <c r="S11" s="108">
        <v>1.0809781397450307</v>
      </c>
      <c r="T11" s="108" t="e">
        <v>#N/A</v>
      </c>
      <c r="U11" t="s">
        <v>205</v>
      </c>
      <c r="W11" s="1" t="s">
        <v>280</v>
      </c>
    </row>
    <row r="12" spans="1:27">
      <c r="A12" s="362">
        <v>4</v>
      </c>
      <c r="B12" s="362">
        <v>0</v>
      </c>
      <c r="C12" s="362">
        <v>5</v>
      </c>
      <c r="E12" s="362">
        <f t="shared" si="0"/>
        <v>4</v>
      </c>
      <c r="F12" s="362">
        <f t="shared" si="1"/>
        <v>0</v>
      </c>
      <c r="G12" s="11">
        <f t="shared" si="2"/>
        <v>1.6094379124341003</v>
      </c>
      <c r="I12" s="285" t="s">
        <v>42</v>
      </c>
      <c r="J12" s="285">
        <f>COUNT(G6:G16)</f>
        <v>11</v>
      </c>
    </row>
    <row r="13" spans="1:27">
      <c r="A13" s="362">
        <v>2</v>
      </c>
      <c r="B13" s="362">
        <v>6</v>
      </c>
      <c r="C13" s="362">
        <v>8</v>
      </c>
      <c r="E13" s="362">
        <f t="shared" si="0"/>
        <v>2</v>
      </c>
      <c r="F13" s="362">
        <f t="shared" si="1"/>
        <v>6</v>
      </c>
      <c r="G13" s="11">
        <f t="shared" si="2"/>
        <v>2.0794415416798357</v>
      </c>
      <c r="W13" s="362" t="s">
        <v>296</v>
      </c>
      <c r="X13" s="362" t="s">
        <v>297</v>
      </c>
      <c r="Y13" s="362" t="s">
        <v>290</v>
      </c>
    </row>
    <row r="14" spans="1:27" ht="15.75" thickBot="1">
      <c r="A14" s="362">
        <v>8</v>
      </c>
      <c r="B14" s="362">
        <v>7</v>
      </c>
      <c r="C14" s="362">
        <v>84</v>
      </c>
      <c r="E14" s="362">
        <f t="shared" si="0"/>
        <v>8</v>
      </c>
      <c r="F14" s="362">
        <f t="shared" si="1"/>
        <v>7</v>
      </c>
      <c r="G14" s="11">
        <f t="shared" si="2"/>
        <v>4.4308167988433134</v>
      </c>
      <c r="I14" t="s">
        <v>210</v>
      </c>
      <c r="M14" s="362" t="s">
        <v>16</v>
      </c>
      <c r="N14" s="362">
        <v>0.05</v>
      </c>
      <c r="W14" s="371">
        <v>7</v>
      </c>
      <c r="X14" s="372">
        <v>7</v>
      </c>
      <c r="Y14" s="373">
        <f>$T$7*$S$7^W14*$R$7^X14</f>
        <v>48.568540133870975</v>
      </c>
      <c r="AA14" s="13" t="s">
        <v>619</v>
      </c>
    </row>
    <row r="15" spans="1:27" ht="15.75" thickTop="1">
      <c r="A15" s="362">
        <v>6</v>
      </c>
      <c r="B15" s="362">
        <v>4</v>
      </c>
      <c r="C15" s="362">
        <v>24</v>
      </c>
      <c r="E15" s="362">
        <f t="shared" si="0"/>
        <v>6</v>
      </c>
      <c r="F15" s="362">
        <f t="shared" si="1"/>
        <v>4</v>
      </c>
      <c r="G15" s="11">
        <f t="shared" si="2"/>
        <v>3.1780538303479458</v>
      </c>
      <c r="I15" s="339"/>
      <c r="J15" s="339" t="s">
        <v>26</v>
      </c>
      <c r="K15" s="339" t="s">
        <v>137</v>
      </c>
      <c r="L15" s="339" t="s">
        <v>156</v>
      </c>
      <c r="M15" s="339" t="s">
        <v>63</v>
      </c>
      <c r="N15" s="339" t="s">
        <v>30</v>
      </c>
      <c r="O15" s="339" t="s">
        <v>374</v>
      </c>
      <c r="W15" s="284">
        <v>4</v>
      </c>
      <c r="X15" s="285">
        <v>5</v>
      </c>
      <c r="Y15" s="369">
        <f>$T$7*$S$7^W15*$R$7^X15</f>
        <v>12.48649984272752</v>
      </c>
      <c r="AA15" s="13" t="s">
        <v>620</v>
      </c>
    </row>
    <row r="16" spans="1:27">
      <c r="A16" s="363">
        <v>9</v>
      </c>
      <c r="B16" s="363">
        <v>2</v>
      </c>
      <c r="C16" s="363">
        <v>21</v>
      </c>
      <c r="E16" s="363">
        <f t="shared" si="0"/>
        <v>9</v>
      </c>
      <c r="F16" s="363">
        <f t="shared" si="1"/>
        <v>2</v>
      </c>
      <c r="G16" s="255">
        <f t="shared" si="2"/>
        <v>3.044522437723423</v>
      </c>
      <c r="I16" t="s">
        <v>138</v>
      </c>
      <c r="J16">
        <f>COUNT(E6:F6)</f>
        <v>2</v>
      </c>
      <c r="K16" t="e">
        <f ca="1">DEVSQ(MMULT(DESIGN(E6:F16),J21:J23))</f>
        <v>#NAME?</v>
      </c>
      <c r="L16" t="e">
        <f ca="1">K16/J16</f>
        <v>#NAME?</v>
      </c>
      <c r="M16" t="e">
        <f ca="1">L16/L17</f>
        <v>#NAME?</v>
      </c>
      <c r="N16" t="e">
        <f ca="1">FDIST(M16,J16,J17)</f>
        <v>#NAME?</v>
      </c>
      <c r="O16" s="362" t="e">
        <f ca="1">IF(N16&lt;N14,"yes","no")</f>
        <v>#NAME?</v>
      </c>
      <c r="T16" s="362"/>
    </row>
    <row r="17" spans="9:27">
      <c r="I17" t="s">
        <v>211</v>
      </c>
      <c r="J17">
        <f>J18-J16</f>
        <v>8</v>
      </c>
      <c r="K17" t="e">
        <f ca="1">K18-K16</f>
        <v>#NAME?</v>
      </c>
      <c r="L17" t="e">
        <f ca="1">K17/J17</f>
        <v>#NAME?</v>
      </c>
      <c r="W17" s="1" t="s">
        <v>599</v>
      </c>
    </row>
    <row r="18" spans="9:27">
      <c r="I18" s="285" t="s">
        <v>1</v>
      </c>
      <c r="J18" s="285">
        <f>J12-1</f>
        <v>10</v>
      </c>
      <c r="K18" s="285">
        <f>DEVSQ(G6:G16)</f>
        <v>6.9958271995412638</v>
      </c>
      <c r="L18" s="285"/>
      <c r="M18" s="285"/>
      <c r="N18" s="285"/>
      <c r="O18" s="285"/>
    </row>
    <row r="19" spans="9:27" ht="15.75" thickBot="1">
      <c r="W19" s="362" t="s">
        <v>296</v>
      </c>
      <c r="X19" s="362" t="s">
        <v>297</v>
      </c>
      <c r="Y19" s="362" t="s">
        <v>290</v>
      </c>
    </row>
    <row r="20" spans="9:27" ht="15.75" thickTop="1">
      <c r="I20" s="339"/>
      <c r="J20" s="339" t="s">
        <v>600</v>
      </c>
      <c r="K20" s="339" t="s">
        <v>503</v>
      </c>
      <c r="L20" s="339" t="s">
        <v>27</v>
      </c>
      <c r="M20" s="339" t="s">
        <v>30</v>
      </c>
      <c r="N20" s="339" t="s">
        <v>13</v>
      </c>
      <c r="O20" s="339" t="s">
        <v>14</v>
      </c>
      <c r="W20" s="334">
        <v>7</v>
      </c>
      <c r="X20" s="3">
        <v>7</v>
      </c>
      <c r="Y20" s="368">
        <f t="array" ref="Y20:Y21">EXP(TREND(LN(C6:C16),A6:B16,W20:X21))</f>
        <v>48.568540133870997</v>
      </c>
      <c r="AA20" s="13" t="s">
        <v>621</v>
      </c>
    </row>
    <row r="21" spans="9:27">
      <c r="I21" t="s">
        <v>212</v>
      </c>
      <c r="J21" t="e">
        <f t="array" aca="1" ref="J21:K23" ca="1">RegCoeff(E6:F16,G6:G16)</f>
        <v>#NAME?</v>
      </c>
      <c r="K21" t="e">
        <f ca="1"/>
        <v>#NAME?</v>
      </c>
      <c r="L21" t="e">
        <f ca="1">J21/K21</f>
        <v>#NAME?</v>
      </c>
      <c r="M21" t="e">
        <f ca="1">TDIST(ABS(L21),$J$17,2)</f>
        <v>#NAME?</v>
      </c>
      <c r="N21" t="e">
        <f ca="1">J21-TINV(N$14,$J$17)*K21</f>
        <v>#NAME?</v>
      </c>
      <c r="O21" t="e">
        <f ca="1">J21+TINV(N$14,$J$17)*K21</f>
        <v>#NAME?</v>
      </c>
      <c r="W21" s="284">
        <v>4</v>
      </c>
      <c r="X21" s="8">
        <v>5</v>
      </c>
      <c r="Y21" s="369">
        <v>12.486499842727525</v>
      </c>
    </row>
    <row r="22" spans="9:27">
      <c r="I22" t="str">
        <f t="array" ref="I22:I23">TRANSPOSE(E5:F5)</f>
        <v>Color</v>
      </c>
      <c r="J22" t="e">
        <f ca="1"/>
        <v>#NAME?</v>
      </c>
      <c r="K22" t="e">
        <f ca="1"/>
        <v>#NAME?</v>
      </c>
      <c r="L22" t="e">
        <f ca="1">J22/K22</f>
        <v>#NAME?</v>
      </c>
      <c r="M22" t="e">
        <f ca="1">TDIST(ABS(L22),$J$17,2)</f>
        <v>#NAME?</v>
      </c>
      <c r="N22" t="e">
        <f ca="1">J22-TINV(N$14,$J$17)*K22</f>
        <v>#NAME?</v>
      </c>
      <c r="O22" t="e">
        <f ca="1">J22+TINV(N$14,$J$17)*K22</f>
        <v>#NAME?</v>
      </c>
    </row>
    <row r="23" spans="9:27">
      <c r="I23" s="285" t="str">
        <v>Quality</v>
      </c>
      <c r="J23" s="285" t="e">
        <f ca="1"/>
        <v>#NAME?</v>
      </c>
      <c r="K23" s="285" t="e">
        <f ca="1"/>
        <v>#NAME?</v>
      </c>
      <c r="L23" s="285" t="e">
        <f ca="1">J23/K23</f>
        <v>#NAME?</v>
      </c>
      <c r="M23" s="285" t="e">
        <f ca="1">TDIST(ABS(L23),$J$17,2)</f>
        <v>#NAME?</v>
      </c>
      <c r="N23" s="285" t="e">
        <f ca="1">J23-TINV(N$14,$J$17)*K23</f>
        <v>#NAME?</v>
      </c>
      <c r="O23" s="285" t="e">
        <f ca="1">J23+TINV(N$14,$J$17)*K23</f>
        <v>#NAME?</v>
      </c>
    </row>
    <row r="25" spans="9:27">
      <c r="J25" t="s">
        <v>608</v>
      </c>
    </row>
    <row r="26" spans="9:27">
      <c r="I26" t="str">
        <f>I21</f>
        <v>Intercept</v>
      </c>
      <c r="J26" s="335" t="e">
        <f ca="1">EXP(J21)</f>
        <v>#NAME?</v>
      </c>
    </row>
    <row r="27" spans="9:27">
      <c r="I27" t="str">
        <f>I22</f>
        <v>Color</v>
      </c>
      <c r="J27" s="293" t="e">
        <f ca="1">EXP(J22)</f>
        <v>#NAME?</v>
      </c>
    </row>
    <row r="28" spans="9:27">
      <c r="I28" t="str">
        <f>I23</f>
        <v>Quality</v>
      </c>
      <c r="J28" s="289" t="e">
        <f ca="1">EXP(J23)</f>
        <v>#NAME?</v>
      </c>
    </row>
    <row r="31" spans="9:27">
      <c r="Q31" s="5"/>
      <c r="R31" s="5"/>
      <c r="S31" s="5"/>
    </row>
    <row r="32" spans="9:27">
      <c r="Q32" s="5"/>
      <c r="R32" s="5"/>
      <c r="S32" s="5"/>
    </row>
    <row r="33" spans="1:27">
      <c r="A33" s="1" t="s">
        <v>617</v>
      </c>
    </row>
    <row r="35" spans="1:27">
      <c r="A35" s="112" t="s">
        <v>296</v>
      </c>
      <c r="B35" s="112" t="s">
        <v>297</v>
      </c>
      <c r="C35" s="366" t="s">
        <v>290</v>
      </c>
      <c r="E35" s="112" t="s">
        <v>610</v>
      </c>
      <c r="F35" s="112" t="s">
        <v>611</v>
      </c>
      <c r="G35" s="366" t="s">
        <v>609</v>
      </c>
      <c r="I35" t="s">
        <v>601</v>
      </c>
      <c r="W35" s="1" t="s">
        <v>280</v>
      </c>
    </row>
    <row r="36" spans="1:27">
      <c r="A36" s="362">
        <v>6</v>
      </c>
      <c r="B36" s="362">
        <v>3</v>
      </c>
      <c r="C36" s="362">
        <v>58</v>
      </c>
      <c r="E36" s="11">
        <f>LN(A36)</f>
        <v>1.791759469228055</v>
      </c>
      <c r="F36" s="11">
        <f>LN(B36)</f>
        <v>1.0986122886681098</v>
      </c>
      <c r="G36" s="11">
        <f>LN(C36)</f>
        <v>4.0604430105464191</v>
      </c>
    </row>
    <row r="37" spans="1:27" ht="15.75" thickBot="1">
      <c r="A37" s="362">
        <v>2</v>
      </c>
      <c r="B37" s="362">
        <v>6</v>
      </c>
      <c r="C37" s="362">
        <v>11</v>
      </c>
      <c r="E37" s="11">
        <f t="shared" ref="E37:E46" si="3">LN(A37)</f>
        <v>0.69314718055994529</v>
      </c>
      <c r="F37" s="11">
        <f t="shared" ref="F37:F46" si="4">LN(B37)</f>
        <v>1.791759469228055</v>
      </c>
      <c r="G37" s="11">
        <f t="shared" ref="G37:G46" si="5">LN(C37)</f>
        <v>2.3978952727983707</v>
      </c>
      <c r="I37" s="364" t="s">
        <v>606</v>
      </c>
      <c r="J37" s="364"/>
      <c r="W37" s="362" t="s">
        <v>296</v>
      </c>
      <c r="X37" s="362" t="s">
        <v>297</v>
      </c>
      <c r="Y37" s="362" t="s">
        <v>290</v>
      </c>
    </row>
    <row r="38" spans="1:27" ht="15.75" thickTop="1">
      <c r="A38" s="362">
        <v>3</v>
      </c>
      <c r="B38" s="362">
        <v>7</v>
      </c>
      <c r="C38" s="362">
        <v>24</v>
      </c>
      <c r="E38" s="11">
        <f t="shared" si="3"/>
        <v>1.0986122886681098</v>
      </c>
      <c r="F38" s="11">
        <f t="shared" si="4"/>
        <v>1.9459101490553132</v>
      </c>
      <c r="G38" s="11">
        <f t="shared" si="5"/>
        <v>3.1780538303479458</v>
      </c>
      <c r="I38" t="s">
        <v>208</v>
      </c>
      <c r="J38" t="e">
        <f ca="1">SQRT(J39)</f>
        <v>#NAME?</v>
      </c>
      <c r="W38" s="371">
        <v>7</v>
      </c>
      <c r="X38" s="372">
        <v>7</v>
      </c>
      <c r="Y38" s="373" t="e">
        <f ca="1">$J$56*$J$57^LN(W38)*$J$58^LN(X38)</f>
        <v>#NAME?</v>
      </c>
      <c r="AA38" s="13" t="s">
        <v>813</v>
      </c>
    </row>
    <row r="39" spans="1:27">
      <c r="A39" s="362">
        <v>7</v>
      </c>
      <c r="B39" s="362">
        <v>1</v>
      </c>
      <c r="C39" s="362">
        <v>11</v>
      </c>
      <c r="E39" s="11">
        <f t="shared" si="3"/>
        <v>1.9459101490553132</v>
      </c>
      <c r="F39" s="11">
        <f t="shared" si="4"/>
        <v>0</v>
      </c>
      <c r="G39" s="11">
        <f t="shared" si="5"/>
        <v>2.3978952727983707</v>
      </c>
      <c r="I39" t="s">
        <v>201</v>
      </c>
      <c r="J39" t="e">
        <f ca="1">K46/K48</f>
        <v>#NAME?</v>
      </c>
      <c r="W39" s="284">
        <v>4</v>
      </c>
      <c r="X39" s="285">
        <v>5</v>
      </c>
      <c r="Y39" s="369" t="e">
        <f ca="1">$J$56*$J$57^LN(W39)*$J$58^LN(X39)</f>
        <v>#NAME?</v>
      </c>
      <c r="AA39" s="13" t="s">
        <v>814</v>
      </c>
    </row>
    <row r="40" spans="1:27">
      <c r="A40" s="362">
        <v>9</v>
      </c>
      <c r="B40" s="362">
        <v>2</v>
      </c>
      <c r="C40" s="362">
        <v>31</v>
      </c>
      <c r="E40" s="11">
        <f t="shared" si="3"/>
        <v>2.1972245773362196</v>
      </c>
      <c r="F40" s="11">
        <f t="shared" si="4"/>
        <v>0.69314718055994529</v>
      </c>
      <c r="G40" s="11">
        <f t="shared" si="5"/>
        <v>3.4339872044851463</v>
      </c>
      <c r="I40" t="s">
        <v>209</v>
      </c>
      <c r="J40" t="e">
        <f ca="1">1-(1-J39)*(J42-1)/(J42-J46-1)</f>
        <v>#NAME?</v>
      </c>
    </row>
    <row r="41" spans="1:27">
      <c r="A41" s="362">
        <v>3</v>
      </c>
      <c r="B41" s="362">
        <v>3</v>
      </c>
      <c r="C41" s="362">
        <v>15</v>
      </c>
      <c r="E41" s="11">
        <f t="shared" si="3"/>
        <v>1.0986122886681098</v>
      </c>
      <c r="F41" s="11">
        <f t="shared" si="4"/>
        <v>1.0986122886681098</v>
      </c>
      <c r="G41" s="11">
        <f t="shared" si="5"/>
        <v>2.7080502011022101</v>
      </c>
      <c r="I41" t="s">
        <v>9</v>
      </c>
      <c r="J41" t="e">
        <f ca="1">SQRT(L47)</f>
        <v>#NAME?</v>
      </c>
      <c r="W41" s="1" t="s">
        <v>599</v>
      </c>
    </row>
    <row r="42" spans="1:27">
      <c r="A42" s="362">
        <v>3</v>
      </c>
      <c r="B42" s="362">
        <v>1</v>
      </c>
      <c r="C42" s="362">
        <v>5</v>
      </c>
      <c r="E42" s="11">
        <f t="shared" si="3"/>
        <v>1.0986122886681098</v>
      </c>
      <c r="F42" s="11">
        <f t="shared" si="4"/>
        <v>0</v>
      </c>
      <c r="G42" s="11">
        <f t="shared" si="5"/>
        <v>1.6094379124341003</v>
      </c>
      <c r="I42" s="285" t="s">
        <v>42</v>
      </c>
      <c r="J42" s="285">
        <f>COUNT(G36:G46)</f>
        <v>11</v>
      </c>
    </row>
    <row r="43" spans="1:27">
      <c r="A43" s="362">
        <v>2</v>
      </c>
      <c r="B43" s="362">
        <v>4</v>
      </c>
      <c r="C43" s="362">
        <v>8</v>
      </c>
      <c r="E43" s="11">
        <f t="shared" si="3"/>
        <v>0.69314718055994529</v>
      </c>
      <c r="F43" s="11">
        <f t="shared" si="4"/>
        <v>1.3862943611198906</v>
      </c>
      <c r="G43" s="11">
        <f t="shared" si="5"/>
        <v>2.0794415416798357</v>
      </c>
      <c r="W43" s="362" t="s">
        <v>296</v>
      </c>
      <c r="X43" s="362" t="s">
        <v>297</v>
      </c>
      <c r="Y43" s="362" t="s">
        <v>290</v>
      </c>
    </row>
    <row r="44" spans="1:27" ht="15.75" thickBot="1">
      <c r="A44" s="362">
        <v>7</v>
      </c>
      <c r="B44" s="362">
        <v>6</v>
      </c>
      <c r="C44" s="362">
        <v>84</v>
      </c>
      <c r="E44" s="11">
        <f t="shared" si="3"/>
        <v>1.9459101490553132</v>
      </c>
      <c r="F44" s="11">
        <f t="shared" si="4"/>
        <v>1.791759469228055</v>
      </c>
      <c r="G44" s="11">
        <f t="shared" si="5"/>
        <v>4.4308167988433134</v>
      </c>
      <c r="I44" t="s">
        <v>210</v>
      </c>
      <c r="M44" s="362" t="s">
        <v>16</v>
      </c>
      <c r="N44" s="362">
        <v>0.05</v>
      </c>
      <c r="W44" s="334">
        <v>7</v>
      </c>
      <c r="X44" s="3">
        <v>7</v>
      </c>
      <c r="Y44" s="368">
        <f t="array" ref="Y44:Y45">EXP(TREND(LN(C36:C46),LN(A36:B46),LN(W44:X45)))</f>
        <v>84.437934073646957</v>
      </c>
      <c r="AA44" t="e">
        <f ca="1">FTEXT(Y44)</f>
        <v>#NAME?</v>
      </c>
    </row>
    <row r="45" spans="1:27" ht="15.75" thickTop="1">
      <c r="A45" s="362">
        <v>4</v>
      </c>
      <c r="B45" s="362">
        <v>3</v>
      </c>
      <c r="C45" s="362">
        <v>24</v>
      </c>
      <c r="E45" s="11">
        <f t="shared" si="3"/>
        <v>1.3862943611198906</v>
      </c>
      <c r="F45" s="11">
        <f t="shared" si="4"/>
        <v>1.0986122886681098</v>
      </c>
      <c r="G45" s="11">
        <f t="shared" si="5"/>
        <v>3.1780538303479458</v>
      </c>
      <c r="I45" s="339"/>
      <c r="J45" s="339" t="s">
        <v>26</v>
      </c>
      <c r="K45" s="339" t="s">
        <v>137</v>
      </c>
      <c r="L45" s="339" t="s">
        <v>156</v>
      </c>
      <c r="M45" s="339" t="s">
        <v>63</v>
      </c>
      <c r="N45" s="339" t="s">
        <v>30</v>
      </c>
      <c r="O45" s="339" t="s">
        <v>374</v>
      </c>
      <c r="W45" s="284">
        <v>4</v>
      </c>
      <c r="X45" s="8">
        <v>5</v>
      </c>
      <c r="Y45" s="369">
        <v>29.525611831769641</v>
      </c>
    </row>
    <row r="46" spans="1:27">
      <c r="A46" s="363">
        <v>9</v>
      </c>
      <c r="B46" s="363">
        <v>2</v>
      </c>
      <c r="C46" s="363">
        <v>21</v>
      </c>
      <c r="E46" s="255">
        <f t="shared" si="3"/>
        <v>2.1972245773362196</v>
      </c>
      <c r="F46" s="255">
        <f t="shared" si="4"/>
        <v>0.69314718055994529</v>
      </c>
      <c r="G46" s="255">
        <f t="shared" si="5"/>
        <v>3.044522437723423</v>
      </c>
      <c r="I46" t="s">
        <v>138</v>
      </c>
      <c r="J46">
        <f>COUNT(E36:F36)</f>
        <v>2</v>
      </c>
      <c r="K46" t="e">
        <f ca="1">DEVSQ(MMULT(DESIGN(E36:F46),J51:J53))</f>
        <v>#NAME?</v>
      </c>
      <c r="L46" t="e">
        <f ca="1">K46/J46</f>
        <v>#NAME?</v>
      </c>
      <c r="M46" t="e">
        <f ca="1">L46/L47</f>
        <v>#NAME?</v>
      </c>
      <c r="N46" t="e">
        <f ca="1">FDIST(M46,J46,J47)</f>
        <v>#NAME?</v>
      </c>
      <c r="O46" s="362" t="e">
        <f ca="1">IF(N46&lt;N44,"yes","no")</f>
        <v>#NAME?</v>
      </c>
    </row>
    <row r="47" spans="1:27">
      <c r="I47" t="s">
        <v>211</v>
      </c>
      <c r="J47">
        <f>J48-J46</f>
        <v>8</v>
      </c>
      <c r="K47" t="e">
        <f ca="1">K48-K46</f>
        <v>#NAME?</v>
      </c>
      <c r="L47" t="e">
        <f ca="1">K47/J47</f>
        <v>#NAME?</v>
      </c>
    </row>
    <row r="48" spans="1:27">
      <c r="I48" s="285" t="s">
        <v>1</v>
      </c>
      <c r="J48" s="285">
        <f>J42-1</f>
        <v>10</v>
      </c>
      <c r="K48" s="285">
        <f>DEVSQ(G36:G46)</f>
        <v>6.9958271995412638</v>
      </c>
      <c r="L48" s="285"/>
      <c r="M48" s="285"/>
      <c r="N48" s="285"/>
      <c r="O48" s="285"/>
    </row>
    <row r="49" spans="9:15" ht="15.75" thickBot="1"/>
    <row r="50" spans="9:15" ht="15.75" thickTop="1">
      <c r="I50" s="339"/>
      <c r="J50" s="339" t="s">
        <v>600</v>
      </c>
      <c r="K50" s="339" t="s">
        <v>503</v>
      </c>
      <c r="L50" s="339" t="s">
        <v>27</v>
      </c>
      <c r="M50" s="339" t="s">
        <v>30</v>
      </c>
      <c r="N50" s="339" t="s">
        <v>13</v>
      </c>
      <c r="O50" s="339" t="s">
        <v>14</v>
      </c>
    </row>
    <row r="51" spans="9:15">
      <c r="I51" t="s">
        <v>212</v>
      </c>
      <c r="J51" t="e">
        <f t="array" aca="1" ref="J51:J53" ca="1">RegCoeff(E36:F46,G36:G46)</f>
        <v>#NAME?</v>
      </c>
      <c r="K51" t="e">
        <f t="array" aca="1" ref="K51:K53" ca="1">RegCoeffSE(E36:F46,G36:G46)</f>
        <v>#NAME?</v>
      </c>
      <c r="L51" t="e">
        <f ca="1">J51/K51</f>
        <v>#NAME?</v>
      </c>
      <c r="M51" t="e">
        <f ca="1">TDIST(ABS(L51),$J$47,2)</f>
        <v>#NAME?</v>
      </c>
      <c r="N51" t="e">
        <f ca="1">J51-TINV(N$44,$J$47)*K51</f>
        <v>#NAME?</v>
      </c>
      <c r="O51" t="e">
        <f ca="1">J51+TINV(N$44,$J$47)*K51</f>
        <v>#NAME?</v>
      </c>
    </row>
    <row r="52" spans="9:15">
      <c r="I52" t="str">
        <f t="array" ref="I52:I53">TRANSPOSE(E35:F35)</f>
        <v>Ln Color</v>
      </c>
      <c r="J52" t="e">
        <f ca="1"/>
        <v>#NAME?</v>
      </c>
      <c r="K52" t="e">
        <f ca="1"/>
        <v>#NAME?</v>
      </c>
      <c r="L52" t="e">
        <f ca="1">J52/K52</f>
        <v>#NAME?</v>
      </c>
      <c r="M52" t="e">
        <f ca="1">TDIST(ABS(L52),$J$47,2)</f>
        <v>#NAME?</v>
      </c>
      <c r="N52" t="e">
        <f ca="1">J52-TINV(N$44,$J$47)*K52</f>
        <v>#NAME?</v>
      </c>
      <c r="O52" t="e">
        <f ca="1">J52+TINV(N$44,$J$47)*K52</f>
        <v>#NAME?</v>
      </c>
    </row>
    <row r="53" spans="9:15">
      <c r="I53" s="367" t="str">
        <v>Ln Quality</v>
      </c>
      <c r="J53" s="367" t="e">
        <f ca="1"/>
        <v>#NAME?</v>
      </c>
      <c r="K53" s="367" t="e">
        <f ca="1"/>
        <v>#NAME?</v>
      </c>
      <c r="L53" s="367" t="e">
        <f ca="1">J53/K53</f>
        <v>#NAME?</v>
      </c>
      <c r="M53" s="367" t="e">
        <f ca="1">TDIST(ABS(L53),$J$47,2)</f>
        <v>#NAME?</v>
      </c>
      <c r="N53" s="367" t="e">
        <f ca="1">J53-TINV(N$44,$J$47)*K53</f>
        <v>#NAME?</v>
      </c>
      <c r="O53" s="367" t="e">
        <f ca="1">J53+TINV(N$44,$J$47)*K53</f>
        <v>#NAME?</v>
      </c>
    </row>
    <row r="55" spans="9:15">
      <c r="J55" s="362" t="s">
        <v>600</v>
      </c>
    </row>
    <row r="56" spans="9:15">
      <c r="I56" t="s">
        <v>612</v>
      </c>
      <c r="J56" s="335" t="e">
        <f ca="1">EXP(J51)</f>
        <v>#NAME?</v>
      </c>
    </row>
    <row r="57" spans="9:15">
      <c r="I57" t="s">
        <v>296</v>
      </c>
      <c r="J57" s="293" t="e">
        <f ca="1">EXP(J52)</f>
        <v>#NAME?</v>
      </c>
    </row>
    <row r="58" spans="9:15">
      <c r="I58" t="s">
        <v>297</v>
      </c>
      <c r="J58" s="289" t="e">
        <f ca="1">EXP(J53)</f>
        <v>#NAME?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143"/>
  <dimension ref="A1:P44"/>
  <sheetViews>
    <sheetView workbookViewId="0"/>
  </sheetViews>
  <sheetFormatPr defaultRowHeight="15"/>
  <cols>
    <col min="1" max="3" width="7.85546875" customWidth="1"/>
    <col min="4" max="4" width="4.85546875" customWidth="1"/>
    <col min="5" max="8" width="10.5703125" style="76" customWidth="1"/>
    <col min="9" max="9" width="6.85546875" customWidth="1"/>
    <col min="10" max="10" width="18" bestFit="1" customWidth="1"/>
    <col min="11" max="11" width="12.5703125" customWidth="1"/>
    <col min="12" max="16" width="13.28515625" customWidth="1"/>
  </cols>
  <sheetData>
    <row r="1" spans="1:15">
      <c r="A1" s="1" t="s">
        <v>352</v>
      </c>
      <c r="J1" s="1" t="s">
        <v>353</v>
      </c>
    </row>
    <row r="3" spans="1:15">
      <c r="A3" s="744" t="s">
        <v>270</v>
      </c>
      <c r="B3" s="744"/>
      <c r="C3" s="744"/>
      <c r="E3" s="744" t="s">
        <v>348</v>
      </c>
      <c r="F3" s="744"/>
      <c r="G3" s="744"/>
      <c r="H3" s="744"/>
      <c r="J3" t="s">
        <v>206</v>
      </c>
    </row>
    <row r="4" spans="1:15" ht="15.75" thickBot="1">
      <c r="A4" s="161" t="s">
        <v>350</v>
      </c>
      <c r="B4" s="161" t="s">
        <v>351</v>
      </c>
      <c r="C4" s="161" t="s">
        <v>297</v>
      </c>
      <c r="E4" s="161" t="s">
        <v>350</v>
      </c>
      <c r="F4" s="161" t="s">
        <v>351</v>
      </c>
      <c r="G4" s="161" t="s">
        <v>297</v>
      </c>
      <c r="H4" s="161" t="s">
        <v>349</v>
      </c>
    </row>
    <row r="5" spans="1:15">
      <c r="A5" s="162">
        <v>70.400000000000006</v>
      </c>
      <c r="B5" s="162">
        <v>10.8</v>
      </c>
      <c r="C5" s="162">
        <v>4.3</v>
      </c>
      <c r="E5" s="162">
        <f>A5</f>
        <v>70.400000000000006</v>
      </c>
      <c r="F5" s="162">
        <f t="shared" ref="F5:G16" si="0">B5</f>
        <v>10.8</v>
      </c>
      <c r="G5" s="162">
        <f t="shared" si="0"/>
        <v>4.3</v>
      </c>
      <c r="H5" s="163">
        <f>F5*G5</f>
        <v>46.44</v>
      </c>
      <c r="J5" s="18" t="s">
        <v>207</v>
      </c>
      <c r="K5" s="18"/>
    </row>
    <row r="6" spans="1:15">
      <c r="A6" s="162">
        <v>41.8</v>
      </c>
      <c r="B6" s="162">
        <v>8.1</v>
      </c>
      <c r="C6" s="162">
        <v>3.5</v>
      </c>
      <c r="E6" s="162">
        <f t="shared" ref="E6:E16" si="1">A6</f>
        <v>41.8</v>
      </c>
      <c r="F6" s="162">
        <f t="shared" si="0"/>
        <v>8.1</v>
      </c>
      <c r="G6" s="162">
        <f t="shared" si="0"/>
        <v>3.5</v>
      </c>
      <c r="H6" s="163">
        <f t="shared" ref="H6:H16" si="2">F6*G6</f>
        <v>28.349999999999998</v>
      </c>
      <c r="J6" s="16" t="s">
        <v>208</v>
      </c>
      <c r="K6" s="16">
        <v>0.99897476937756113</v>
      </c>
    </row>
    <row r="7" spans="1:15">
      <c r="A7" s="162">
        <v>7.2</v>
      </c>
      <c r="B7" s="162">
        <v>10.7</v>
      </c>
      <c r="C7" s="162">
        <v>1.3</v>
      </c>
      <c r="E7" s="162">
        <f t="shared" si="1"/>
        <v>7.2</v>
      </c>
      <c r="F7" s="162">
        <f t="shared" si="0"/>
        <v>10.7</v>
      </c>
      <c r="G7" s="162">
        <f t="shared" si="0"/>
        <v>1.3</v>
      </c>
      <c r="H7" s="163">
        <f t="shared" si="2"/>
        <v>13.91</v>
      </c>
      <c r="J7" s="16" t="s">
        <v>201</v>
      </c>
      <c r="K7" s="16">
        <v>0.99795058985295138</v>
      </c>
    </row>
    <row r="8" spans="1:15">
      <c r="A8" s="162">
        <v>57.4</v>
      </c>
      <c r="B8" s="162">
        <v>2.8</v>
      </c>
      <c r="C8" s="162">
        <v>7.8</v>
      </c>
      <c r="E8" s="162">
        <f t="shared" si="1"/>
        <v>57.4</v>
      </c>
      <c r="F8" s="162">
        <f t="shared" si="0"/>
        <v>2.8</v>
      </c>
      <c r="G8" s="162">
        <f t="shared" si="0"/>
        <v>7.8</v>
      </c>
      <c r="H8" s="163">
        <f t="shared" si="2"/>
        <v>21.84</v>
      </c>
      <c r="J8" s="16" t="s">
        <v>209</v>
      </c>
      <c r="K8" s="16">
        <v>0.99718206104780815</v>
      </c>
    </row>
    <row r="9" spans="1:15">
      <c r="A9" s="162">
        <v>48.3</v>
      </c>
      <c r="B9" s="162">
        <v>6.2</v>
      </c>
      <c r="C9" s="162">
        <v>4.5999999999999996</v>
      </c>
      <c r="E9" s="162">
        <f t="shared" si="1"/>
        <v>48.3</v>
      </c>
      <c r="F9" s="162">
        <f t="shared" si="0"/>
        <v>6.2</v>
      </c>
      <c r="G9" s="162">
        <f t="shared" si="0"/>
        <v>4.5999999999999996</v>
      </c>
      <c r="H9" s="163">
        <f t="shared" si="2"/>
        <v>28.52</v>
      </c>
      <c r="J9" s="16" t="s">
        <v>9</v>
      </c>
      <c r="K9" s="16">
        <v>1.0190748818564479</v>
      </c>
    </row>
    <row r="10" spans="1:15" ht="15.75" thickBot="1">
      <c r="A10" s="162">
        <v>19.600000000000001</v>
      </c>
      <c r="B10" s="162">
        <v>4.5</v>
      </c>
      <c r="C10" s="162">
        <v>3</v>
      </c>
      <c r="E10" s="162">
        <f t="shared" si="1"/>
        <v>19.600000000000001</v>
      </c>
      <c r="F10" s="162">
        <f t="shared" si="0"/>
        <v>4.5</v>
      </c>
      <c r="G10" s="162">
        <f t="shared" si="0"/>
        <v>3</v>
      </c>
      <c r="H10" s="163">
        <f t="shared" si="2"/>
        <v>13.5</v>
      </c>
      <c r="J10" s="17" t="s">
        <v>42</v>
      </c>
      <c r="K10" s="17">
        <v>12</v>
      </c>
    </row>
    <row r="11" spans="1:15">
      <c r="A11" s="162">
        <v>72.099999999999994</v>
      </c>
      <c r="B11" s="162">
        <v>6.8</v>
      </c>
      <c r="C11" s="162">
        <v>5.7</v>
      </c>
      <c r="E11" s="162">
        <f t="shared" si="1"/>
        <v>72.099999999999994</v>
      </c>
      <c r="F11" s="162">
        <f t="shared" si="0"/>
        <v>6.8</v>
      </c>
      <c r="G11" s="162">
        <f t="shared" si="0"/>
        <v>5.7</v>
      </c>
      <c r="H11" s="163">
        <f t="shared" si="2"/>
        <v>38.76</v>
      </c>
    </row>
    <row r="12" spans="1:15" ht="15.75" thickBot="1">
      <c r="A12" s="162">
        <v>40.799999999999997</v>
      </c>
      <c r="B12" s="162">
        <v>2.1</v>
      </c>
      <c r="C12" s="162">
        <v>6.8</v>
      </c>
      <c r="E12" s="162">
        <f t="shared" si="1"/>
        <v>40.799999999999997</v>
      </c>
      <c r="F12" s="162">
        <f t="shared" si="0"/>
        <v>2.1</v>
      </c>
      <c r="G12" s="162">
        <f t="shared" si="0"/>
        <v>6.8</v>
      </c>
      <c r="H12" s="163">
        <f t="shared" si="2"/>
        <v>14.28</v>
      </c>
      <c r="J12" t="s">
        <v>210</v>
      </c>
    </row>
    <row r="13" spans="1:15">
      <c r="A13" s="162">
        <v>55.5</v>
      </c>
      <c r="B13" s="162">
        <v>7.9</v>
      </c>
      <c r="C13" s="162">
        <v>4.3</v>
      </c>
      <c r="E13" s="162">
        <f t="shared" si="1"/>
        <v>55.5</v>
      </c>
      <c r="F13" s="162">
        <f t="shared" si="0"/>
        <v>7.9</v>
      </c>
      <c r="G13" s="162">
        <f t="shared" si="0"/>
        <v>4.3</v>
      </c>
      <c r="H13" s="163">
        <f t="shared" si="2"/>
        <v>33.97</v>
      </c>
      <c r="J13" s="15"/>
      <c r="K13" s="15" t="s">
        <v>26</v>
      </c>
      <c r="L13" s="15" t="s">
        <v>137</v>
      </c>
      <c r="M13" s="15" t="s">
        <v>156</v>
      </c>
      <c r="N13" s="15" t="s">
        <v>63</v>
      </c>
      <c r="O13" s="15" t="s">
        <v>213</v>
      </c>
    </row>
    <row r="14" spans="1:15">
      <c r="A14" s="162">
        <v>50.8</v>
      </c>
      <c r="B14" s="162">
        <v>3.1</v>
      </c>
      <c r="C14" s="162">
        <v>6.8</v>
      </c>
      <c r="E14" s="162">
        <f t="shared" si="1"/>
        <v>50.8</v>
      </c>
      <c r="F14" s="162">
        <f t="shared" si="0"/>
        <v>3.1</v>
      </c>
      <c r="G14" s="162">
        <f t="shared" si="0"/>
        <v>6.8</v>
      </c>
      <c r="H14" s="163">
        <f t="shared" si="2"/>
        <v>21.08</v>
      </c>
      <c r="J14" s="16" t="s">
        <v>138</v>
      </c>
      <c r="K14" s="16">
        <v>3</v>
      </c>
      <c r="L14" s="16">
        <v>4045.594391081353</v>
      </c>
      <c r="M14" s="16">
        <v>1348.5314636937844</v>
      </c>
      <c r="N14" s="16">
        <v>1298.5207362096844</v>
      </c>
      <c r="O14" s="16">
        <v>4.3377028270600085E-11</v>
      </c>
    </row>
    <row r="15" spans="1:15">
      <c r="A15" s="162">
        <v>37.700000000000003</v>
      </c>
      <c r="B15" s="162">
        <v>7.6</v>
      </c>
      <c r="C15" s="162">
        <v>3.4</v>
      </c>
      <c r="E15" s="162">
        <f t="shared" si="1"/>
        <v>37.700000000000003</v>
      </c>
      <c r="F15" s="162">
        <f t="shared" si="0"/>
        <v>7.6</v>
      </c>
      <c r="G15" s="162">
        <f t="shared" si="0"/>
        <v>3.4</v>
      </c>
      <c r="H15" s="163">
        <f t="shared" si="2"/>
        <v>25.84</v>
      </c>
      <c r="J15" s="16" t="s">
        <v>211</v>
      </c>
      <c r="K15" s="16">
        <v>8</v>
      </c>
      <c r="L15" s="16">
        <v>8.3081089186458659</v>
      </c>
      <c r="M15" s="16">
        <v>1.0385136148307332</v>
      </c>
      <c r="N15" s="16"/>
      <c r="O15" s="16"/>
    </row>
    <row r="16" spans="1:15" ht="15.75" thickBot="1">
      <c r="A16" s="164">
        <v>60.9</v>
      </c>
      <c r="B16" s="164">
        <v>4.5999999999999996</v>
      </c>
      <c r="C16" s="164">
        <v>6.4</v>
      </c>
      <c r="E16" s="164">
        <f t="shared" si="1"/>
        <v>60.9</v>
      </c>
      <c r="F16" s="164">
        <f t="shared" si="0"/>
        <v>4.5999999999999996</v>
      </c>
      <c r="G16" s="164">
        <f t="shared" si="0"/>
        <v>6.4</v>
      </c>
      <c r="H16" s="165">
        <f t="shared" si="2"/>
        <v>29.439999999999998</v>
      </c>
      <c r="J16" s="17" t="s">
        <v>1</v>
      </c>
      <c r="K16" s="17">
        <v>11</v>
      </c>
      <c r="L16" s="17">
        <v>4053.9024999999988</v>
      </c>
      <c r="M16" s="17"/>
      <c r="N16" s="17"/>
      <c r="O16" s="17"/>
    </row>
    <row r="17" spans="10:16" ht="15.75" thickBot="1"/>
    <row r="18" spans="10:16">
      <c r="J18" s="15"/>
      <c r="K18" s="15" t="s">
        <v>214</v>
      </c>
      <c r="L18" s="15" t="s">
        <v>9</v>
      </c>
      <c r="M18" s="15" t="s">
        <v>45</v>
      </c>
      <c r="N18" s="15" t="s">
        <v>56</v>
      </c>
      <c r="O18" s="15" t="s">
        <v>215</v>
      </c>
      <c r="P18" s="15" t="s">
        <v>216</v>
      </c>
    </row>
    <row r="19" spans="10:16">
      <c r="J19" s="16" t="s">
        <v>212</v>
      </c>
      <c r="K19" s="16">
        <v>-12.215691616407756</v>
      </c>
      <c r="L19" s="16">
        <v>2.7986444940223763</v>
      </c>
      <c r="M19" s="16">
        <v>-4.3648600751182398</v>
      </c>
      <c r="N19" s="16">
        <v>2.3969573399909285E-3</v>
      </c>
      <c r="O19" s="16">
        <v>-18.66937739258973</v>
      </c>
      <c r="P19" s="16">
        <v>-5.7620058402257825</v>
      </c>
    </row>
    <row r="20" spans="10:16">
      <c r="J20" s="16" t="s">
        <v>351</v>
      </c>
      <c r="K20" s="16">
        <v>-0.85520312620746741</v>
      </c>
      <c r="L20" s="16">
        <v>0.31668929151556091</v>
      </c>
      <c r="M20" s="16">
        <v>-2.7004485125302886</v>
      </c>
      <c r="N20" s="16">
        <v>2.7055237806074824E-2</v>
      </c>
      <c r="O20" s="16">
        <v>-1.5854899420172288</v>
      </c>
      <c r="P20" s="16">
        <v>-0.12491631039770601</v>
      </c>
    </row>
    <row r="21" spans="10:16">
      <c r="J21" s="16" t="s">
        <v>297</v>
      </c>
      <c r="K21" s="16">
        <v>4.8619416857110602</v>
      </c>
      <c r="L21" s="16">
        <v>0.42581456487221331</v>
      </c>
      <c r="M21" s="16">
        <v>11.417978826464346</v>
      </c>
      <c r="N21" s="16">
        <v>3.1285738320413038E-6</v>
      </c>
      <c r="O21" s="16">
        <v>3.8800115382855731</v>
      </c>
      <c r="P21" s="16">
        <v>5.8438718331365473</v>
      </c>
    </row>
    <row r="22" spans="10:16" ht="15.75" thickBot="1">
      <c r="J22" s="17" t="s">
        <v>349</v>
      </c>
      <c r="K22" s="17">
        <v>1.5569687933562002</v>
      </c>
      <c r="L22" s="17">
        <v>5.8327913128754592E-2</v>
      </c>
      <c r="M22" s="17">
        <v>26.69337388977565</v>
      </c>
      <c r="N22" s="17">
        <v>4.173810263024243E-9</v>
      </c>
      <c r="O22" s="17">
        <v>1.4224643844834626</v>
      </c>
      <c r="P22" s="17">
        <v>1.6914732022289378</v>
      </c>
    </row>
    <row r="24" spans="10:16">
      <c r="J24" s="1" t="s">
        <v>354</v>
      </c>
    </row>
    <row r="26" spans="10:16">
      <c r="J26" t="s">
        <v>206</v>
      </c>
    </row>
    <row r="27" spans="10:16" ht="15.75" thickBot="1"/>
    <row r="28" spans="10:16">
      <c r="J28" s="18" t="s">
        <v>207</v>
      </c>
      <c r="K28" s="18"/>
    </row>
    <row r="29" spans="10:16">
      <c r="J29" s="16" t="s">
        <v>208</v>
      </c>
      <c r="K29" s="16">
        <v>0.90300372235460102</v>
      </c>
    </row>
    <row r="30" spans="10:16">
      <c r="J30" s="16" t="s">
        <v>201</v>
      </c>
      <c r="K30" s="16">
        <v>0.81541572258626538</v>
      </c>
    </row>
    <row r="31" spans="10:16">
      <c r="J31" s="16" t="s">
        <v>209</v>
      </c>
      <c r="K31" s="16">
        <v>0.77439699427210207</v>
      </c>
    </row>
    <row r="32" spans="10:16">
      <c r="J32" s="16" t="s">
        <v>9</v>
      </c>
      <c r="K32" s="16">
        <v>9.1182762970752069</v>
      </c>
    </row>
    <row r="33" spans="10:16" ht="15.75" thickBot="1">
      <c r="J33" s="17" t="s">
        <v>42</v>
      </c>
      <c r="K33" s="17">
        <v>12</v>
      </c>
    </row>
    <row r="35" spans="10:16" ht="15.75" thickBot="1">
      <c r="J35" t="s">
        <v>210</v>
      </c>
    </row>
    <row r="36" spans="10:16">
      <c r="J36" s="15"/>
      <c r="K36" s="15" t="s">
        <v>26</v>
      </c>
      <c r="L36" s="15" t="s">
        <v>137</v>
      </c>
      <c r="M36" s="15" t="s">
        <v>156</v>
      </c>
      <c r="N36" s="15" t="s">
        <v>63</v>
      </c>
      <c r="O36" s="15" t="s">
        <v>213</v>
      </c>
    </row>
    <row r="37" spans="10:16">
      <c r="J37" s="16" t="s">
        <v>138</v>
      </c>
      <c r="K37" s="16">
        <v>2</v>
      </c>
      <c r="L37" s="16">
        <v>3305.6158363317668</v>
      </c>
      <c r="M37" s="16">
        <v>1652.8079181658834</v>
      </c>
      <c r="N37" s="16">
        <v>19.879107814873741</v>
      </c>
      <c r="O37" s="16">
        <v>4.9874226811219417E-4</v>
      </c>
    </row>
    <row r="38" spans="10:16">
      <c r="J38" s="16" t="s">
        <v>211</v>
      </c>
      <c r="K38" s="16">
        <v>9</v>
      </c>
      <c r="L38" s="16">
        <v>748.28666366823211</v>
      </c>
      <c r="M38" s="16">
        <v>83.142962629803563</v>
      </c>
      <c r="N38" s="16"/>
      <c r="O38" s="16"/>
    </row>
    <row r="39" spans="10:16" ht="15.75" thickBot="1">
      <c r="J39" s="17" t="s">
        <v>1</v>
      </c>
      <c r="K39" s="17">
        <v>11</v>
      </c>
      <c r="L39" s="17">
        <v>4053.9024999999988</v>
      </c>
      <c r="M39" s="17"/>
      <c r="N39" s="17"/>
      <c r="O39" s="17"/>
    </row>
    <row r="40" spans="10:16" ht="15.75" thickBot="1"/>
    <row r="41" spans="10:16">
      <c r="J41" s="15"/>
      <c r="K41" s="15" t="s">
        <v>214</v>
      </c>
      <c r="L41" s="15" t="s">
        <v>9</v>
      </c>
      <c r="M41" s="15" t="s">
        <v>45</v>
      </c>
      <c r="N41" s="15" t="s">
        <v>56</v>
      </c>
      <c r="O41" s="15" t="s">
        <v>215</v>
      </c>
      <c r="P41" s="15" t="s">
        <v>216</v>
      </c>
    </row>
    <row r="42" spans="10:16">
      <c r="J42" s="16" t="s">
        <v>212</v>
      </c>
      <c r="K42" s="16">
        <v>-60.889358536201684</v>
      </c>
      <c r="L42" s="16">
        <v>18.99652168748192</v>
      </c>
      <c r="M42" s="16">
        <v>-3.2052898703200889</v>
      </c>
      <c r="N42" s="16">
        <v>1.0739759828494441E-2</v>
      </c>
      <c r="O42" s="16">
        <v>-103.86247613979036</v>
      </c>
      <c r="P42" s="16">
        <v>-17.916240932613007</v>
      </c>
    </row>
    <row r="43" spans="10:16">
      <c r="J43" s="16" t="s">
        <v>351</v>
      </c>
      <c r="K43" s="16">
        <v>6.3778321962728031</v>
      </c>
      <c r="L43" s="16">
        <v>1.4666631843115363</v>
      </c>
      <c r="M43" s="16">
        <v>4.3485322768680597</v>
      </c>
      <c r="N43" s="16">
        <v>1.8542219059633242E-3</v>
      </c>
      <c r="O43" s="16">
        <v>3.0600095684700368</v>
      </c>
      <c r="P43" s="16">
        <v>9.6956548240755698</v>
      </c>
    </row>
    <row r="44" spans="10:16" ht="15.75" thickBot="1">
      <c r="J44" s="17" t="s">
        <v>297</v>
      </c>
      <c r="K44" s="17">
        <v>14.051110902844657</v>
      </c>
      <c r="L44" s="17">
        <v>2.2424521701120192</v>
      </c>
      <c r="M44" s="17">
        <v>6.265957905422237</v>
      </c>
      <c r="N44" s="17">
        <v>1.4681233441750968E-4</v>
      </c>
      <c r="O44" s="17">
        <v>8.978331663993373</v>
      </c>
      <c r="P44" s="17">
        <v>19.123890141695941</v>
      </c>
    </row>
  </sheetData>
  <mergeCells count="2">
    <mergeCell ref="A3:C3"/>
    <mergeCell ref="E3:H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49"/>
  <dimension ref="A1:K19"/>
  <sheetViews>
    <sheetView workbookViewId="0"/>
  </sheetViews>
  <sheetFormatPr defaultRowHeight="15"/>
  <sheetData>
    <row r="1" spans="1:11">
      <c r="A1" s="1" t="s">
        <v>826</v>
      </c>
    </row>
    <row r="3" spans="1:11">
      <c r="A3" s="551" t="s">
        <v>296</v>
      </c>
      <c r="B3" s="551" t="s">
        <v>297</v>
      </c>
      <c r="C3" s="551" t="s">
        <v>290</v>
      </c>
      <c r="D3" s="551" t="s">
        <v>638</v>
      </c>
      <c r="E3" s="551" t="s">
        <v>159</v>
      </c>
      <c r="F3" s="551" t="s">
        <v>157</v>
      </c>
      <c r="G3" s="557" t="s">
        <v>827</v>
      </c>
    </row>
    <row r="4" spans="1:11">
      <c r="A4" s="552">
        <v>7</v>
      </c>
      <c r="B4" s="552">
        <v>5</v>
      </c>
      <c r="C4" s="552">
        <v>65</v>
      </c>
      <c r="D4" s="552">
        <f t="shared" ref="D4:D14" si="0">$F$15+MMULT(A4:B4,$F$16:$F$17)</f>
        <v>51.888888888888893</v>
      </c>
      <c r="E4" s="552">
        <f>C4-D4</f>
        <v>13.111111111111107</v>
      </c>
      <c r="F4" s="552">
        <v>13.111111111111112</v>
      </c>
      <c r="G4" s="552">
        <f>-F4</f>
        <v>-13.111111111111112</v>
      </c>
      <c r="K4" s="552"/>
    </row>
    <row r="5" spans="1:11">
      <c r="A5" s="552">
        <v>3</v>
      </c>
      <c r="B5" s="552">
        <v>7</v>
      </c>
      <c r="C5" s="552">
        <v>38</v>
      </c>
      <c r="D5" s="552">
        <f t="shared" si="0"/>
        <v>40.111111111111114</v>
      </c>
      <c r="E5" s="552">
        <f t="shared" ref="E5:E14" si="1">C5-D5</f>
        <v>-2.1111111111111143</v>
      </c>
      <c r="F5" s="552">
        <v>2.1111111111111107</v>
      </c>
      <c r="G5" s="552">
        <f t="shared" ref="G5:G14" si="2">-F5</f>
        <v>-2.1111111111111107</v>
      </c>
    </row>
    <row r="6" spans="1:11">
      <c r="A6" s="552">
        <v>5</v>
      </c>
      <c r="B6" s="552">
        <v>8</v>
      </c>
      <c r="C6" s="552">
        <v>51</v>
      </c>
      <c r="D6" s="552">
        <f t="shared" si="0"/>
        <v>51.555555555555557</v>
      </c>
      <c r="E6" s="552">
        <f t="shared" si="1"/>
        <v>-0.55555555555555713</v>
      </c>
      <c r="F6" s="552">
        <v>0.55555555555555225</v>
      </c>
      <c r="G6" s="552">
        <f t="shared" si="2"/>
        <v>-0.55555555555555225</v>
      </c>
    </row>
    <row r="7" spans="1:11">
      <c r="A7" s="552">
        <v>8</v>
      </c>
      <c r="B7" s="552">
        <v>1</v>
      </c>
      <c r="C7" s="552">
        <v>38</v>
      </c>
      <c r="D7" s="552">
        <f t="shared" si="0"/>
        <v>45.111111111111121</v>
      </c>
      <c r="E7" s="552">
        <f t="shared" si="1"/>
        <v>-7.1111111111111214</v>
      </c>
      <c r="F7" s="552">
        <v>7.1111111111111134</v>
      </c>
      <c r="G7" s="552">
        <f t="shared" si="2"/>
        <v>-7.1111111111111134</v>
      </c>
    </row>
    <row r="8" spans="1:11">
      <c r="A8" s="552">
        <v>9</v>
      </c>
      <c r="B8" s="552">
        <v>3</v>
      </c>
      <c r="C8" s="552">
        <v>55</v>
      </c>
      <c r="D8" s="552">
        <f t="shared" si="0"/>
        <v>55.000000000000014</v>
      </c>
      <c r="E8" s="552">
        <f t="shared" si="1"/>
        <v>0</v>
      </c>
      <c r="F8" s="552">
        <v>4.8849813083506888E-15</v>
      </c>
      <c r="G8" s="552">
        <f t="shared" si="2"/>
        <v>-4.8849813083506888E-15</v>
      </c>
    </row>
    <row r="9" spans="1:11">
      <c r="A9" s="552">
        <v>5</v>
      </c>
      <c r="B9" s="552">
        <v>4</v>
      </c>
      <c r="C9" s="552">
        <v>43</v>
      </c>
      <c r="D9" s="552">
        <f t="shared" si="0"/>
        <v>40.44444444444445</v>
      </c>
      <c r="E9" s="552">
        <f t="shared" si="1"/>
        <v>2.55555555555555</v>
      </c>
      <c r="F9" s="552">
        <v>2.5555555555555567</v>
      </c>
      <c r="G9" s="552">
        <f t="shared" si="2"/>
        <v>-2.5555555555555567</v>
      </c>
    </row>
    <row r="10" spans="1:11">
      <c r="A10" s="552">
        <v>4</v>
      </c>
      <c r="B10" s="552">
        <v>0</v>
      </c>
      <c r="C10" s="552">
        <v>25</v>
      </c>
      <c r="D10" s="552">
        <f t="shared" si="0"/>
        <v>25.000000000000004</v>
      </c>
      <c r="E10" s="552">
        <f t="shared" si="1"/>
        <v>0</v>
      </c>
      <c r="F10" s="552">
        <v>-1.1102230246251565E-16</v>
      </c>
      <c r="G10" s="552">
        <f t="shared" si="2"/>
        <v>1.1102230246251565E-16</v>
      </c>
    </row>
    <row r="11" spans="1:11">
      <c r="A11" s="552">
        <v>2</v>
      </c>
      <c r="B11" s="552">
        <v>6</v>
      </c>
      <c r="C11" s="552">
        <v>33</v>
      </c>
      <c r="D11" s="552">
        <f t="shared" si="0"/>
        <v>33</v>
      </c>
      <c r="E11" s="552">
        <f t="shared" si="1"/>
        <v>0</v>
      </c>
      <c r="F11" s="552">
        <v>0</v>
      </c>
      <c r="G11" s="552">
        <f t="shared" si="2"/>
        <v>0</v>
      </c>
    </row>
    <row r="12" spans="1:11">
      <c r="A12" s="552">
        <v>8</v>
      </c>
      <c r="B12" s="552">
        <v>7</v>
      </c>
      <c r="C12" s="552">
        <v>71</v>
      </c>
      <c r="D12" s="552">
        <f t="shared" si="0"/>
        <v>61.777777777777786</v>
      </c>
      <c r="E12" s="552">
        <f t="shared" si="1"/>
        <v>9.2222222222222143</v>
      </c>
      <c r="F12" s="552">
        <v>9.2222222222222268</v>
      </c>
      <c r="G12" s="552">
        <f t="shared" si="2"/>
        <v>-9.2222222222222268</v>
      </c>
    </row>
    <row r="13" spans="1:11">
      <c r="A13" s="552">
        <v>6</v>
      </c>
      <c r="B13" s="552">
        <v>4</v>
      </c>
      <c r="C13" s="552">
        <v>51</v>
      </c>
      <c r="D13" s="552">
        <f t="shared" si="0"/>
        <v>44.777777777777786</v>
      </c>
      <c r="E13" s="552">
        <f t="shared" si="1"/>
        <v>6.2222222222222143</v>
      </c>
      <c r="F13" s="552">
        <v>6.2222222222222241</v>
      </c>
      <c r="G13" s="552">
        <f t="shared" si="2"/>
        <v>-6.2222222222222241</v>
      </c>
    </row>
    <row r="14" spans="1:11">
      <c r="A14" s="558">
        <v>9</v>
      </c>
      <c r="B14" s="558">
        <v>2</v>
      </c>
      <c r="C14" s="558">
        <v>49</v>
      </c>
      <c r="D14" s="558">
        <f t="shared" si="0"/>
        <v>52.222222222222236</v>
      </c>
      <c r="E14" s="558">
        <f t="shared" si="1"/>
        <v>-3.2222222222222356</v>
      </c>
      <c r="F14" s="558">
        <v>3.2222222222222263</v>
      </c>
      <c r="G14" s="558">
        <f t="shared" si="2"/>
        <v>-3.2222222222222263</v>
      </c>
    </row>
    <row r="15" spans="1:11">
      <c r="A15" s="553"/>
      <c r="B15" s="553"/>
      <c r="C15" s="553"/>
      <c r="D15" s="553"/>
      <c r="E15" s="82" t="s">
        <v>303</v>
      </c>
      <c r="F15" s="552">
        <v>7.6666666666666687</v>
      </c>
    </row>
    <row r="16" spans="1:11">
      <c r="A16" s="553"/>
      <c r="B16" s="553"/>
      <c r="C16" s="553"/>
      <c r="D16" s="553"/>
      <c r="E16" s="552" t="s">
        <v>301</v>
      </c>
      <c r="F16" s="552">
        <v>4.3333333333333339</v>
      </c>
    </row>
    <row r="17" spans="1:6">
      <c r="A17" s="553"/>
      <c r="B17" s="553"/>
      <c r="C17" s="553"/>
      <c r="D17" s="553"/>
      <c r="E17" s="558" t="s">
        <v>302</v>
      </c>
      <c r="F17" s="558">
        <v>2.7777777777777772</v>
      </c>
    </row>
    <row r="19" spans="1:6">
      <c r="E19" s="82" t="s">
        <v>828</v>
      </c>
      <c r="F19" s="507">
        <f>SUM(F4:F14)</f>
        <v>44.111111111111128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51"/>
  <dimension ref="A1:AF32"/>
  <sheetViews>
    <sheetView workbookViewId="0"/>
  </sheetViews>
  <sheetFormatPr defaultRowHeight="15"/>
  <cols>
    <col min="1" max="3" width="7.42578125" customWidth="1"/>
    <col min="4" max="4" width="4.140625" customWidth="1"/>
    <col min="5" max="5" width="9.140625" customWidth="1"/>
    <col min="32" max="32" width="11" bestFit="1" customWidth="1"/>
  </cols>
  <sheetData>
    <row r="1" spans="1:32">
      <c r="A1" s="1" t="s">
        <v>829</v>
      </c>
    </row>
    <row r="3" spans="1:32">
      <c r="A3" s="551" t="s">
        <v>296</v>
      </c>
      <c r="B3" s="551" t="s">
        <v>297</v>
      </c>
      <c r="C3" s="551" t="s">
        <v>290</v>
      </c>
      <c r="E3" s="559">
        <v>0</v>
      </c>
      <c r="F3" s="551">
        <f>E3+1</f>
        <v>1</v>
      </c>
      <c r="G3" s="551">
        <f t="shared" ref="G3:AD3" si="0">F3+1</f>
        <v>2</v>
      </c>
      <c r="H3" s="551">
        <f t="shared" si="0"/>
        <v>3</v>
      </c>
      <c r="I3" s="551">
        <f t="shared" si="0"/>
        <v>4</v>
      </c>
      <c r="J3" s="551">
        <f t="shared" si="0"/>
        <v>5</v>
      </c>
      <c r="K3" s="551">
        <f t="shared" si="0"/>
        <v>6</v>
      </c>
      <c r="L3" s="551">
        <f t="shared" si="0"/>
        <v>7</v>
      </c>
      <c r="M3" s="551">
        <f t="shared" si="0"/>
        <v>8</v>
      </c>
      <c r="N3" s="551">
        <f t="shared" si="0"/>
        <v>9</v>
      </c>
      <c r="O3" s="551">
        <f t="shared" si="0"/>
        <v>10</v>
      </c>
      <c r="P3" s="551">
        <f t="shared" si="0"/>
        <v>11</v>
      </c>
      <c r="Q3" s="551">
        <f t="shared" si="0"/>
        <v>12</v>
      </c>
      <c r="R3" s="551">
        <f t="shared" si="0"/>
        <v>13</v>
      </c>
      <c r="S3" s="551">
        <f t="shared" si="0"/>
        <v>14</v>
      </c>
      <c r="T3" s="551">
        <f t="shared" si="0"/>
        <v>15</v>
      </c>
      <c r="U3" s="551">
        <f t="shared" si="0"/>
        <v>16</v>
      </c>
      <c r="V3" s="551">
        <f t="shared" si="0"/>
        <v>17</v>
      </c>
      <c r="W3" s="551">
        <f t="shared" si="0"/>
        <v>18</v>
      </c>
      <c r="X3" s="551">
        <f t="shared" si="0"/>
        <v>19</v>
      </c>
      <c r="Y3" s="551">
        <f t="shared" si="0"/>
        <v>20</v>
      </c>
      <c r="Z3" s="551">
        <f t="shared" si="0"/>
        <v>21</v>
      </c>
      <c r="AA3" s="551">
        <f t="shared" si="0"/>
        <v>22</v>
      </c>
      <c r="AB3" s="551">
        <f t="shared" si="0"/>
        <v>23</v>
      </c>
      <c r="AC3" s="551">
        <f t="shared" si="0"/>
        <v>24</v>
      </c>
      <c r="AD3" s="551">
        <f t="shared" si="0"/>
        <v>25</v>
      </c>
      <c r="AF3" s="551" t="s">
        <v>830</v>
      </c>
    </row>
    <row r="4" spans="1:32">
      <c r="A4" s="552">
        <v>7</v>
      </c>
      <c r="B4" s="552">
        <v>5</v>
      </c>
      <c r="C4" s="552">
        <v>65</v>
      </c>
      <c r="E4">
        <v>1</v>
      </c>
      <c r="F4" t="e">
        <f ca="1">1/ABS($C4-(E$16+$A4*E$17+$B4*E$18))</f>
        <v>#NAME?</v>
      </c>
      <c r="G4" t="e">
        <f t="shared" ref="G4:V5" ca="1" si="1">1/ABS($C4-(F$16+$A4*F$17+$B4*F$18))</f>
        <v>#NAME?</v>
      </c>
      <c r="H4" t="e">
        <f t="shared" ca="1" si="1"/>
        <v>#NAME?</v>
      </c>
      <c r="I4" t="e">
        <f t="shared" ca="1" si="1"/>
        <v>#NAME?</v>
      </c>
      <c r="J4" t="e">
        <f t="shared" ca="1" si="1"/>
        <v>#NAME?</v>
      </c>
      <c r="K4" t="e">
        <f t="shared" ca="1" si="1"/>
        <v>#NAME?</v>
      </c>
      <c r="L4" t="e">
        <f t="shared" ca="1" si="1"/>
        <v>#NAME?</v>
      </c>
      <c r="M4" t="e">
        <f t="shared" ca="1" si="1"/>
        <v>#NAME?</v>
      </c>
      <c r="N4" t="e">
        <f t="shared" ca="1" si="1"/>
        <v>#NAME?</v>
      </c>
      <c r="O4" t="e">
        <f t="shared" ca="1" si="1"/>
        <v>#NAME?</v>
      </c>
      <c r="P4" t="e">
        <f t="shared" ca="1" si="1"/>
        <v>#NAME?</v>
      </c>
      <c r="Q4" t="e">
        <f t="shared" ca="1" si="1"/>
        <v>#NAME?</v>
      </c>
      <c r="R4" t="e">
        <f t="shared" ca="1" si="1"/>
        <v>#NAME?</v>
      </c>
      <c r="S4" t="e">
        <f t="shared" ca="1" si="1"/>
        <v>#NAME?</v>
      </c>
      <c r="T4" t="e">
        <f t="shared" ca="1" si="1"/>
        <v>#NAME?</v>
      </c>
      <c r="U4" t="e">
        <f t="shared" ca="1" si="1"/>
        <v>#NAME?</v>
      </c>
      <c r="V4" t="e">
        <f t="shared" ca="1" si="1"/>
        <v>#NAME?</v>
      </c>
      <c r="W4" t="e">
        <f t="shared" ref="P4:AD14" ca="1" si="2">1/ABS($C4-(V$16+$A4*V$17+$B4*V$18))</f>
        <v>#NAME?</v>
      </c>
      <c r="X4" t="e">
        <f t="shared" ca="1" si="2"/>
        <v>#NAME?</v>
      </c>
      <c r="Y4" t="e">
        <f t="shared" ca="1" si="2"/>
        <v>#NAME?</v>
      </c>
      <c r="Z4" t="e">
        <f t="shared" ca="1" si="2"/>
        <v>#NAME?</v>
      </c>
      <c r="AA4" t="e">
        <f t="shared" ca="1" si="2"/>
        <v>#NAME?</v>
      </c>
      <c r="AB4" t="e">
        <f t="shared" ca="1" si="2"/>
        <v>#NAME?</v>
      </c>
      <c r="AC4" t="e">
        <f t="shared" ca="1" si="2"/>
        <v>#NAME?</v>
      </c>
      <c r="AD4" t="e">
        <f t="shared" ca="1" si="2"/>
        <v>#NAME?</v>
      </c>
      <c r="AF4" t="e">
        <f t="array" aca="1" ref="AF4:AF14" ca="1">LADRegWeights(A4:B14,C4:C14)</f>
        <v>#NAME?</v>
      </c>
    </row>
    <row r="5" spans="1:32">
      <c r="A5" s="552">
        <v>3</v>
      </c>
      <c r="B5" s="552">
        <v>7</v>
      </c>
      <c r="C5" s="552">
        <v>38</v>
      </c>
      <c r="E5">
        <v>1</v>
      </c>
      <c r="F5" t="e">
        <f t="shared" ref="F5:O14" ca="1" si="3">1/ABS($C5-(E$16+$A5*E$17+$B5*E$18))</f>
        <v>#NAME?</v>
      </c>
      <c r="G5" t="e">
        <f t="shared" ca="1" si="3"/>
        <v>#NAME?</v>
      </c>
      <c r="H5" t="e">
        <f t="shared" ca="1" si="3"/>
        <v>#NAME?</v>
      </c>
      <c r="I5" t="e">
        <f t="shared" ca="1" si="3"/>
        <v>#NAME?</v>
      </c>
      <c r="J5" t="e">
        <f t="shared" ca="1" si="3"/>
        <v>#NAME?</v>
      </c>
      <c r="K5" t="e">
        <f t="shared" ca="1" si="3"/>
        <v>#NAME?</v>
      </c>
      <c r="L5" t="e">
        <f t="shared" ca="1" si="3"/>
        <v>#NAME?</v>
      </c>
      <c r="M5" t="e">
        <f t="shared" ca="1" si="3"/>
        <v>#NAME?</v>
      </c>
      <c r="N5" t="e">
        <f t="shared" ca="1" si="3"/>
        <v>#NAME?</v>
      </c>
      <c r="O5" t="e">
        <f t="shared" ca="1" si="3"/>
        <v>#NAME?</v>
      </c>
      <c r="P5" t="e">
        <f t="shared" ca="1" si="1"/>
        <v>#NAME?</v>
      </c>
      <c r="Q5" t="e">
        <f t="shared" ca="1" si="1"/>
        <v>#NAME?</v>
      </c>
      <c r="R5" t="e">
        <f t="shared" ca="1" si="1"/>
        <v>#NAME?</v>
      </c>
      <c r="S5" t="e">
        <f t="shared" ca="1" si="1"/>
        <v>#NAME?</v>
      </c>
      <c r="T5" t="e">
        <f t="shared" ca="1" si="1"/>
        <v>#NAME?</v>
      </c>
      <c r="U5" t="e">
        <f t="shared" ca="1" si="1"/>
        <v>#NAME?</v>
      </c>
      <c r="V5" t="e">
        <f t="shared" ca="1" si="1"/>
        <v>#NAME?</v>
      </c>
      <c r="W5" t="e">
        <f t="shared" ca="1" si="2"/>
        <v>#NAME?</v>
      </c>
      <c r="X5" t="e">
        <f t="shared" ca="1" si="2"/>
        <v>#NAME?</v>
      </c>
      <c r="Y5" t="e">
        <f t="shared" ca="1" si="2"/>
        <v>#NAME?</v>
      </c>
      <c r="Z5" t="e">
        <f t="shared" ca="1" si="2"/>
        <v>#NAME?</v>
      </c>
      <c r="AA5" t="e">
        <f t="shared" ca="1" si="2"/>
        <v>#NAME?</v>
      </c>
      <c r="AB5" t="e">
        <f t="shared" ca="1" si="2"/>
        <v>#NAME?</v>
      </c>
      <c r="AC5" t="e">
        <f t="shared" ca="1" si="2"/>
        <v>#NAME?</v>
      </c>
      <c r="AD5" t="e">
        <f t="shared" ca="1" si="2"/>
        <v>#NAME?</v>
      </c>
      <c r="AF5" t="e">
        <f ca="1"/>
        <v>#NAME?</v>
      </c>
    </row>
    <row r="6" spans="1:32">
      <c r="A6" s="552">
        <v>5</v>
      </c>
      <c r="B6" s="552">
        <v>8</v>
      </c>
      <c r="C6" s="552">
        <v>51</v>
      </c>
      <c r="E6">
        <v>1</v>
      </c>
      <c r="F6" t="e">
        <f t="shared" ca="1" si="3"/>
        <v>#NAME?</v>
      </c>
      <c r="G6" t="e">
        <f t="shared" ca="1" si="3"/>
        <v>#NAME?</v>
      </c>
      <c r="H6" t="e">
        <f t="shared" ca="1" si="3"/>
        <v>#NAME?</v>
      </c>
      <c r="I6" t="e">
        <f t="shared" ca="1" si="3"/>
        <v>#NAME?</v>
      </c>
      <c r="J6" t="e">
        <f t="shared" ca="1" si="3"/>
        <v>#NAME?</v>
      </c>
      <c r="K6" t="e">
        <f t="shared" ca="1" si="3"/>
        <v>#NAME?</v>
      </c>
      <c r="L6" t="e">
        <f t="shared" ca="1" si="3"/>
        <v>#NAME?</v>
      </c>
      <c r="M6" t="e">
        <f t="shared" ca="1" si="3"/>
        <v>#NAME?</v>
      </c>
      <c r="N6" t="e">
        <f t="shared" ca="1" si="3"/>
        <v>#NAME?</v>
      </c>
      <c r="O6" t="e">
        <f t="shared" ca="1" si="3"/>
        <v>#NAME?</v>
      </c>
      <c r="P6" t="e">
        <f t="shared" ca="1" si="2"/>
        <v>#NAME?</v>
      </c>
      <c r="Q6" t="e">
        <f t="shared" ca="1" si="2"/>
        <v>#NAME?</v>
      </c>
      <c r="R6" t="e">
        <f t="shared" ca="1" si="2"/>
        <v>#NAME?</v>
      </c>
      <c r="S6" t="e">
        <f t="shared" ca="1" si="2"/>
        <v>#NAME?</v>
      </c>
      <c r="T6" t="e">
        <f t="shared" ca="1" si="2"/>
        <v>#NAME?</v>
      </c>
      <c r="U6" t="e">
        <f t="shared" ca="1" si="2"/>
        <v>#NAME?</v>
      </c>
      <c r="V6" t="e">
        <f t="shared" ca="1" si="2"/>
        <v>#NAME?</v>
      </c>
      <c r="W6" t="e">
        <f t="shared" ca="1" si="2"/>
        <v>#NAME?</v>
      </c>
      <c r="X6" t="e">
        <f t="shared" ca="1" si="2"/>
        <v>#NAME?</v>
      </c>
      <c r="Y6" t="e">
        <f t="shared" ca="1" si="2"/>
        <v>#NAME?</v>
      </c>
      <c r="Z6" t="e">
        <f t="shared" ca="1" si="2"/>
        <v>#NAME?</v>
      </c>
      <c r="AA6" t="e">
        <f t="shared" ca="1" si="2"/>
        <v>#NAME?</v>
      </c>
      <c r="AB6" t="e">
        <f t="shared" ca="1" si="2"/>
        <v>#NAME?</v>
      </c>
      <c r="AC6" t="e">
        <f t="shared" ca="1" si="2"/>
        <v>#NAME?</v>
      </c>
      <c r="AD6" t="e">
        <f t="shared" ca="1" si="2"/>
        <v>#NAME?</v>
      </c>
      <c r="AF6" t="e">
        <f ca="1"/>
        <v>#NAME?</v>
      </c>
    </row>
    <row r="7" spans="1:32">
      <c r="A7" s="552">
        <v>8</v>
      </c>
      <c r="B7" s="552">
        <v>1</v>
      </c>
      <c r="C7" s="552">
        <v>38</v>
      </c>
      <c r="E7">
        <v>1</v>
      </c>
      <c r="F7" t="e">
        <f t="shared" ca="1" si="3"/>
        <v>#NAME?</v>
      </c>
      <c r="G7" t="e">
        <f t="shared" ca="1" si="3"/>
        <v>#NAME?</v>
      </c>
      <c r="H7" t="e">
        <f t="shared" ca="1" si="3"/>
        <v>#NAME?</v>
      </c>
      <c r="I7" t="e">
        <f t="shared" ca="1" si="3"/>
        <v>#NAME?</v>
      </c>
      <c r="J7" t="e">
        <f t="shared" ca="1" si="3"/>
        <v>#NAME?</v>
      </c>
      <c r="K7" t="e">
        <f t="shared" ca="1" si="3"/>
        <v>#NAME?</v>
      </c>
      <c r="L7" t="e">
        <f t="shared" ca="1" si="3"/>
        <v>#NAME?</v>
      </c>
      <c r="M7" t="e">
        <f t="shared" ca="1" si="3"/>
        <v>#NAME?</v>
      </c>
      <c r="N7" t="e">
        <f t="shared" ca="1" si="3"/>
        <v>#NAME?</v>
      </c>
      <c r="O7" t="e">
        <f t="shared" ca="1" si="3"/>
        <v>#NAME?</v>
      </c>
      <c r="P7" t="e">
        <f t="shared" ca="1" si="2"/>
        <v>#NAME?</v>
      </c>
      <c r="Q7" t="e">
        <f t="shared" ca="1" si="2"/>
        <v>#NAME?</v>
      </c>
      <c r="R7" t="e">
        <f t="shared" ca="1" si="2"/>
        <v>#NAME?</v>
      </c>
      <c r="S7" t="e">
        <f t="shared" ca="1" si="2"/>
        <v>#NAME?</v>
      </c>
      <c r="T7" t="e">
        <f t="shared" ca="1" si="2"/>
        <v>#NAME?</v>
      </c>
      <c r="U7" t="e">
        <f t="shared" ca="1" si="2"/>
        <v>#NAME?</v>
      </c>
      <c r="V7" t="e">
        <f t="shared" ca="1" si="2"/>
        <v>#NAME?</v>
      </c>
      <c r="W7" t="e">
        <f t="shared" ca="1" si="2"/>
        <v>#NAME?</v>
      </c>
      <c r="X7" t="e">
        <f t="shared" ca="1" si="2"/>
        <v>#NAME?</v>
      </c>
      <c r="Y7" t="e">
        <f t="shared" ca="1" si="2"/>
        <v>#NAME?</v>
      </c>
      <c r="Z7" t="e">
        <f t="shared" ca="1" si="2"/>
        <v>#NAME?</v>
      </c>
      <c r="AA7" t="e">
        <f t="shared" ca="1" si="2"/>
        <v>#NAME?</v>
      </c>
      <c r="AB7" t="e">
        <f t="shared" ca="1" si="2"/>
        <v>#NAME?</v>
      </c>
      <c r="AC7" t="e">
        <f t="shared" ca="1" si="2"/>
        <v>#NAME?</v>
      </c>
      <c r="AD7" t="e">
        <f t="shared" ca="1" si="2"/>
        <v>#NAME?</v>
      </c>
      <c r="AF7" t="e">
        <f ca="1"/>
        <v>#NAME?</v>
      </c>
    </row>
    <row r="8" spans="1:32">
      <c r="A8" s="552">
        <v>9</v>
      </c>
      <c r="B8" s="552">
        <v>3</v>
      </c>
      <c r="C8" s="552">
        <v>55</v>
      </c>
      <c r="E8">
        <v>1</v>
      </c>
      <c r="F8" t="e">
        <f t="shared" ca="1" si="3"/>
        <v>#NAME?</v>
      </c>
      <c r="G8" t="e">
        <f t="shared" ca="1" si="3"/>
        <v>#NAME?</v>
      </c>
      <c r="H8" t="e">
        <f t="shared" ca="1" si="3"/>
        <v>#NAME?</v>
      </c>
      <c r="I8" t="e">
        <f t="shared" ca="1" si="3"/>
        <v>#NAME?</v>
      </c>
      <c r="J8" t="e">
        <f t="shared" ca="1" si="3"/>
        <v>#NAME?</v>
      </c>
      <c r="K8" t="e">
        <f t="shared" ca="1" si="3"/>
        <v>#NAME?</v>
      </c>
      <c r="L8" t="e">
        <f t="shared" ca="1" si="3"/>
        <v>#NAME?</v>
      </c>
      <c r="M8" t="e">
        <f t="shared" ca="1" si="3"/>
        <v>#NAME?</v>
      </c>
      <c r="N8" t="e">
        <f t="shared" ca="1" si="3"/>
        <v>#NAME?</v>
      </c>
      <c r="O8" t="e">
        <f t="shared" ca="1" si="3"/>
        <v>#NAME?</v>
      </c>
      <c r="P8" t="e">
        <f t="shared" ca="1" si="2"/>
        <v>#NAME?</v>
      </c>
      <c r="Q8" t="e">
        <f t="shared" ca="1" si="2"/>
        <v>#NAME?</v>
      </c>
      <c r="R8" t="e">
        <f t="shared" ca="1" si="2"/>
        <v>#NAME?</v>
      </c>
      <c r="S8" t="e">
        <f t="shared" ca="1" si="2"/>
        <v>#NAME?</v>
      </c>
      <c r="T8" t="e">
        <f t="shared" ca="1" si="2"/>
        <v>#NAME?</v>
      </c>
      <c r="U8" t="e">
        <f t="shared" ca="1" si="2"/>
        <v>#NAME?</v>
      </c>
      <c r="V8" t="e">
        <f t="shared" ca="1" si="2"/>
        <v>#NAME?</v>
      </c>
      <c r="W8" t="e">
        <f t="shared" ca="1" si="2"/>
        <v>#NAME?</v>
      </c>
      <c r="X8" t="e">
        <f t="shared" ca="1" si="2"/>
        <v>#NAME?</v>
      </c>
      <c r="Y8" t="e">
        <f t="shared" ca="1" si="2"/>
        <v>#NAME?</v>
      </c>
      <c r="Z8" t="e">
        <f t="shared" ca="1" si="2"/>
        <v>#NAME?</v>
      </c>
      <c r="AA8" t="e">
        <f t="shared" ca="1" si="2"/>
        <v>#NAME?</v>
      </c>
      <c r="AB8" t="e">
        <f t="shared" ca="1" si="2"/>
        <v>#NAME?</v>
      </c>
      <c r="AC8" t="e">
        <f t="shared" ca="1" si="2"/>
        <v>#NAME?</v>
      </c>
      <c r="AD8" t="e">
        <f t="shared" ca="1" si="2"/>
        <v>#NAME?</v>
      </c>
      <c r="AF8" t="e">
        <f ca="1"/>
        <v>#NAME?</v>
      </c>
    </row>
    <row r="9" spans="1:32">
      <c r="A9" s="552">
        <v>5</v>
      </c>
      <c r="B9" s="552">
        <v>4</v>
      </c>
      <c r="C9" s="552">
        <v>43</v>
      </c>
      <c r="E9">
        <v>1</v>
      </c>
      <c r="F9" t="e">
        <f t="shared" ca="1" si="3"/>
        <v>#NAME?</v>
      </c>
      <c r="G9" t="e">
        <f t="shared" ca="1" si="3"/>
        <v>#NAME?</v>
      </c>
      <c r="H9" t="e">
        <f t="shared" ca="1" si="3"/>
        <v>#NAME?</v>
      </c>
      <c r="I9" t="e">
        <f t="shared" ca="1" si="3"/>
        <v>#NAME?</v>
      </c>
      <c r="J9" t="e">
        <f t="shared" ca="1" si="3"/>
        <v>#NAME?</v>
      </c>
      <c r="K9" t="e">
        <f t="shared" ca="1" si="3"/>
        <v>#NAME?</v>
      </c>
      <c r="L9" t="e">
        <f t="shared" ca="1" si="3"/>
        <v>#NAME?</v>
      </c>
      <c r="M9" t="e">
        <f t="shared" ca="1" si="3"/>
        <v>#NAME?</v>
      </c>
      <c r="N9" t="e">
        <f t="shared" ca="1" si="3"/>
        <v>#NAME?</v>
      </c>
      <c r="O9" t="e">
        <f t="shared" ca="1" si="3"/>
        <v>#NAME?</v>
      </c>
      <c r="P9" t="e">
        <f t="shared" ca="1" si="2"/>
        <v>#NAME?</v>
      </c>
      <c r="Q9" t="e">
        <f t="shared" ca="1" si="2"/>
        <v>#NAME?</v>
      </c>
      <c r="R9" t="e">
        <f t="shared" ca="1" si="2"/>
        <v>#NAME?</v>
      </c>
      <c r="S9" t="e">
        <f t="shared" ca="1" si="2"/>
        <v>#NAME?</v>
      </c>
      <c r="T9" t="e">
        <f t="shared" ca="1" si="2"/>
        <v>#NAME?</v>
      </c>
      <c r="U9" t="e">
        <f t="shared" ca="1" si="2"/>
        <v>#NAME?</v>
      </c>
      <c r="V9" t="e">
        <f t="shared" ca="1" si="2"/>
        <v>#NAME?</v>
      </c>
      <c r="W9" t="e">
        <f t="shared" ca="1" si="2"/>
        <v>#NAME?</v>
      </c>
      <c r="X9" t="e">
        <f t="shared" ca="1" si="2"/>
        <v>#NAME?</v>
      </c>
      <c r="Y9" t="e">
        <f t="shared" ca="1" si="2"/>
        <v>#NAME?</v>
      </c>
      <c r="Z9" t="e">
        <f t="shared" ca="1" si="2"/>
        <v>#NAME?</v>
      </c>
      <c r="AA9" t="e">
        <f t="shared" ca="1" si="2"/>
        <v>#NAME?</v>
      </c>
      <c r="AB9" t="e">
        <f t="shared" ca="1" si="2"/>
        <v>#NAME?</v>
      </c>
      <c r="AC9" t="e">
        <f t="shared" ca="1" si="2"/>
        <v>#NAME?</v>
      </c>
      <c r="AD9" t="e">
        <f t="shared" ca="1" si="2"/>
        <v>#NAME?</v>
      </c>
      <c r="AF9" t="e">
        <f ca="1"/>
        <v>#NAME?</v>
      </c>
    </row>
    <row r="10" spans="1:32">
      <c r="A10" s="552">
        <v>4</v>
      </c>
      <c r="B10" s="552">
        <v>0</v>
      </c>
      <c r="C10" s="552">
        <v>25</v>
      </c>
      <c r="E10">
        <v>1</v>
      </c>
      <c r="F10" t="e">
        <f t="shared" ca="1" si="3"/>
        <v>#NAME?</v>
      </c>
      <c r="G10" t="e">
        <f t="shared" ca="1" si="3"/>
        <v>#NAME?</v>
      </c>
      <c r="H10" t="e">
        <f t="shared" ca="1" si="3"/>
        <v>#NAME?</v>
      </c>
      <c r="I10" t="e">
        <f t="shared" ca="1" si="3"/>
        <v>#NAME?</v>
      </c>
      <c r="J10" t="e">
        <f t="shared" ca="1" si="3"/>
        <v>#NAME?</v>
      </c>
      <c r="K10" t="e">
        <f t="shared" ca="1" si="3"/>
        <v>#NAME?</v>
      </c>
      <c r="L10" t="e">
        <f t="shared" ca="1" si="3"/>
        <v>#NAME?</v>
      </c>
      <c r="M10" t="e">
        <f t="shared" ca="1" si="3"/>
        <v>#NAME?</v>
      </c>
      <c r="N10" t="e">
        <f t="shared" ca="1" si="3"/>
        <v>#NAME?</v>
      </c>
      <c r="O10" t="e">
        <f t="shared" ca="1" si="3"/>
        <v>#NAME?</v>
      </c>
      <c r="P10" t="e">
        <f t="shared" ca="1" si="2"/>
        <v>#NAME?</v>
      </c>
      <c r="Q10" t="e">
        <f t="shared" ca="1" si="2"/>
        <v>#NAME?</v>
      </c>
      <c r="R10" t="e">
        <f t="shared" ca="1" si="2"/>
        <v>#NAME?</v>
      </c>
      <c r="S10" t="e">
        <f t="shared" ca="1" si="2"/>
        <v>#NAME?</v>
      </c>
      <c r="T10" t="e">
        <f t="shared" ca="1" si="2"/>
        <v>#NAME?</v>
      </c>
      <c r="U10" t="e">
        <f t="shared" ca="1" si="2"/>
        <v>#NAME?</v>
      </c>
      <c r="V10" t="e">
        <f t="shared" ca="1" si="2"/>
        <v>#NAME?</v>
      </c>
      <c r="W10" t="e">
        <f t="shared" ca="1" si="2"/>
        <v>#NAME?</v>
      </c>
      <c r="X10" t="e">
        <f t="shared" ca="1" si="2"/>
        <v>#NAME?</v>
      </c>
      <c r="Y10" t="e">
        <f t="shared" ca="1" si="2"/>
        <v>#NAME?</v>
      </c>
      <c r="Z10" t="e">
        <f t="shared" ca="1" si="2"/>
        <v>#NAME?</v>
      </c>
      <c r="AA10" t="e">
        <f t="shared" ca="1" si="2"/>
        <v>#NAME?</v>
      </c>
      <c r="AB10" t="e">
        <f t="shared" ca="1" si="2"/>
        <v>#NAME?</v>
      </c>
      <c r="AC10" t="e">
        <f t="shared" ca="1" si="2"/>
        <v>#NAME?</v>
      </c>
      <c r="AD10" t="e">
        <f t="shared" ca="1" si="2"/>
        <v>#NAME?</v>
      </c>
      <c r="AF10" t="e">
        <f ca="1"/>
        <v>#NAME?</v>
      </c>
    </row>
    <row r="11" spans="1:32">
      <c r="A11" s="552">
        <v>2</v>
      </c>
      <c r="B11" s="552">
        <v>6</v>
      </c>
      <c r="C11" s="552">
        <v>33</v>
      </c>
      <c r="E11">
        <v>1</v>
      </c>
      <c r="F11" t="e">
        <f t="shared" ca="1" si="3"/>
        <v>#NAME?</v>
      </c>
      <c r="G11" t="e">
        <f t="shared" ca="1" si="3"/>
        <v>#NAME?</v>
      </c>
      <c r="H11" t="e">
        <f t="shared" ca="1" si="3"/>
        <v>#NAME?</v>
      </c>
      <c r="I11" t="e">
        <f t="shared" ca="1" si="3"/>
        <v>#NAME?</v>
      </c>
      <c r="J11" t="e">
        <f t="shared" ca="1" si="3"/>
        <v>#NAME?</v>
      </c>
      <c r="K11" t="e">
        <f t="shared" ca="1" si="3"/>
        <v>#NAME?</v>
      </c>
      <c r="L11" t="e">
        <f t="shared" ca="1" si="3"/>
        <v>#NAME?</v>
      </c>
      <c r="M11" t="e">
        <f t="shared" ca="1" si="3"/>
        <v>#NAME?</v>
      </c>
      <c r="N11" t="e">
        <f t="shared" ca="1" si="3"/>
        <v>#NAME?</v>
      </c>
      <c r="O11" t="e">
        <f t="shared" ca="1" si="3"/>
        <v>#NAME?</v>
      </c>
      <c r="P11" t="e">
        <f t="shared" ca="1" si="2"/>
        <v>#NAME?</v>
      </c>
      <c r="Q11" t="e">
        <f t="shared" ca="1" si="2"/>
        <v>#NAME?</v>
      </c>
      <c r="R11" t="e">
        <f t="shared" ca="1" si="2"/>
        <v>#NAME?</v>
      </c>
      <c r="S11" t="e">
        <f t="shared" ca="1" si="2"/>
        <v>#NAME?</v>
      </c>
      <c r="T11" t="e">
        <f t="shared" ca="1" si="2"/>
        <v>#NAME?</v>
      </c>
      <c r="U11" t="e">
        <f t="shared" ca="1" si="2"/>
        <v>#NAME?</v>
      </c>
      <c r="V11" t="e">
        <f t="shared" ca="1" si="2"/>
        <v>#NAME?</v>
      </c>
      <c r="W11" t="e">
        <f t="shared" ca="1" si="2"/>
        <v>#NAME?</v>
      </c>
      <c r="X11" t="e">
        <f t="shared" ca="1" si="2"/>
        <v>#NAME?</v>
      </c>
      <c r="Y11" t="e">
        <f t="shared" ca="1" si="2"/>
        <v>#NAME?</v>
      </c>
      <c r="Z11" t="e">
        <f t="shared" ca="1" si="2"/>
        <v>#NAME?</v>
      </c>
      <c r="AA11" t="e">
        <f t="shared" ca="1" si="2"/>
        <v>#NAME?</v>
      </c>
      <c r="AB11" t="e">
        <f t="shared" ca="1" si="2"/>
        <v>#NAME?</v>
      </c>
      <c r="AC11" t="e">
        <f t="shared" ca="1" si="2"/>
        <v>#NAME?</v>
      </c>
      <c r="AD11" t="e">
        <f t="shared" ca="1" si="2"/>
        <v>#NAME?</v>
      </c>
      <c r="AF11" t="e">
        <f ca="1"/>
        <v>#NAME?</v>
      </c>
    </row>
    <row r="12" spans="1:32">
      <c r="A12" s="552">
        <v>8</v>
      </c>
      <c r="B12" s="552">
        <v>7</v>
      </c>
      <c r="C12" s="552">
        <v>71</v>
      </c>
      <c r="E12">
        <v>1</v>
      </c>
      <c r="F12" t="e">
        <f t="shared" ca="1" si="3"/>
        <v>#NAME?</v>
      </c>
      <c r="G12" t="e">
        <f t="shared" ca="1" si="3"/>
        <v>#NAME?</v>
      </c>
      <c r="H12" t="e">
        <f t="shared" ca="1" si="3"/>
        <v>#NAME?</v>
      </c>
      <c r="I12" t="e">
        <f t="shared" ca="1" si="3"/>
        <v>#NAME?</v>
      </c>
      <c r="J12" t="e">
        <f t="shared" ca="1" si="3"/>
        <v>#NAME?</v>
      </c>
      <c r="K12" t="e">
        <f t="shared" ca="1" si="3"/>
        <v>#NAME?</v>
      </c>
      <c r="L12" t="e">
        <f t="shared" ca="1" si="3"/>
        <v>#NAME?</v>
      </c>
      <c r="M12" t="e">
        <f t="shared" ca="1" si="3"/>
        <v>#NAME?</v>
      </c>
      <c r="N12" t="e">
        <f t="shared" ca="1" si="3"/>
        <v>#NAME?</v>
      </c>
      <c r="O12" t="e">
        <f t="shared" ca="1" si="3"/>
        <v>#NAME?</v>
      </c>
      <c r="P12" t="e">
        <f t="shared" ca="1" si="2"/>
        <v>#NAME?</v>
      </c>
      <c r="Q12" t="e">
        <f t="shared" ca="1" si="2"/>
        <v>#NAME?</v>
      </c>
      <c r="R12" t="e">
        <f t="shared" ca="1" si="2"/>
        <v>#NAME?</v>
      </c>
      <c r="S12" t="e">
        <f t="shared" ca="1" si="2"/>
        <v>#NAME?</v>
      </c>
      <c r="T12" t="e">
        <f t="shared" ca="1" si="2"/>
        <v>#NAME?</v>
      </c>
      <c r="U12" t="e">
        <f t="shared" ca="1" si="2"/>
        <v>#NAME?</v>
      </c>
      <c r="V12" t="e">
        <f t="shared" ca="1" si="2"/>
        <v>#NAME?</v>
      </c>
      <c r="W12" t="e">
        <f t="shared" ca="1" si="2"/>
        <v>#NAME?</v>
      </c>
      <c r="X12" t="e">
        <f t="shared" ca="1" si="2"/>
        <v>#NAME?</v>
      </c>
      <c r="Y12" t="e">
        <f t="shared" ca="1" si="2"/>
        <v>#NAME?</v>
      </c>
      <c r="Z12" t="e">
        <f t="shared" ca="1" si="2"/>
        <v>#NAME?</v>
      </c>
      <c r="AA12" t="e">
        <f t="shared" ca="1" si="2"/>
        <v>#NAME?</v>
      </c>
      <c r="AB12" t="e">
        <f t="shared" ca="1" si="2"/>
        <v>#NAME?</v>
      </c>
      <c r="AC12" t="e">
        <f t="shared" ca="1" si="2"/>
        <v>#NAME?</v>
      </c>
      <c r="AD12" t="e">
        <f t="shared" ca="1" si="2"/>
        <v>#NAME?</v>
      </c>
      <c r="AF12" t="e">
        <f ca="1"/>
        <v>#NAME?</v>
      </c>
    </row>
    <row r="13" spans="1:32">
      <c r="A13" s="552">
        <v>6</v>
      </c>
      <c r="B13" s="552">
        <v>4</v>
      </c>
      <c r="C13" s="552">
        <v>51</v>
      </c>
      <c r="E13">
        <v>1</v>
      </c>
      <c r="F13" t="e">
        <f t="shared" ca="1" si="3"/>
        <v>#NAME?</v>
      </c>
      <c r="G13" t="e">
        <f t="shared" ca="1" si="3"/>
        <v>#NAME?</v>
      </c>
      <c r="H13" t="e">
        <f t="shared" ca="1" si="3"/>
        <v>#NAME?</v>
      </c>
      <c r="I13" t="e">
        <f t="shared" ca="1" si="3"/>
        <v>#NAME?</v>
      </c>
      <c r="J13" t="e">
        <f t="shared" ca="1" si="3"/>
        <v>#NAME?</v>
      </c>
      <c r="K13" t="e">
        <f t="shared" ca="1" si="3"/>
        <v>#NAME?</v>
      </c>
      <c r="L13" t="e">
        <f t="shared" ca="1" si="3"/>
        <v>#NAME?</v>
      </c>
      <c r="M13" t="e">
        <f t="shared" ca="1" si="3"/>
        <v>#NAME?</v>
      </c>
      <c r="N13" t="e">
        <f t="shared" ca="1" si="3"/>
        <v>#NAME?</v>
      </c>
      <c r="O13" t="e">
        <f t="shared" ca="1" si="3"/>
        <v>#NAME?</v>
      </c>
      <c r="P13" t="e">
        <f t="shared" ca="1" si="2"/>
        <v>#NAME?</v>
      </c>
      <c r="Q13" t="e">
        <f t="shared" ca="1" si="2"/>
        <v>#NAME?</v>
      </c>
      <c r="R13" t="e">
        <f t="shared" ca="1" si="2"/>
        <v>#NAME?</v>
      </c>
      <c r="S13" t="e">
        <f t="shared" ca="1" si="2"/>
        <v>#NAME?</v>
      </c>
      <c r="T13" t="e">
        <f t="shared" ca="1" si="2"/>
        <v>#NAME?</v>
      </c>
      <c r="U13" t="e">
        <f t="shared" ca="1" si="2"/>
        <v>#NAME?</v>
      </c>
      <c r="V13" t="e">
        <f t="shared" ca="1" si="2"/>
        <v>#NAME?</v>
      </c>
      <c r="W13" t="e">
        <f t="shared" ca="1" si="2"/>
        <v>#NAME?</v>
      </c>
      <c r="X13" t="e">
        <f t="shared" ca="1" si="2"/>
        <v>#NAME?</v>
      </c>
      <c r="Y13" t="e">
        <f t="shared" ca="1" si="2"/>
        <v>#NAME?</v>
      </c>
      <c r="Z13" t="e">
        <f t="shared" ca="1" si="2"/>
        <v>#NAME?</v>
      </c>
      <c r="AA13" t="e">
        <f t="shared" ca="1" si="2"/>
        <v>#NAME?</v>
      </c>
      <c r="AB13" t="e">
        <f t="shared" ca="1" si="2"/>
        <v>#NAME?</v>
      </c>
      <c r="AC13" t="e">
        <f t="shared" ca="1" si="2"/>
        <v>#NAME?</v>
      </c>
      <c r="AD13" t="e">
        <f t="shared" ca="1" si="2"/>
        <v>#NAME?</v>
      </c>
      <c r="AF13" t="e">
        <f ca="1"/>
        <v>#NAME?</v>
      </c>
    </row>
    <row r="14" spans="1:32">
      <c r="A14" s="558">
        <v>9</v>
      </c>
      <c r="B14" s="558">
        <v>2</v>
      </c>
      <c r="C14" s="558">
        <v>49</v>
      </c>
      <c r="E14" s="367">
        <v>1</v>
      </c>
      <c r="F14" s="367" t="e">
        <f t="shared" ca="1" si="3"/>
        <v>#NAME?</v>
      </c>
      <c r="G14" s="367" t="e">
        <f t="shared" ca="1" si="3"/>
        <v>#NAME?</v>
      </c>
      <c r="H14" s="367" t="e">
        <f t="shared" ca="1" si="3"/>
        <v>#NAME?</v>
      </c>
      <c r="I14" s="367" t="e">
        <f t="shared" ca="1" si="3"/>
        <v>#NAME?</v>
      </c>
      <c r="J14" s="367" t="e">
        <f t="shared" ca="1" si="3"/>
        <v>#NAME?</v>
      </c>
      <c r="K14" s="367" t="e">
        <f t="shared" ca="1" si="3"/>
        <v>#NAME?</v>
      </c>
      <c r="L14" s="367" t="e">
        <f t="shared" ca="1" si="3"/>
        <v>#NAME?</v>
      </c>
      <c r="M14" s="367" t="e">
        <f t="shared" ca="1" si="3"/>
        <v>#NAME?</v>
      </c>
      <c r="N14" s="367" t="e">
        <f t="shared" ca="1" si="3"/>
        <v>#NAME?</v>
      </c>
      <c r="O14" s="367" t="e">
        <f t="shared" ca="1" si="3"/>
        <v>#NAME?</v>
      </c>
      <c r="P14" s="367" t="e">
        <f t="shared" ca="1" si="2"/>
        <v>#NAME?</v>
      </c>
      <c r="Q14" s="367" t="e">
        <f t="shared" ca="1" si="2"/>
        <v>#NAME?</v>
      </c>
      <c r="R14" s="367" t="e">
        <f t="shared" ca="1" si="2"/>
        <v>#NAME?</v>
      </c>
      <c r="S14" s="367" t="e">
        <f t="shared" ca="1" si="2"/>
        <v>#NAME?</v>
      </c>
      <c r="T14" s="367" t="e">
        <f t="shared" ca="1" si="2"/>
        <v>#NAME?</v>
      </c>
      <c r="U14" s="367" t="e">
        <f t="shared" ca="1" si="2"/>
        <v>#NAME?</v>
      </c>
      <c r="V14" s="367" t="e">
        <f t="shared" ca="1" si="2"/>
        <v>#NAME?</v>
      </c>
      <c r="W14" s="367" t="e">
        <f t="shared" ca="1" si="2"/>
        <v>#NAME?</v>
      </c>
      <c r="X14" s="367" t="e">
        <f t="shared" ca="1" si="2"/>
        <v>#NAME?</v>
      </c>
      <c r="Y14" s="367" t="e">
        <f t="shared" ca="1" si="2"/>
        <v>#NAME?</v>
      </c>
      <c r="Z14" s="367" t="e">
        <f t="shared" ca="1" si="2"/>
        <v>#NAME?</v>
      </c>
      <c r="AA14" s="367" t="e">
        <f t="shared" ca="1" si="2"/>
        <v>#NAME?</v>
      </c>
      <c r="AB14" s="367" t="e">
        <f t="shared" ca="1" si="2"/>
        <v>#NAME?</v>
      </c>
      <c r="AC14" s="367" t="e">
        <f t="shared" ca="1" si="2"/>
        <v>#NAME?</v>
      </c>
      <c r="AD14" s="367" t="e">
        <f t="shared" ca="1" si="2"/>
        <v>#NAME?</v>
      </c>
      <c r="AF14" s="367" t="e">
        <f ca="1"/>
        <v>#NAME?</v>
      </c>
    </row>
    <row r="15" spans="1:32">
      <c r="A15" s="553"/>
      <c r="B15" s="553"/>
      <c r="C15" s="553"/>
    </row>
    <row r="16" spans="1:32">
      <c r="A16" s="553"/>
      <c r="B16" s="553"/>
      <c r="C16" s="553"/>
      <c r="D16" s="549" t="s">
        <v>303</v>
      </c>
      <c r="E16" s="549" t="e">
        <f t="array" aca="1" ref="E16:E18" ca="1">WRegCoeff($A4:$B14,$C4:$C14,E4:E14)</f>
        <v>#NAME?</v>
      </c>
      <c r="F16" s="549" t="e">
        <f t="array" aca="1" ref="F16:F18" ca="1">WRegCoeff($A4:$B14,$C4:$C14,F4:F14)</f>
        <v>#NAME?</v>
      </c>
      <c r="G16" s="549" t="e">
        <f t="array" aca="1" ref="G16:G18" ca="1">WRegCoeff($A4:$B14,$C4:$C14,G4:G14)</f>
        <v>#NAME?</v>
      </c>
      <c r="H16" s="549" t="e">
        <f t="array" aca="1" ref="H16:H18" ca="1">WRegCoeff($A4:$B14,$C4:$C14,H4:H14)</f>
        <v>#NAME?</v>
      </c>
      <c r="I16" s="549" t="e">
        <f t="array" aca="1" ref="I16:I18" ca="1">WRegCoeff($A4:$B14,$C4:$C14,I4:I14)</f>
        <v>#NAME?</v>
      </c>
      <c r="J16" s="549" t="e">
        <f t="array" aca="1" ref="J16:J18" ca="1">WRegCoeff($A4:$B14,$C4:$C14,J4:J14)</f>
        <v>#NAME?</v>
      </c>
      <c r="K16" s="549" t="e">
        <f t="array" aca="1" ref="K16:K18" ca="1">WRegCoeff($A4:$B14,$C4:$C14,K4:K14)</f>
        <v>#NAME?</v>
      </c>
      <c r="L16" s="549" t="e">
        <f t="array" aca="1" ref="L16:L18" ca="1">WRegCoeff($A4:$B14,$C4:$C14,L4:L14)</f>
        <v>#NAME?</v>
      </c>
      <c r="M16" s="549" t="e">
        <f t="array" aca="1" ref="M16:M18" ca="1">WRegCoeff($A4:$B14,$C4:$C14,M4:M14)</f>
        <v>#NAME?</v>
      </c>
      <c r="N16" s="549" t="e">
        <f t="array" aca="1" ref="N16:N18" ca="1">WRegCoeff($A4:$B14,$C4:$C14,N4:N14)</f>
        <v>#NAME?</v>
      </c>
      <c r="O16" s="549" t="e">
        <f t="array" aca="1" ref="O16:O18" ca="1">WRegCoeff($A4:$B14,$C4:$C14,O4:O14)</f>
        <v>#NAME?</v>
      </c>
      <c r="P16" s="549" t="e">
        <f t="array" aca="1" ref="P16:P18" ca="1">WRegCoeff($A4:$B14,$C4:$C14,P4:P14)</f>
        <v>#NAME?</v>
      </c>
      <c r="Q16" s="549" t="e">
        <f t="array" aca="1" ref="Q16:Q18" ca="1">WRegCoeff($A4:$B14,$C4:$C14,Q4:Q14)</f>
        <v>#NAME?</v>
      </c>
      <c r="R16" s="549" t="e">
        <f t="array" aca="1" ref="R16:R18" ca="1">WRegCoeff($A4:$B14,$C4:$C14,R4:R14)</f>
        <v>#NAME?</v>
      </c>
      <c r="S16" s="549" t="e">
        <f t="array" aca="1" ref="S16:S18" ca="1">WRegCoeff($A4:$B14,$C4:$C14,S4:S14)</f>
        <v>#NAME?</v>
      </c>
      <c r="T16" s="549" t="e">
        <f t="array" aca="1" ref="T16:T18" ca="1">WRegCoeff($A4:$B14,$C4:$C14,T4:T14)</f>
        <v>#NAME?</v>
      </c>
      <c r="U16" s="549" t="e">
        <f t="array" aca="1" ref="U16:U18" ca="1">WRegCoeff($A4:$B14,$C4:$C14,U4:U14)</f>
        <v>#NAME?</v>
      </c>
      <c r="V16" s="549" t="e">
        <f t="array" aca="1" ref="V16:V18" ca="1">WRegCoeff($A4:$B14,$C4:$C14,V4:V14)</f>
        <v>#NAME?</v>
      </c>
      <c r="W16" s="549" t="e">
        <f t="array" aca="1" ref="W16:W18" ca="1">WRegCoeff($A4:$B14,$C4:$C14,W4:W14)</f>
        <v>#NAME?</v>
      </c>
      <c r="X16" s="549" t="e">
        <f t="array" aca="1" ref="X16:X18" ca="1">WRegCoeff($A4:$B14,$C4:$C14,X4:X14)</f>
        <v>#NAME?</v>
      </c>
      <c r="Y16" s="549" t="e">
        <f t="array" aca="1" ref="Y16:Y18" ca="1">WRegCoeff($A4:$B14,$C4:$C14,Y4:Y14)</f>
        <v>#NAME?</v>
      </c>
      <c r="Z16" s="549" t="e">
        <f t="array" aca="1" ref="Z16:Z18" ca="1">WRegCoeff($A4:$B14,$C4:$C14,Z4:Z14)</f>
        <v>#NAME?</v>
      </c>
      <c r="AA16" s="549" t="e">
        <f t="array" aca="1" ref="AA16:AA18" ca="1">WRegCoeff($A4:$B14,$C4:$C14,AA4:AA14)</f>
        <v>#NAME?</v>
      </c>
      <c r="AB16" s="549" t="e">
        <f t="array" aca="1" ref="AB16:AB18" ca="1">WRegCoeff($A4:$B14,$C4:$C14,AB4:AB14)</f>
        <v>#NAME?</v>
      </c>
      <c r="AC16" s="549" t="e">
        <f t="array" aca="1" ref="AC16:AC18" ca="1">WRegCoeff($A4:$B14,$C4:$C14,AC4:AC14)</f>
        <v>#NAME?</v>
      </c>
      <c r="AD16" s="549" t="e">
        <f t="array" aca="1" ref="AD16:AD18" ca="1">WRegCoeff($A4:$B14,$C4:$C14,AD4:AD14)</f>
        <v>#NAME?</v>
      </c>
      <c r="AF16" s="549" t="e">
        <f t="array" aca="1" ref="AF16:AF18" ca="1">LADRegCoeff(A4:B14,C4:C14)</f>
        <v>#NAME?</v>
      </c>
    </row>
    <row r="17" spans="1:32">
      <c r="A17" s="553"/>
      <c r="B17" s="553"/>
      <c r="C17" s="553"/>
      <c r="D17" t="s">
        <v>301</v>
      </c>
      <c r="E17" t="e">
        <f ca="1"/>
        <v>#NAME?</v>
      </c>
      <c r="F17" t="e">
        <f ca="1"/>
        <v>#NAME?</v>
      </c>
      <c r="G17" t="e">
        <f ca="1"/>
        <v>#NAME?</v>
      </c>
      <c r="H17" t="e">
        <f ca="1"/>
        <v>#NAME?</v>
      </c>
      <c r="I17" t="e">
        <f ca="1"/>
        <v>#NAME?</v>
      </c>
      <c r="J17" t="e">
        <f ca="1"/>
        <v>#NAME?</v>
      </c>
      <c r="K17" t="e">
        <f ca="1"/>
        <v>#NAME?</v>
      </c>
      <c r="L17" t="e">
        <f ca="1"/>
        <v>#NAME?</v>
      </c>
      <c r="M17" t="e">
        <f ca="1"/>
        <v>#NAME?</v>
      </c>
      <c r="N17" t="e">
        <f ca="1"/>
        <v>#NAME?</v>
      </c>
      <c r="O17" t="e">
        <f ca="1"/>
        <v>#NAME?</v>
      </c>
      <c r="P17" t="e">
        <f ca="1"/>
        <v>#NAME?</v>
      </c>
      <c r="Q17" t="e">
        <f ca="1"/>
        <v>#NAME?</v>
      </c>
      <c r="R17" t="e">
        <f ca="1"/>
        <v>#NAME?</v>
      </c>
      <c r="S17" t="e">
        <f ca="1"/>
        <v>#NAME?</v>
      </c>
      <c r="T17" t="e">
        <f ca="1"/>
        <v>#NAME?</v>
      </c>
      <c r="U17" t="e">
        <f ca="1"/>
        <v>#NAME?</v>
      </c>
      <c r="V17" t="e">
        <f ca="1"/>
        <v>#NAME?</v>
      </c>
      <c r="W17" t="e">
        <f ca="1"/>
        <v>#NAME?</v>
      </c>
      <c r="X17" t="e">
        <f ca="1"/>
        <v>#NAME?</v>
      </c>
      <c r="Y17" t="e">
        <f ca="1"/>
        <v>#NAME?</v>
      </c>
      <c r="Z17" t="e">
        <f ca="1"/>
        <v>#NAME?</v>
      </c>
      <c r="AA17" t="e">
        <f ca="1"/>
        <v>#NAME?</v>
      </c>
      <c r="AB17" t="e">
        <f ca="1"/>
        <v>#NAME?</v>
      </c>
      <c r="AC17" t="e">
        <f ca="1"/>
        <v>#NAME?</v>
      </c>
      <c r="AD17" t="e">
        <f ca="1"/>
        <v>#NAME?</v>
      </c>
      <c r="AF17" s="5" t="e">
        <f ca="1"/>
        <v>#NAME?</v>
      </c>
    </row>
    <row r="18" spans="1:32">
      <c r="D18" s="367" t="s">
        <v>302</v>
      </c>
      <c r="E18" s="367" t="e">
        <f ca="1"/>
        <v>#NAME?</v>
      </c>
      <c r="F18" s="367" t="e">
        <f ca="1"/>
        <v>#NAME?</v>
      </c>
      <c r="G18" s="367" t="e">
        <f ca="1"/>
        <v>#NAME?</v>
      </c>
      <c r="H18" s="367" t="e">
        <f ca="1"/>
        <v>#NAME?</v>
      </c>
      <c r="I18" s="367" t="e">
        <f ca="1"/>
        <v>#NAME?</v>
      </c>
      <c r="J18" s="367" t="e">
        <f ca="1"/>
        <v>#NAME?</v>
      </c>
      <c r="K18" s="367" t="e">
        <f ca="1"/>
        <v>#NAME?</v>
      </c>
      <c r="L18" s="367" t="e">
        <f ca="1"/>
        <v>#NAME?</v>
      </c>
      <c r="M18" s="367" t="e">
        <f ca="1"/>
        <v>#NAME?</v>
      </c>
      <c r="N18" s="367" t="e">
        <f ca="1"/>
        <v>#NAME?</v>
      </c>
      <c r="O18" s="367" t="e">
        <f ca="1"/>
        <v>#NAME?</v>
      </c>
      <c r="P18" s="367" t="e">
        <f ca="1"/>
        <v>#NAME?</v>
      </c>
      <c r="Q18" s="367" t="e">
        <f ca="1"/>
        <v>#NAME?</v>
      </c>
      <c r="R18" s="367" t="e">
        <f ca="1"/>
        <v>#NAME?</v>
      </c>
      <c r="S18" s="367" t="e">
        <f ca="1"/>
        <v>#NAME?</v>
      </c>
      <c r="T18" s="367" t="e">
        <f ca="1"/>
        <v>#NAME?</v>
      </c>
      <c r="U18" s="367" t="e">
        <f ca="1"/>
        <v>#NAME?</v>
      </c>
      <c r="V18" s="367" t="e">
        <f ca="1"/>
        <v>#NAME?</v>
      </c>
      <c r="W18" s="367" t="e">
        <f ca="1"/>
        <v>#NAME?</v>
      </c>
      <c r="X18" s="367" t="e">
        <f ca="1"/>
        <v>#NAME?</v>
      </c>
      <c r="Y18" s="367" t="e">
        <f ca="1"/>
        <v>#NAME?</v>
      </c>
      <c r="Z18" s="367" t="e">
        <f ca="1"/>
        <v>#NAME?</v>
      </c>
      <c r="AA18" s="367" t="e">
        <f ca="1"/>
        <v>#NAME?</v>
      </c>
      <c r="AB18" s="367" t="e">
        <f ca="1"/>
        <v>#NAME?</v>
      </c>
      <c r="AC18" s="367" t="e">
        <f ca="1"/>
        <v>#NAME?</v>
      </c>
      <c r="AD18" s="367" t="e">
        <f ca="1"/>
        <v>#NAME?</v>
      </c>
      <c r="AF18" s="367" t="e">
        <f ca="1"/>
        <v>#NAME?</v>
      </c>
    </row>
    <row r="19" spans="1:32">
      <c r="D19" s="5"/>
    </row>
    <row r="20" spans="1:32">
      <c r="G20" s="551" t="s">
        <v>296</v>
      </c>
      <c r="H20" s="551" t="s">
        <v>297</v>
      </c>
      <c r="I20" s="551" t="s">
        <v>290</v>
      </c>
      <c r="J20" s="551" t="s">
        <v>638</v>
      </c>
      <c r="K20" s="551" t="s">
        <v>159</v>
      </c>
      <c r="L20" s="551" t="s">
        <v>831</v>
      </c>
    </row>
    <row r="21" spans="1:32">
      <c r="D21" s="5"/>
      <c r="E21" s="552" t="s">
        <v>600</v>
      </c>
      <c r="G21" s="552">
        <v>7</v>
      </c>
      <c r="H21" s="552">
        <v>5</v>
      </c>
      <c r="I21" s="552">
        <v>65</v>
      </c>
      <c r="J21" t="e">
        <f t="shared" ref="J21:J31" ca="1" si="4">RegPredC(G21:H21,$E$22:$E$24)</f>
        <v>#NAME?</v>
      </c>
      <c r="K21" t="e">
        <f ca="1">I21-J21</f>
        <v>#NAME?</v>
      </c>
      <c r="L21" t="e">
        <f ca="1">ABS(K21)</f>
        <v>#NAME?</v>
      </c>
    </row>
    <row r="22" spans="1:32">
      <c r="D22" s="5" t="s">
        <v>303</v>
      </c>
      <c r="E22" s="492" t="e">
        <f t="array" aca="1" ref="E22:E24" ca="1">LADRegCoeff(A4:B14,C4:C14)</f>
        <v>#NAME?</v>
      </c>
      <c r="G22" s="552">
        <v>3</v>
      </c>
      <c r="H22" s="552">
        <v>7</v>
      </c>
      <c r="I22" s="552">
        <v>38</v>
      </c>
      <c r="J22" t="e">
        <f t="shared" ca="1" si="4"/>
        <v>#NAME?</v>
      </c>
      <c r="K22" t="e">
        <f t="shared" ref="K22:K31" ca="1" si="5">I22-J22</f>
        <v>#NAME?</v>
      </c>
      <c r="L22" t="e">
        <f t="shared" ref="L22:L31" ca="1" si="6">ABS(K22)</f>
        <v>#NAME?</v>
      </c>
    </row>
    <row r="23" spans="1:32">
      <c r="D23" s="5" t="s">
        <v>301</v>
      </c>
      <c r="E23" s="293" t="e">
        <f ca="1"/>
        <v>#NAME?</v>
      </c>
      <c r="G23" s="552">
        <v>5</v>
      </c>
      <c r="H23" s="552">
        <v>8</v>
      </c>
      <c r="I23" s="552">
        <v>51</v>
      </c>
      <c r="J23" t="e">
        <f t="shared" ca="1" si="4"/>
        <v>#NAME?</v>
      </c>
      <c r="K23" t="e">
        <f t="shared" ca="1" si="5"/>
        <v>#NAME?</v>
      </c>
      <c r="L23" t="e">
        <f t="shared" ca="1" si="6"/>
        <v>#NAME?</v>
      </c>
    </row>
    <row r="24" spans="1:32">
      <c r="D24" s="5" t="s">
        <v>302</v>
      </c>
      <c r="E24" s="289" t="e">
        <f ca="1"/>
        <v>#NAME?</v>
      </c>
      <c r="G24" s="552">
        <v>8</v>
      </c>
      <c r="H24" s="552">
        <v>1</v>
      </c>
      <c r="I24" s="552">
        <v>38</v>
      </c>
      <c r="J24" t="e">
        <f t="shared" ca="1" si="4"/>
        <v>#NAME?</v>
      </c>
      <c r="K24" t="e">
        <f t="shared" ca="1" si="5"/>
        <v>#NAME?</v>
      </c>
      <c r="L24" t="e">
        <f t="shared" ca="1" si="6"/>
        <v>#NAME?</v>
      </c>
    </row>
    <row r="25" spans="1:32">
      <c r="G25" s="552">
        <v>9</v>
      </c>
      <c r="H25" s="552">
        <v>3</v>
      </c>
      <c r="I25" s="552">
        <v>55</v>
      </c>
      <c r="J25" t="e">
        <f t="shared" ca="1" si="4"/>
        <v>#NAME?</v>
      </c>
      <c r="K25" t="e">
        <f t="shared" ca="1" si="5"/>
        <v>#NAME?</v>
      </c>
      <c r="L25" t="e">
        <f t="shared" ca="1" si="6"/>
        <v>#NAME?</v>
      </c>
    </row>
    <row r="26" spans="1:32">
      <c r="G26" s="552">
        <v>5</v>
      </c>
      <c r="H26" s="552">
        <v>4</v>
      </c>
      <c r="I26" s="552">
        <v>43</v>
      </c>
      <c r="J26" t="e">
        <f t="shared" ca="1" si="4"/>
        <v>#NAME?</v>
      </c>
      <c r="K26" t="e">
        <f t="shared" ca="1" si="5"/>
        <v>#NAME?</v>
      </c>
      <c r="L26" t="e">
        <f t="shared" ca="1" si="6"/>
        <v>#NAME?</v>
      </c>
    </row>
    <row r="27" spans="1:32">
      <c r="G27" s="552">
        <v>4</v>
      </c>
      <c r="H27" s="552">
        <v>0</v>
      </c>
      <c r="I27" s="552">
        <v>25</v>
      </c>
      <c r="J27" t="e">
        <f t="shared" ca="1" si="4"/>
        <v>#NAME?</v>
      </c>
      <c r="K27" t="e">
        <f t="shared" ca="1" si="5"/>
        <v>#NAME?</v>
      </c>
      <c r="L27" t="e">
        <f t="shared" ca="1" si="6"/>
        <v>#NAME?</v>
      </c>
    </row>
    <row r="28" spans="1:32">
      <c r="G28" s="552">
        <v>2</v>
      </c>
      <c r="H28" s="552">
        <v>6</v>
      </c>
      <c r="I28" s="552">
        <v>33</v>
      </c>
      <c r="J28" t="e">
        <f t="shared" ca="1" si="4"/>
        <v>#NAME?</v>
      </c>
      <c r="K28" t="e">
        <f t="shared" ca="1" si="5"/>
        <v>#NAME?</v>
      </c>
      <c r="L28" t="e">
        <f t="shared" ca="1" si="6"/>
        <v>#NAME?</v>
      </c>
    </row>
    <row r="29" spans="1:32">
      <c r="G29" s="552">
        <v>8</v>
      </c>
      <c r="H29" s="552">
        <v>7</v>
      </c>
      <c r="I29" s="552">
        <v>71</v>
      </c>
      <c r="J29" t="e">
        <f t="shared" ca="1" si="4"/>
        <v>#NAME?</v>
      </c>
      <c r="K29" t="e">
        <f t="shared" ca="1" si="5"/>
        <v>#NAME?</v>
      </c>
      <c r="L29" t="e">
        <f t="shared" ca="1" si="6"/>
        <v>#NAME?</v>
      </c>
    </row>
    <row r="30" spans="1:32">
      <c r="G30" s="552">
        <v>6</v>
      </c>
      <c r="H30" s="552">
        <v>4</v>
      </c>
      <c r="I30" s="552">
        <v>51</v>
      </c>
      <c r="J30" t="e">
        <f t="shared" ca="1" si="4"/>
        <v>#NAME?</v>
      </c>
      <c r="K30" t="e">
        <f t="shared" ca="1" si="5"/>
        <v>#NAME?</v>
      </c>
      <c r="L30" t="e">
        <f t="shared" ca="1" si="6"/>
        <v>#NAME?</v>
      </c>
    </row>
    <row r="31" spans="1:32">
      <c r="G31" s="558">
        <v>9</v>
      </c>
      <c r="H31" s="558">
        <v>2</v>
      </c>
      <c r="I31" s="558">
        <v>49</v>
      </c>
      <c r="J31" s="367" t="e">
        <f t="shared" ca="1" si="4"/>
        <v>#NAME?</v>
      </c>
      <c r="K31" s="367" t="e">
        <f t="shared" ca="1" si="5"/>
        <v>#NAME?</v>
      </c>
      <c r="L31" s="367" t="e">
        <f t="shared" ca="1" si="6"/>
        <v>#NAME?</v>
      </c>
    </row>
    <row r="32" spans="1:32">
      <c r="L32" t="e">
        <f ca="1">SUM(L21:L31)</f>
        <v>#NAME?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50"/>
  <dimension ref="A1:I17"/>
  <sheetViews>
    <sheetView workbookViewId="0"/>
  </sheetViews>
  <sheetFormatPr defaultRowHeight="15"/>
  <cols>
    <col min="1" max="3" width="7.42578125" customWidth="1"/>
  </cols>
  <sheetData>
    <row r="1" spans="1:9">
      <c r="A1" s="1" t="s">
        <v>832</v>
      </c>
      <c r="H1" t="s">
        <v>854</v>
      </c>
    </row>
    <row r="3" spans="1:9">
      <c r="A3" s="551" t="s">
        <v>296</v>
      </c>
      <c r="B3" s="551" t="s">
        <v>297</v>
      </c>
      <c r="C3" s="551" t="s">
        <v>290</v>
      </c>
      <c r="E3" t="s">
        <v>833</v>
      </c>
      <c r="H3" t="s">
        <v>833</v>
      </c>
    </row>
    <row r="4" spans="1:9">
      <c r="A4" s="552">
        <v>7</v>
      </c>
      <c r="B4" s="552">
        <v>5</v>
      </c>
      <c r="C4" s="552">
        <v>65</v>
      </c>
    </row>
    <row r="5" spans="1:9">
      <c r="A5" s="552">
        <v>3</v>
      </c>
      <c r="B5" s="552">
        <v>7</v>
      </c>
      <c r="C5" s="552">
        <v>38</v>
      </c>
      <c r="E5" t="s">
        <v>314</v>
      </c>
      <c r="F5" s="550" t="e">
        <f t="array" aca="1" ref="F5:F7" ca="1">LADRegCoeff(A4:B14,C4:C14,25)</f>
        <v>#NAME?</v>
      </c>
      <c r="H5" t="s">
        <v>314</v>
      </c>
      <c r="I5" s="550">
        <v>0</v>
      </c>
    </row>
    <row r="6" spans="1:9">
      <c r="A6" s="552">
        <v>5</v>
      </c>
      <c r="B6" s="552">
        <v>8</v>
      </c>
      <c r="C6" s="552">
        <v>51</v>
      </c>
      <c r="E6" t="str">
        <f t="array" ref="E6:E7">TRANSPOSE(A3:B3)</f>
        <v>Color</v>
      </c>
      <c r="F6" s="337" t="e">
        <f ca="1"/>
        <v>#NAME?</v>
      </c>
      <c r="H6" t="str">
        <f t="array" ref="H6:H7">TRANSPOSE(A3:B3)</f>
        <v>Color</v>
      </c>
      <c r="I6" s="337" t="e">
        <f t="array" aca="1" ref="I6:I7" ca="1">LADRegCoeff(A4:B14,C4:C14,FALSE,25)</f>
        <v>#NAME?</v>
      </c>
    </row>
    <row r="7" spans="1:9">
      <c r="A7" s="552">
        <v>8</v>
      </c>
      <c r="B7" s="552">
        <v>1</v>
      </c>
      <c r="C7" s="552">
        <v>38</v>
      </c>
      <c r="E7" t="str">
        <v>Quality</v>
      </c>
      <c r="F7" s="375" t="e">
        <f ca="1"/>
        <v>#NAME?</v>
      </c>
      <c r="H7" t="str">
        <v>Quality</v>
      </c>
      <c r="I7" s="375" t="e">
        <f ca="1"/>
        <v>#NAME?</v>
      </c>
    </row>
    <row r="8" spans="1:9">
      <c r="A8" s="552">
        <v>9</v>
      </c>
      <c r="B8" s="552">
        <v>3</v>
      </c>
      <c r="C8" s="552">
        <v>55</v>
      </c>
    </row>
    <row r="9" spans="1:9">
      <c r="A9" s="552">
        <v>5</v>
      </c>
      <c r="B9" s="552">
        <v>4</v>
      </c>
      <c r="C9" s="552">
        <v>43</v>
      </c>
      <c r="E9" t="s">
        <v>834</v>
      </c>
      <c r="F9" s="556" t="e">
        <f ca="1">SUMPRODUCT(ABS(C4:C14-MMULT(DESIGN(A4:B14),F5:F7)))</f>
        <v>#NAME?</v>
      </c>
      <c r="H9" t="s">
        <v>834</v>
      </c>
      <c r="I9" s="556" t="e">
        <f ca="1">SUMPRODUCT(ABS(C4:C14-MMULT(DESIGN(A4:B14),I5:I7)))</f>
        <v>#NAME?</v>
      </c>
    </row>
    <row r="10" spans="1:9">
      <c r="A10" s="552">
        <v>4</v>
      </c>
      <c r="B10" s="552">
        <v>0</v>
      </c>
      <c r="C10" s="552">
        <v>25</v>
      </c>
    </row>
    <row r="11" spans="1:9">
      <c r="A11" s="552">
        <v>2</v>
      </c>
      <c r="B11" s="552">
        <v>6</v>
      </c>
      <c r="C11" s="552">
        <v>33</v>
      </c>
    </row>
    <row r="12" spans="1:9">
      <c r="A12" s="552">
        <v>8</v>
      </c>
      <c r="B12" s="552">
        <v>7</v>
      </c>
      <c r="C12" s="552">
        <v>71</v>
      </c>
    </row>
    <row r="13" spans="1:9">
      <c r="A13" s="552">
        <v>6</v>
      </c>
      <c r="B13" s="552">
        <v>4</v>
      </c>
      <c r="C13" s="552">
        <v>51</v>
      </c>
    </row>
    <row r="14" spans="1:9">
      <c r="A14" s="554">
        <v>9</v>
      </c>
      <c r="B14" s="554">
        <v>2</v>
      </c>
      <c r="C14" s="554">
        <v>49</v>
      </c>
    </row>
    <row r="15" spans="1:9">
      <c r="A15" s="553"/>
      <c r="B15" s="553"/>
      <c r="C15" s="553"/>
    </row>
    <row r="16" spans="1:9">
      <c r="A16" s="553"/>
      <c r="B16" s="553"/>
      <c r="C16" s="553"/>
    </row>
    <row r="17" spans="1:3">
      <c r="A17" s="553"/>
      <c r="B17" s="553"/>
      <c r="C17" s="553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130"/>
  <dimension ref="A1:L17"/>
  <sheetViews>
    <sheetView workbookViewId="0"/>
  </sheetViews>
  <sheetFormatPr defaultRowHeight="15"/>
  <cols>
    <col min="1" max="3" width="7.42578125" customWidth="1"/>
  </cols>
  <sheetData>
    <row r="1" spans="1:12">
      <c r="A1" s="1" t="s">
        <v>906</v>
      </c>
    </row>
    <row r="3" spans="1:12">
      <c r="A3" s="574" t="s">
        <v>296</v>
      </c>
      <c r="B3" s="574" t="s">
        <v>297</v>
      </c>
      <c r="C3" s="574" t="s">
        <v>290</v>
      </c>
      <c r="E3" t="s">
        <v>833</v>
      </c>
    </row>
    <row r="4" spans="1:12" ht="15.75" thickBot="1">
      <c r="A4" s="577">
        <v>7</v>
      </c>
      <c r="B4" s="577">
        <v>5</v>
      </c>
      <c r="C4" s="577">
        <v>65</v>
      </c>
      <c r="J4" t="s">
        <v>53</v>
      </c>
      <c r="K4">
        <v>0.05</v>
      </c>
    </row>
    <row r="5" spans="1:12" ht="15.75" thickTop="1">
      <c r="A5" s="577">
        <v>3</v>
      </c>
      <c r="B5" s="577">
        <v>7</v>
      </c>
      <c r="C5" s="577">
        <v>38</v>
      </c>
      <c r="E5" s="398"/>
      <c r="F5" s="398" t="s">
        <v>600</v>
      </c>
      <c r="G5" s="398" t="s">
        <v>503</v>
      </c>
      <c r="H5" s="398" t="s">
        <v>26</v>
      </c>
      <c r="I5" s="398" t="s">
        <v>27</v>
      </c>
      <c r="J5" s="398" t="s">
        <v>30</v>
      </c>
      <c r="K5" s="398" t="s">
        <v>13</v>
      </c>
      <c r="L5" s="398" t="s">
        <v>14</v>
      </c>
    </row>
    <row r="6" spans="1:12">
      <c r="A6" s="577">
        <v>5</v>
      </c>
      <c r="B6" s="577">
        <v>8</v>
      </c>
      <c r="C6" s="577">
        <v>51</v>
      </c>
      <c r="E6" t="s">
        <v>314</v>
      </c>
      <c r="F6" t="e">
        <f t="array" aca="1" ref="F6:F8" ca="1">LADRegCoeff(A4:B14,C4:C14,,25)</f>
        <v>#NAME?</v>
      </c>
      <c r="G6" t="e">
        <f t="array" aca="1" ref="G6:G8" ca="1">LADRegCoeffSE(A4:B14,C4:C14,,25,2000)</f>
        <v>#NAME?</v>
      </c>
      <c r="H6">
        <f ca="1">COUNT(C4:C14)-COUNT(F6:F8)+1</f>
        <v>12</v>
      </c>
      <c r="I6" t="e">
        <f ca="1">F6/G6</f>
        <v>#NAME?</v>
      </c>
      <c r="J6" t="e">
        <f ca="1">TDIST(ABS(I6),H6,2)</f>
        <v>#NAME?</v>
      </c>
      <c r="K6" t="e">
        <f ca="1">F6-TINV(K$4,H6)*G6</f>
        <v>#NAME?</v>
      </c>
      <c r="L6" t="e">
        <f ca="1">F6+TINV(K$4,H6)*G6</f>
        <v>#NAME?</v>
      </c>
    </row>
    <row r="7" spans="1:12">
      <c r="A7" s="577">
        <v>8</v>
      </c>
      <c r="B7" s="577">
        <v>1</v>
      </c>
      <c r="C7" s="577">
        <v>38</v>
      </c>
      <c r="E7" t="str">
        <f t="array" ref="E7:E8">TRANSPOSE(A3:B3)</f>
        <v>Color</v>
      </c>
      <c r="F7" t="e">
        <f ca="1"/>
        <v>#NAME?</v>
      </c>
      <c r="G7" t="e">
        <f ca="1"/>
        <v>#NAME?</v>
      </c>
      <c r="H7">
        <f ca="1">H6</f>
        <v>12</v>
      </c>
      <c r="I7" t="e">
        <f ca="1">F7/G7</f>
        <v>#NAME?</v>
      </c>
      <c r="J7" t="e">
        <f ca="1">TDIST(ABS(I7),H7,2)</f>
        <v>#NAME?</v>
      </c>
      <c r="K7" t="e">
        <f ca="1">F7-TINV(K$4,H7)*G7</f>
        <v>#NAME?</v>
      </c>
      <c r="L7" t="e">
        <f ca="1">F7+TINV(K$4,H7)*G7</f>
        <v>#NAME?</v>
      </c>
    </row>
    <row r="8" spans="1:12">
      <c r="A8" s="577">
        <v>9</v>
      </c>
      <c r="B8" s="577">
        <v>3</v>
      </c>
      <c r="C8" s="577">
        <v>55</v>
      </c>
      <c r="E8" s="572" t="str">
        <v>Quality</v>
      </c>
      <c r="F8" s="572" t="e">
        <f ca="1"/>
        <v>#NAME?</v>
      </c>
      <c r="G8" s="572" t="e">
        <f ca="1"/>
        <v>#NAME?</v>
      </c>
      <c r="H8" s="572">
        <f ca="1">H7</f>
        <v>12</v>
      </c>
      <c r="I8" s="572" t="e">
        <f ca="1">F8/G8</f>
        <v>#NAME?</v>
      </c>
      <c r="J8" s="572" t="e">
        <f ca="1">TDIST(ABS(I8),H8,2)</f>
        <v>#NAME?</v>
      </c>
      <c r="K8" s="572" t="e">
        <f ca="1">F8-TINV(K$4,H8)*G8</f>
        <v>#NAME?</v>
      </c>
      <c r="L8" s="572" t="e">
        <f ca="1">F8+TINV(K$4,H8)*G8</f>
        <v>#NAME?</v>
      </c>
    </row>
    <row r="9" spans="1:12">
      <c r="A9" s="577">
        <v>5</v>
      </c>
      <c r="B9" s="577">
        <v>4</v>
      </c>
      <c r="C9" s="577">
        <v>43</v>
      </c>
    </row>
    <row r="10" spans="1:12">
      <c r="A10" s="577">
        <v>4</v>
      </c>
      <c r="B10" s="577">
        <v>0</v>
      </c>
      <c r="C10" s="577">
        <v>25</v>
      </c>
      <c r="E10" t="s">
        <v>833</v>
      </c>
    </row>
    <row r="11" spans="1:12" ht="15.75" thickBot="1">
      <c r="A11" s="577">
        <v>2</v>
      </c>
      <c r="B11" s="577">
        <v>6</v>
      </c>
      <c r="C11" s="577">
        <v>33</v>
      </c>
      <c r="J11" t="s">
        <v>53</v>
      </c>
      <c r="K11">
        <v>0.05</v>
      </c>
    </row>
    <row r="12" spans="1:12" ht="15.75" thickTop="1">
      <c r="A12" s="577">
        <v>8</v>
      </c>
      <c r="B12" s="577">
        <v>7</v>
      </c>
      <c r="C12" s="577">
        <v>71</v>
      </c>
      <c r="E12" s="398"/>
      <c r="F12" s="398" t="s">
        <v>600</v>
      </c>
      <c r="G12" s="398" t="s">
        <v>503</v>
      </c>
      <c r="H12" s="398" t="s">
        <v>26</v>
      </c>
      <c r="I12" s="398" t="s">
        <v>27</v>
      </c>
      <c r="J12" s="398" t="s">
        <v>30</v>
      </c>
      <c r="K12" s="398" t="s">
        <v>13</v>
      </c>
      <c r="L12" s="398" t="s">
        <v>14</v>
      </c>
    </row>
    <row r="13" spans="1:12">
      <c r="A13" s="577">
        <v>6</v>
      </c>
      <c r="B13" s="577">
        <v>4</v>
      </c>
      <c r="C13" s="577">
        <v>51</v>
      </c>
      <c r="E13" t="str">
        <f t="array" ref="E13:E14">TRANSPOSE(A3:B3)</f>
        <v>Color</v>
      </c>
      <c r="F13" t="e">
        <f t="array" aca="1" ref="F13:F14" ca="1">LADRegCoeff(A4:B14,C4:C14,FALSE,25)</f>
        <v>#NAME?</v>
      </c>
      <c r="G13" t="e">
        <f t="array" aca="1" ref="G13:G14" ca="1">LADRegCoeffSE(A4:B14,C4:C14,FALSE,25,2000)</f>
        <v>#NAME?</v>
      </c>
      <c r="H13">
        <f ca="1">COUNT(C4:C14)-COUNT(F13:F14)+1</f>
        <v>12</v>
      </c>
      <c r="I13" t="e">
        <f ca="1">F13/G13</f>
        <v>#NAME?</v>
      </c>
      <c r="J13" t="e">
        <f ca="1">TDIST(ABS(I13),H13,2)</f>
        <v>#NAME?</v>
      </c>
      <c r="K13" t="e">
        <f ca="1">F13-TINV(K$11,H13)*G13</f>
        <v>#NAME?</v>
      </c>
      <c r="L13" t="e">
        <f ca="1">F13+TINV(K$11,H13)*G13</f>
        <v>#NAME?</v>
      </c>
    </row>
    <row r="14" spans="1:12">
      <c r="A14" s="579">
        <v>9</v>
      </c>
      <c r="B14" s="579">
        <v>2</v>
      </c>
      <c r="C14" s="579">
        <v>49</v>
      </c>
      <c r="E14" s="572" t="str">
        <v>Quality</v>
      </c>
      <c r="F14" s="572" t="e">
        <f ca="1"/>
        <v>#NAME?</v>
      </c>
      <c r="G14" s="572" t="e">
        <f ca="1"/>
        <v>#NAME?</v>
      </c>
      <c r="H14" s="572">
        <f ca="1">H13</f>
        <v>12</v>
      </c>
      <c r="I14" s="572" t="e">
        <f ca="1">F14/G14</f>
        <v>#NAME?</v>
      </c>
      <c r="J14" s="572" t="e">
        <f ca="1">TDIST(ABS(I14),H14,2)</f>
        <v>#NAME?</v>
      </c>
      <c r="K14" s="572" t="e">
        <f ca="1">F14-TINV(K$11,H14)*G14</f>
        <v>#NAME?</v>
      </c>
      <c r="L14" s="572" t="e">
        <f ca="1">F14+TINV(K$11,H14)*G14</f>
        <v>#NAME?</v>
      </c>
    </row>
    <row r="15" spans="1:12">
      <c r="A15" s="578"/>
      <c r="B15" s="578"/>
      <c r="C15" s="578"/>
    </row>
    <row r="16" spans="1:12">
      <c r="A16" s="578"/>
      <c r="B16" s="578"/>
      <c r="C16" s="578"/>
    </row>
    <row r="17" spans="1:3">
      <c r="A17" s="578"/>
      <c r="B17" s="578"/>
      <c r="C17" s="578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4"/>
  <dimension ref="A1:AC18"/>
  <sheetViews>
    <sheetView workbookViewId="0"/>
  </sheetViews>
  <sheetFormatPr defaultRowHeight="15"/>
  <cols>
    <col min="1" max="1" width="3.7109375" customWidth="1"/>
    <col min="2" max="4" width="7.42578125" customWidth="1"/>
    <col min="5" max="5" width="4.42578125" customWidth="1"/>
    <col min="6" max="29" width="4.7109375" customWidth="1"/>
  </cols>
  <sheetData>
    <row r="1" spans="1:29">
      <c r="B1" s="1" t="s">
        <v>908</v>
      </c>
    </row>
    <row r="3" spans="1:29">
      <c r="B3" s="548" t="s">
        <v>296</v>
      </c>
      <c r="C3" s="548" t="s">
        <v>297</v>
      </c>
      <c r="D3" s="548" t="s">
        <v>290</v>
      </c>
      <c r="G3" s="598" t="s">
        <v>61</v>
      </c>
      <c r="H3" s="598" t="s">
        <v>520</v>
      </c>
      <c r="I3" s="598" t="s">
        <v>909</v>
      </c>
      <c r="L3" s="598" t="s">
        <v>61</v>
      </c>
      <c r="M3" s="598" t="s">
        <v>520</v>
      </c>
      <c r="N3" s="598" t="s">
        <v>909</v>
      </c>
      <c r="Q3" s="598" t="s">
        <v>61</v>
      </c>
      <c r="R3" s="598" t="s">
        <v>520</v>
      </c>
      <c r="S3" s="598" t="s">
        <v>909</v>
      </c>
      <c r="V3" s="598" t="s">
        <v>61</v>
      </c>
      <c r="W3" s="598" t="s">
        <v>520</v>
      </c>
      <c r="X3" s="598" t="s">
        <v>909</v>
      </c>
      <c r="AA3" s="598" t="s">
        <v>61</v>
      </c>
      <c r="AB3" s="598" t="s">
        <v>520</v>
      </c>
      <c r="AC3" s="598" t="s">
        <v>909</v>
      </c>
    </row>
    <row r="4" spans="1:29">
      <c r="A4">
        <v>1</v>
      </c>
      <c r="B4" s="581">
        <v>7</v>
      </c>
      <c r="C4" s="581">
        <v>5</v>
      </c>
      <c r="D4" s="581">
        <v>65</v>
      </c>
      <c r="F4" s="581" t="e">
        <f t="array" aca="1" ref="F4:F14" ca="1">RANDOMIZE($A4:$A14)</f>
        <v>#NAME?</v>
      </c>
      <c r="G4" s="581" t="e">
        <f ca="1">INDEX(B$4:B$14,F4)</f>
        <v>#NAME?</v>
      </c>
      <c r="H4" s="581" t="e">
        <f ca="1">INDEX(C$4:C$14,F4)</f>
        <v>#NAME?</v>
      </c>
      <c r="I4" s="581" t="e">
        <f ca="1">INDEX(D$4:D$14,F4)</f>
        <v>#NAME?</v>
      </c>
      <c r="K4" s="581" t="e">
        <f t="array" aca="1" ref="K4:K14" ca="1">RANDOMIZE($A4:$A14)</f>
        <v>#NAME?</v>
      </c>
      <c r="L4" s="581" t="e">
        <f ca="1">INDEX(G$4:G$14,K4)</f>
        <v>#NAME?</v>
      </c>
      <c r="M4" s="581" t="e">
        <f ca="1">INDEX(H$4:H$14,K4)</f>
        <v>#NAME?</v>
      </c>
      <c r="N4" s="581" t="e">
        <f ca="1">INDEX(I$4:I$14,K4)</f>
        <v>#NAME?</v>
      </c>
      <c r="P4" s="581" t="e">
        <f t="array" aca="1" ref="P4:P14" ca="1">RANDOMIZE($A4:$A14)</f>
        <v>#NAME?</v>
      </c>
      <c r="Q4" s="581" t="e">
        <f ca="1">INDEX(L$4:L$14,P4)</f>
        <v>#NAME?</v>
      </c>
      <c r="R4" s="581" t="e">
        <f ca="1">INDEX(M$4:M$14,P4)</f>
        <v>#NAME?</v>
      </c>
      <c r="S4" s="581" t="e">
        <f ca="1">INDEX(N$4:N$14,P4)</f>
        <v>#NAME?</v>
      </c>
      <c r="U4" s="581" t="e">
        <f t="array" aca="1" ref="U4:U14" ca="1">RANDOMIZE($A4:$A14)</f>
        <v>#NAME?</v>
      </c>
      <c r="V4" s="581" t="e">
        <f ca="1">INDEX(Q$4:Q$14,U4)</f>
        <v>#NAME?</v>
      </c>
      <c r="W4" s="581" t="e">
        <f ca="1">INDEX(R$4:R$14,U4)</f>
        <v>#NAME?</v>
      </c>
      <c r="X4" s="581" t="e">
        <f ca="1">INDEX(S$4:S$14,U4)</f>
        <v>#NAME?</v>
      </c>
      <c r="Z4" s="581" t="e">
        <f t="array" aca="1" ref="Z4:Z14" ca="1">RANDOMIZE($A4:$A14)</f>
        <v>#NAME?</v>
      </c>
      <c r="AA4" s="581" t="e">
        <f ca="1">INDEX(V$4:V$14,Z4)</f>
        <v>#NAME?</v>
      </c>
      <c r="AB4" s="581" t="e">
        <f ca="1">INDEX(W$4:W$14,Z4)</f>
        <v>#NAME?</v>
      </c>
      <c r="AC4" s="581" t="e">
        <f ca="1">INDEX(X$4:X$14,Z4)</f>
        <v>#NAME?</v>
      </c>
    </row>
    <row r="5" spans="1:29">
      <c r="A5">
        <f>A4+1</f>
        <v>2</v>
      </c>
      <c r="B5" s="581">
        <v>3</v>
      </c>
      <c r="C5" s="581">
        <v>7</v>
      </c>
      <c r="D5" s="581">
        <v>38</v>
      </c>
      <c r="F5" s="581" t="e">
        <f ca="1"/>
        <v>#NAME?</v>
      </c>
      <c r="G5" s="581" t="e">
        <f t="shared" ref="G5:G14" ca="1" si="0">INDEX(B$4:B$14,F5)</f>
        <v>#NAME?</v>
      </c>
      <c r="H5" s="581" t="e">
        <f t="shared" ref="H5:H14" ca="1" si="1">INDEX(C$4:C$14,F5)</f>
        <v>#NAME?</v>
      </c>
      <c r="I5" s="581" t="e">
        <f t="shared" ref="I5:I14" ca="1" si="2">INDEX(D$4:D$14,F5)</f>
        <v>#NAME?</v>
      </c>
      <c r="K5" s="581" t="e">
        <f ca="1"/>
        <v>#NAME?</v>
      </c>
      <c r="L5" s="581" t="e">
        <f t="shared" ref="L5:L14" ca="1" si="3">INDEX(G$4:G$14,K5)</f>
        <v>#NAME?</v>
      </c>
      <c r="M5" s="581" t="e">
        <f t="shared" ref="M5:M14" ca="1" si="4">INDEX(H$4:H$14,K5)</f>
        <v>#NAME?</v>
      </c>
      <c r="N5" s="581" t="e">
        <f t="shared" ref="N5:N14" ca="1" si="5">INDEX(I$4:I$14,K5)</f>
        <v>#NAME?</v>
      </c>
      <c r="P5" s="581" t="e">
        <f ca="1"/>
        <v>#NAME?</v>
      </c>
      <c r="Q5" s="581" t="e">
        <f t="shared" ref="Q5:Q14" ca="1" si="6">INDEX(L$4:L$14,P5)</f>
        <v>#NAME?</v>
      </c>
      <c r="R5" s="581" t="e">
        <f t="shared" ref="R5:R14" ca="1" si="7">INDEX(M$4:M$14,P5)</f>
        <v>#NAME?</v>
      </c>
      <c r="S5" s="581" t="e">
        <f t="shared" ref="S5:S14" ca="1" si="8">INDEX(N$4:N$14,P5)</f>
        <v>#NAME?</v>
      </c>
      <c r="U5" s="581" t="e">
        <f ca="1"/>
        <v>#NAME?</v>
      </c>
      <c r="V5" s="581" t="e">
        <f t="shared" ref="V5:V14" ca="1" si="9">INDEX(Q$4:Q$14,U5)</f>
        <v>#NAME?</v>
      </c>
      <c r="W5" s="581" t="e">
        <f t="shared" ref="W5:W14" ca="1" si="10">INDEX(R$4:R$14,U5)</f>
        <v>#NAME?</v>
      </c>
      <c r="X5" s="581" t="e">
        <f t="shared" ref="X5:X14" ca="1" si="11">INDEX(S$4:S$14,U5)</f>
        <v>#NAME?</v>
      </c>
      <c r="Z5" s="581" t="e">
        <f ca="1"/>
        <v>#NAME?</v>
      </c>
      <c r="AA5" s="581" t="e">
        <f t="shared" ref="AA5:AA14" ca="1" si="12">INDEX(V$4:V$14,Z5)</f>
        <v>#NAME?</v>
      </c>
      <c r="AB5" s="581" t="e">
        <f t="shared" ref="AB5:AB14" ca="1" si="13">INDEX(W$4:W$14,Z5)</f>
        <v>#NAME?</v>
      </c>
      <c r="AC5" s="581" t="e">
        <f t="shared" ref="AC5:AC14" ca="1" si="14">INDEX(X$4:X$14,Z5)</f>
        <v>#NAME?</v>
      </c>
    </row>
    <row r="6" spans="1:29">
      <c r="A6">
        <f t="shared" ref="A6:A14" si="15">A5+1</f>
        <v>3</v>
      </c>
      <c r="B6" s="581">
        <v>5</v>
      </c>
      <c r="C6" s="581">
        <v>8</v>
      </c>
      <c r="D6" s="581">
        <v>51</v>
      </c>
      <c r="F6" s="581" t="e">
        <f ca="1"/>
        <v>#NAME?</v>
      </c>
      <c r="G6" s="581" t="e">
        <f t="shared" ca="1" si="0"/>
        <v>#NAME?</v>
      </c>
      <c r="H6" s="581" t="e">
        <f t="shared" ca="1" si="1"/>
        <v>#NAME?</v>
      </c>
      <c r="I6" s="581" t="e">
        <f t="shared" ca="1" si="2"/>
        <v>#NAME?</v>
      </c>
      <c r="K6" s="581" t="e">
        <f ca="1"/>
        <v>#NAME?</v>
      </c>
      <c r="L6" s="581" t="e">
        <f t="shared" ca="1" si="3"/>
        <v>#NAME?</v>
      </c>
      <c r="M6" s="581" t="e">
        <f t="shared" ca="1" si="4"/>
        <v>#NAME?</v>
      </c>
      <c r="N6" s="581" t="e">
        <f t="shared" ca="1" si="5"/>
        <v>#NAME?</v>
      </c>
      <c r="P6" s="581" t="e">
        <f ca="1"/>
        <v>#NAME?</v>
      </c>
      <c r="Q6" s="581" t="e">
        <f t="shared" ca="1" si="6"/>
        <v>#NAME?</v>
      </c>
      <c r="R6" s="581" t="e">
        <f t="shared" ca="1" si="7"/>
        <v>#NAME?</v>
      </c>
      <c r="S6" s="581" t="e">
        <f t="shared" ca="1" si="8"/>
        <v>#NAME?</v>
      </c>
      <c r="U6" s="581" t="e">
        <f ca="1"/>
        <v>#NAME?</v>
      </c>
      <c r="V6" s="581" t="e">
        <f t="shared" ca="1" si="9"/>
        <v>#NAME?</v>
      </c>
      <c r="W6" s="581" t="e">
        <f t="shared" ca="1" si="10"/>
        <v>#NAME?</v>
      </c>
      <c r="X6" s="581" t="e">
        <f t="shared" ca="1" si="11"/>
        <v>#NAME?</v>
      </c>
      <c r="Z6" s="581" t="e">
        <f ca="1"/>
        <v>#NAME?</v>
      </c>
      <c r="AA6" s="581" t="e">
        <f t="shared" ca="1" si="12"/>
        <v>#NAME?</v>
      </c>
      <c r="AB6" s="581" t="e">
        <f t="shared" ca="1" si="13"/>
        <v>#NAME?</v>
      </c>
      <c r="AC6" s="581" t="e">
        <f t="shared" ca="1" si="14"/>
        <v>#NAME?</v>
      </c>
    </row>
    <row r="7" spans="1:29">
      <c r="A7">
        <f t="shared" si="15"/>
        <v>4</v>
      </c>
      <c r="B7" s="581">
        <v>8</v>
      </c>
      <c r="C7" s="581">
        <v>1</v>
      </c>
      <c r="D7" s="581">
        <v>38</v>
      </c>
      <c r="F7" s="581" t="e">
        <f ca="1"/>
        <v>#NAME?</v>
      </c>
      <c r="G7" s="581" t="e">
        <f t="shared" ca="1" si="0"/>
        <v>#NAME?</v>
      </c>
      <c r="H7" s="581" t="e">
        <f t="shared" ca="1" si="1"/>
        <v>#NAME?</v>
      </c>
      <c r="I7" s="581" t="e">
        <f t="shared" ca="1" si="2"/>
        <v>#NAME?</v>
      </c>
      <c r="K7" s="581" t="e">
        <f ca="1"/>
        <v>#NAME?</v>
      </c>
      <c r="L7" s="581" t="e">
        <f t="shared" ca="1" si="3"/>
        <v>#NAME?</v>
      </c>
      <c r="M7" s="581" t="e">
        <f t="shared" ca="1" si="4"/>
        <v>#NAME?</v>
      </c>
      <c r="N7" s="581" t="e">
        <f t="shared" ca="1" si="5"/>
        <v>#NAME?</v>
      </c>
      <c r="P7" s="581" t="e">
        <f ca="1"/>
        <v>#NAME?</v>
      </c>
      <c r="Q7" s="581" t="e">
        <f t="shared" ca="1" si="6"/>
        <v>#NAME?</v>
      </c>
      <c r="R7" s="581" t="e">
        <f t="shared" ca="1" si="7"/>
        <v>#NAME?</v>
      </c>
      <c r="S7" s="581" t="e">
        <f t="shared" ca="1" si="8"/>
        <v>#NAME?</v>
      </c>
      <c r="U7" s="581" t="e">
        <f ca="1"/>
        <v>#NAME?</v>
      </c>
      <c r="V7" s="581" t="e">
        <f t="shared" ca="1" si="9"/>
        <v>#NAME?</v>
      </c>
      <c r="W7" s="581" t="e">
        <f t="shared" ca="1" si="10"/>
        <v>#NAME?</v>
      </c>
      <c r="X7" s="581" t="e">
        <f t="shared" ca="1" si="11"/>
        <v>#NAME?</v>
      </c>
      <c r="Z7" s="581" t="e">
        <f ca="1"/>
        <v>#NAME?</v>
      </c>
      <c r="AA7" s="581" t="e">
        <f t="shared" ca="1" si="12"/>
        <v>#NAME?</v>
      </c>
      <c r="AB7" s="581" t="e">
        <f t="shared" ca="1" si="13"/>
        <v>#NAME?</v>
      </c>
      <c r="AC7" s="581" t="e">
        <f t="shared" ca="1" si="14"/>
        <v>#NAME?</v>
      </c>
    </row>
    <row r="8" spans="1:29">
      <c r="A8">
        <f t="shared" si="15"/>
        <v>5</v>
      </c>
      <c r="B8" s="581">
        <v>9</v>
      </c>
      <c r="C8" s="581">
        <v>3</v>
      </c>
      <c r="D8" s="581">
        <v>55</v>
      </c>
      <c r="F8" s="581" t="e">
        <f ca="1"/>
        <v>#NAME?</v>
      </c>
      <c r="G8" s="581" t="e">
        <f t="shared" ca="1" si="0"/>
        <v>#NAME?</v>
      </c>
      <c r="H8" s="581" t="e">
        <f t="shared" ca="1" si="1"/>
        <v>#NAME?</v>
      </c>
      <c r="I8" s="581" t="e">
        <f t="shared" ca="1" si="2"/>
        <v>#NAME?</v>
      </c>
      <c r="K8" s="581" t="e">
        <f ca="1"/>
        <v>#NAME?</v>
      </c>
      <c r="L8" s="581" t="e">
        <f t="shared" ca="1" si="3"/>
        <v>#NAME?</v>
      </c>
      <c r="M8" s="581" t="e">
        <f t="shared" ca="1" si="4"/>
        <v>#NAME?</v>
      </c>
      <c r="N8" s="581" t="e">
        <f t="shared" ca="1" si="5"/>
        <v>#NAME?</v>
      </c>
      <c r="P8" s="581" t="e">
        <f ca="1"/>
        <v>#NAME?</v>
      </c>
      <c r="Q8" s="581" t="e">
        <f t="shared" ca="1" si="6"/>
        <v>#NAME?</v>
      </c>
      <c r="R8" s="581" t="e">
        <f t="shared" ca="1" si="7"/>
        <v>#NAME?</v>
      </c>
      <c r="S8" s="581" t="e">
        <f t="shared" ca="1" si="8"/>
        <v>#NAME?</v>
      </c>
      <c r="U8" s="581" t="e">
        <f ca="1"/>
        <v>#NAME?</v>
      </c>
      <c r="V8" s="581" t="e">
        <f t="shared" ca="1" si="9"/>
        <v>#NAME?</v>
      </c>
      <c r="W8" s="581" t="e">
        <f t="shared" ca="1" si="10"/>
        <v>#NAME?</v>
      </c>
      <c r="X8" s="581" t="e">
        <f t="shared" ca="1" si="11"/>
        <v>#NAME?</v>
      </c>
      <c r="Z8" s="581" t="e">
        <f ca="1"/>
        <v>#NAME?</v>
      </c>
      <c r="AA8" s="581" t="e">
        <f t="shared" ca="1" si="12"/>
        <v>#NAME?</v>
      </c>
      <c r="AB8" s="581" t="e">
        <f t="shared" ca="1" si="13"/>
        <v>#NAME?</v>
      </c>
      <c r="AC8" s="581" t="e">
        <f t="shared" ca="1" si="14"/>
        <v>#NAME?</v>
      </c>
    </row>
    <row r="9" spans="1:29">
      <c r="A9">
        <f t="shared" si="15"/>
        <v>6</v>
      </c>
      <c r="B9" s="581">
        <v>5</v>
      </c>
      <c r="C9" s="581">
        <v>4</v>
      </c>
      <c r="D9" s="581">
        <v>43</v>
      </c>
      <c r="F9" s="581" t="e">
        <f ca="1"/>
        <v>#NAME?</v>
      </c>
      <c r="G9" s="581" t="e">
        <f t="shared" ca="1" si="0"/>
        <v>#NAME?</v>
      </c>
      <c r="H9" s="581" t="e">
        <f t="shared" ca="1" si="1"/>
        <v>#NAME?</v>
      </c>
      <c r="I9" s="581" t="e">
        <f t="shared" ca="1" si="2"/>
        <v>#NAME?</v>
      </c>
      <c r="K9" s="581" t="e">
        <f ca="1"/>
        <v>#NAME?</v>
      </c>
      <c r="L9" s="581" t="e">
        <f t="shared" ca="1" si="3"/>
        <v>#NAME?</v>
      </c>
      <c r="M9" s="581" t="e">
        <f t="shared" ca="1" si="4"/>
        <v>#NAME?</v>
      </c>
      <c r="N9" s="581" t="e">
        <f t="shared" ca="1" si="5"/>
        <v>#NAME?</v>
      </c>
      <c r="P9" s="581" t="e">
        <f ca="1"/>
        <v>#NAME?</v>
      </c>
      <c r="Q9" s="581" t="e">
        <f t="shared" ca="1" si="6"/>
        <v>#NAME?</v>
      </c>
      <c r="R9" s="581" t="e">
        <f t="shared" ca="1" si="7"/>
        <v>#NAME?</v>
      </c>
      <c r="S9" s="581" t="e">
        <f t="shared" ca="1" si="8"/>
        <v>#NAME?</v>
      </c>
      <c r="U9" s="581" t="e">
        <f ca="1"/>
        <v>#NAME?</v>
      </c>
      <c r="V9" s="581" t="e">
        <f t="shared" ca="1" si="9"/>
        <v>#NAME?</v>
      </c>
      <c r="W9" s="581" t="e">
        <f t="shared" ca="1" si="10"/>
        <v>#NAME?</v>
      </c>
      <c r="X9" s="581" t="e">
        <f t="shared" ca="1" si="11"/>
        <v>#NAME?</v>
      </c>
      <c r="Z9" s="581" t="e">
        <f ca="1"/>
        <v>#NAME?</v>
      </c>
      <c r="AA9" s="581" t="e">
        <f t="shared" ca="1" si="12"/>
        <v>#NAME?</v>
      </c>
      <c r="AB9" s="581" t="e">
        <f t="shared" ca="1" si="13"/>
        <v>#NAME?</v>
      </c>
      <c r="AC9" s="581" t="e">
        <f t="shared" ca="1" si="14"/>
        <v>#NAME?</v>
      </c>
    </row>
    <row r="10" spans="1:29">
      <c r="A10">
        <f t="shared" si="15"/>
        <v>7</v>
      </c>
      <c r="B10" s="581">
        <v>4</v>
      </c>
      <c r="C10" s="581">
        <v>0</v>
      </c>
      <c r="D10" s="581">
        <v>25</v>
      </c>
      <c r="F10" s="581" t="e">
        <f ca="1"/>
        <v>#NAME?</v>
      </c>
      <c r="G10" s="581" t="e">
        <f t="shared" ca="1" si="0"/>
        <v>#NAME?</v>
      </c>
      <c r="H10" s="581" t="e">
        <f t="shared" ca="1" si="1"/>
        <v>#NAME?</v>
      </c>
      <c r="I10" s="581" t="e">
        <f t="shared" ca="1" si="2"/>
        <v>#NAME?</v>
      </c>
      <c r="K10" s="581" t="e">
        <f ca="1"/>
        <v>#NAME?</v>
      </c>
      <c r="L10" s="581" t="e">
        <f t="shared" ca="1" si="3"/>
        <v>#NAME?</v>
      </c>
      <c r="M10" s="581" t="e">
        <f t="shared" ca="1" si="4"/>
        <v>#NAME?</v>
      </c>
      <c r="N10" s="581" t="e">
        <f t="shared" ca="1" si="5"/>
        <v>#NAME?</v>
      </c>
      <c r="P10" s="581" t="e">
        <f ca="1"/>
        <v>#NAME?</v>
      </c>
      <c r="Q10" s="581" t="e">
        <f t="shared" ca="1" si="6"/>
        <v>#NAME?</v>
      </c>
      <c r="R10" s="581" t="e">
        <f t="shared" ca="1" si="7"/>
        <v>#NAME?</v>
      </c>
      <c r="S10" s="581" t="e">
        <f t="shared" ca="1" si="8"/>
        <v>#NAME?</v>
      </c>
      <c r="U10" s="581" t="e">
        <f ca="1"/>
        <v>#NAME?</v>
      </c>
      <c r="V10" s="581" t="e">
        <f t="shared" ca="1" si="9"/>
        <v>#NAME?</v>
      </c>
      <c r="W10" s="581" t="e">
        <f t="shared" ca="1" si="10"/>
        <v>#NAME?</v>
      </c>
      <c r="X10" s="581" t="e">
        <f t="shared" ca="1" si="11"/>
        <v>#NAME?</v>
      </c>
      <c r="Z10" s="581" t="e">
        <f ca="1"/>
        <v>#NAME?</v>
      </c>
      <c r="AA10" s="581" t="e">
        <f t="shared" ca="1" si="12"/>
        <v>#NAME?</v>
      </c>
      <c r="AB10" s="581" t="e">
        <f t="shared" ca="1" si="13"/>
        <v>#NAME?</v>
      </c>
      <c r="AC10" s="581" t="e">
        <f t="shared" ca="1" si="14"/>
        <v>#NAME?</v>
      </c>
    </row>
    <row r="11" spans="1:29">
      <c r="A11">
        <f t="shared" si="15"/>
        <v>8</v>
      </c>
      <c r="B11" s="581">
        <v>2</v>
      </c>
      <c r="C11" s="581">
        <v>6</v>
      </c>
      <c r="D11" s="581">
        <v>33</v>
      </c>
      <c r="F11" s="581" t="e">
        <f ca="1"/>
        <v>#NAME?</v>
      </c>
      <c r="G11" s="581" t="e">
        <f t="shared" ca="1" si="0"/>
        <v>#NAME?</v>
      </c>
      <c r="H11" s="581" t="e">
        <f t="shared" ca="1" si="1"/>
        <v>#NAME?</v>
      </c>
      <c r="I11" s="581" t="e">
        <f t="shared" ca="1" si="2"/>
        <v>#NAME?</v>
      </c>
      <c r="K11" s="581" t="e">
        <f ca="1"/>
        <v>#NAME?</v>
      </c>
      <c r="L11" s="581" t="e">
        <f t="shared" ca="1" si="3"/>
        <v>#NAME?</v>
      </c>
      <c r="M11" s="581" t="e">
        <f t="shared" ca="1" si="4"/>
        <v>#NAME?</v>
      </c>
      <c r="N11" s="581" t="e">
        <f t="shared" ca="1" si="5"/>
        <v>#NAME?</v>
      </c>
      <c r="P11" s="581" t="e">
        <f ca="1"/>
        <v>#NAME?</v>
      </c>
      <c r="Q11" s="581" t="e">
        <f t="shared" ca="1" si="6"/>
        <v>#NAME?</v>
      </c>
      <c r="R11" s="581" t="e">
        <f t="shared" ca="1" si="7"/>
        <v>#NAME?</v>
      </c>
      <c r="S11" s="581" t="e">
        <f t="shared" ca="1" si="8"/>
        <v>#NAME?</v>
      </c>
      <c r="U11" s="581" t="e">
        <f ca="1"/>
        <v>#NAME?</v>
      </c>
      <c r="V11" s="581" t="e">
        <f t="shared" ca="1" si="9"/>
        <v>#NAME?</v>
      </c>
      <c r="W11" s="581" t="e">
        <f t="shared" ca="1" si="10"/>
        <v>#NAME?</v>
      </c>
      <c r="X11" s="581" t="e">
        <f t="shared" ca="1" si="11"/>
        <v>#NAME?</v>
      </c>
      <c r="Z11" s="581" t="e">
        <f ca="1"/>
        <v>#NAME?</v>
      </c>
      <c r="AA11" s="581" t="e">
        <f t="shared" ca="1" si="12"/>
        <v>#NAME?</v>
      </c>
      <c r="AB11" s="581" t="e">
        <f t="shared" ca="1" si="13"/>
        <v>#NAME?</v>
      </c>
      <c r="AC11" s="581" t="e">
        <f t="shared" ca="1" si="14"/>
        <v>#NAME?</v>
      </c>
    </row>
    <row r="12" spans="1:29">
      <c r="A12">
        <f t="shared" si="15"/>
        <v>9</v>
      </c>
      <c r="B12" s="581">
        <v>8</v>
      </c>
      <c r="C12" s="581">
        <v>7</v>
      </c>
      <c r="D12" s="581">
        <v>71</v>
      </c>
      <c r="F12" s="581" t="e">
        <f ca="1"/>
        <v>#NAME?</v>
      </c>
      <c r="G12" s="581" t="e">
        <f t="shared" ca="1" si="0"/>
        <v>#NAME?</v>
      </c>
      <c r="H12" s="581" t="e">
        <f t="shared" ca="1" si="1"/>
        <v>#NAME?</v>
      </c>
      <c r="I12" s="581" t="e">
        <f t="shared" ca="1" si="2"/>
        <v>#NAME?</v>
      </c>
      <c r="K12" s="581" t="e">
        <f ca="1"/>
        <v>#NAME?</v>
      </c>
      <c r="L12" s="581" t="e">
        <f t="shared" ca="1" si="3"/>
        <v>#NAME?</v>
      </c>
      <c r="M12" s="581" t="e">
        <f t="shared" ca="1" si="4"/>
        <v>#NAME?</v>
      </c>
      <c r="N12" s="581" t="e">
        <f t="shared" ca="1" si="5"/>
        <v>#NAME?</v>
      </c>
      <c r="P12" s="581" t="e">
        <f ca="1"/>
        <v>#NAME?</v>
      </c>
      <c r="Q12" s="581" t="e">
        <f t="shared" ca="1" si="6"/>
        <v>#NAME?</v>
      </c>
      <c r="R12" s="581" t="e">
        <f t="shared" ca="1" si="7"/>
        <v>#NAME?</v>
      </c>
      <c r="S12" s="581" t="e">
        <f t="shared" ca="1" si="8"/>
        <v>#NAME?</v>
      </c>
      <c r="U12" s="581" t="e">
        <f ca="1"/>
        <v>#NAME?</v>
      </c>
      <c r="V12" s="581" t="e">
        <f t="shared" ca="1" si="9"/>
        <v>#NAME?</v>
      </c>
      <c r="W12" s="581" t="e">
        <f t="shared" ca="1" si="10"/>
        <v>#NAME?</v>
      </c>
      <c r="X12" s="581" t="e">
        <f t="shared" ca="1" si="11"/>
        <v>#NAME?</v>
      </c>
      <c r="Z12" s="581" t="e">
        <f ca="1"/>
        <v>#NAME?</v>
      </c>
      <c r="AA12" s="581" t="e">
        <f t="shared" ca="1" si="12"/>
        <v>#NAME?</v>
      </c>
      <c r="AB12" s="581" t="e">
        <f t="shared" ca="1" si="13"/>
        <v>#NAME?</v>
      </c>
      <c r="AC12" s="581" t="e">
        <f t="shared" ca="1" si="14"/>
        <v>#NAME?</v>
      </c>
    </row>
    <row r="13" spans="1:29">
      <c r="A13">
        <f t="shared" si="15"/>
        <v>10</v>
      </c>
      <c r="B13" s="581">
        <v>6</v>
      </c>
      <c r="C13" s="581">
        <v>4</v>
      </c>
      <c r="D13" s="581">
        <v>51</v>
      </c>
      <c r="F13" s="581" t="e">
        <f ca="1"/>
        <v>#NAME?</v>
      </c>
      <c r="G13" s="581" t="e">
        <f t="shared" ca="1" si="0"/>
        <v>#NAME?</v>
      </c>
      <c r="H13" s="581" t="e">
        <f t="shared" ca="1" si="1"/>
        <v>#NAME?</v>
      </c>
      <c r="I13" s="581" t="e">
        <f t="shared" ca="1" si="2"/>
        <v>#NAME?</v>
      </c>
      <c r="K13" s="581" t="e">
        <f ca="1"/>
        <v>#NAME?</v>
      </c>
      <c r="L13" s="581" t="e">
        <f t="shared" ca="1" si="3"/>
        <v>#NAME?</v>
      </c>
      <c r="M13" s="581" t="e">
        <f t="shared" ca="1" si="4"/>
        <v>#NAME?</v>
      </c>
      <c r="N13" s="581" t="e">
        <f t="shared" ca="1" si="5"/>
        <v>#NAME?</v>
      </c>
      <c r="P13" s="581" t="e">
        <f ca="1"/>
        <v>#NAME?</v>
      </c>
      <c r="Q13" s="581" t="e">
        <f t="shared" ca="1" si="6"/>
        <v>#NAME?</v>
      </c>
      <c r="R13" s="581" t="e">
        <f t="shared" ca="1" si="7"/>
        <v>#NAME?</v>
      </c>
      <c r="S13" s="581" t="e">
        <f t="shared" ca="1" si="8"/>
        <v>#NAME?</v>
      </c>
      <c r="U13" s="581" t="e">
        <f ca="1"/>
        <v>#NAME?</v>
      </c>
      <c r="V13" s="581" t="e">
        <f t="shared" ca="1" si="9"/>
        <v>#NAME?</v>
      </c>
      <c r="W13" s="581" t="e">
        <f t="shared" ca="1" si="10"/>
        <v>#NAME?</v>
      </c>
      <c r="X13" s="581" t="e">
        <f t="shared" ca="1" si="11"/>
        <v>#NAME?</v>
      </c>
      <c r="Z13" s="581" t="e">
        <f ca="1"/>
        <v>#NAME?</v>
      </c>
      <c r="AA13" s="581" t="e">
        <f t="shared" ca="1" si="12"/>
        <v>#NAME?</v>
      </c>
      <c r="AB13" s="581" t="e">
        <f t="shared" ca="1" si="13"/>
        <v>#NAME?</v>
      </c>
      <c r="AC13" s="581" t="e">
        <f t="shared" ca="1" si="14"/>
        <v>#NAME?</v>
      </c>
    </row>
    <row r="14" spans="1:29">
      <c r="A14">
        <f t="shared" si="15"/>
        <v>11</v>
      </c>
      <c r="B14" s="584">
        <v>9</v>
      </c>
      <c r="C14" s="584">
        <v>2</v>
      </c>
      <c r="D14" s="584">
        <v>49</v>
      </c>
      <c r="F14" s="581" t="e">
        <f ca="1"/>
        <v>#NAME?</v>
      </c>
      <c r="G14" s="584" t="e">
        <f t="shared" ca="1" si="0"/>
        <v>#NAME?</v>
      </c>
      <c r="H14" s="584" t="e">
        <f t="shared" ca="1" si="1"/>
        <v>#NAME?</v>
      </c>
      <c r="I14" s="584" t="e">
        <f t="shared" ca="1" si="2"/>
        <v>#NAME?</v>
      </c>
      <c r="K14" s="581" t="e">
        <f ca="1"/>
        <v>#NAME?</v>
      </c>
      <c r="L14" s="584" t="e">
        <f t="shared" ca="1" si="3"/>
        <v>#NAME?</v>
      </c>
      <c r="M14" s="584" t="e">
        <f t="shared" ca="1" si="4"/>
        <v>#NAME?</v>
      </c>
      <c r="N14" s="584" t="e">
        <f t="shared" ca="1" si="5"/>
        <v>#NAME?</v>
      </c>
      <c r="P14" s="581" t="e">
        <f ca="1"/>
        <v>#NAME?</v>
      </c>
      <c r="Q14" s="584" t="e">
        <f t="shared" ca="1" si="6"/>
        <v>#NAME?</v>
      </c>
      <c r="R14" s="584" t="e">
        <f t="shared" ca="1" si="7"/>
        <v>#NAME?</v>
      </c>
      <c r="S14" s="584" t="e">
        <f t="shared" ca="1" si="8"/>
        <v>#NAME?</v>
      </c>
      <c r="U14" s="581" t="e">
        <f ca="1"/>
        <v>#NAME?</v>
      </c>
      <c r="V14" s="584" t="e">
        <f t="shared" ca="1" si="9"/>
        <v>#NAME?</v>
      </c>
      <c r="W14" s="584" t="e">
        <f t="shared" ca="1" si="10"/>
        <v>#NAME?</v>
      </c>
      <c r="X14" s="584" t="e">
        <f t="shared" ca="1" si="11"/>
        <v>#NAME?</v>
      </c>
      <c r="Z14" s="581" t="e">
        <f ca="1"/>
        <v>#NAME?</v>
      </c>
      <c r="AA14" s="584" t="e">
        <f t="shared" ca="1" si="12"/>
        <v>#NAME?</v>
      </c>
      <c r="AB14" s="584" t="e">
        <f t="shared" ca="1" si="13"/>
        <v>#NAME?</v>
      </c>
      <c r="AC14" s="584" t="e">
        <f t="shared" ca="1" si="14"/>
        <v>#NAME?</v>
      </c>
    </row>
    <row r="15" spans="1:29">
      <c r="B15" s="582"/>
      <c r="C15" s="582"/>
      <c r="D15" s="582"/>
    </row>
    <row r="16" spans="1:29">
      <c r="B16" t="s">
        <v>530</v>
      </c>
      <c r="C16" s="550" t="e">
        <f t="array" aca="1" ref="C16:C18" ca="1">LADRegCoeff(B4:C14,D4:D14,25)</f>
        <v>#NAME?</v>
      </c>
      <c r="D16" s="565" t="e">
        <f ca="1">STDEV(H16,M16,R16,W16,AB16)</f>
        <v>#NAME?</v>
      </c>
      <c r="G16" t="s">
        <v>738</v>
      </c>
      <c r="H16" s="599" t="e">
        <f t="array" aca="1" ref="H16:H18" ca="1">LADRegCoeff(G4:H14,I4:I14)</f>
        <v>#NAME?</v>
      </c>
      <c r="I16" s="580"/>
      <c r="L16" t="s">
        <v>738</v>
      </c>
      <c r="M16" s="599" t="e">
        <f t="array" aca="1" ref="M16:M18" ca="1">LADRegCoeff(L4:M14,N4:N14)</f>
        <v>#NAME?</v>
      </c>
      <c r="Q16" t="s">
        <v>738</v>
      </c>
      <c r="R16" s="599" t="e">
        <f t="array" aca="1" ref="R16:R18" ca="1">LADRegCoeff(Q4:R14,S4:S14)</f>
        <v>#NAME?</v>
      </c>
      <c r="V16" t="s">
        <v>738</v>
      </c>
      <c r="W16" s="599" t="e">
        <f t="array" aca="1" ref="W16:W18" ca="1">LADRegCoeff(V4:W14,X4:X14)</f>
        <v>#NAME?</v>
      </c>
      <c r="AA16" t="s">
        <v>738</v>
      </c>
      <c r="AB16" s="599" t="e">
        <f t="array" aca="1" ref="AB16:AB18" ca="1">LADRegCoeff(AA4:AB14,AC4:AC14)</f>
        <v>#NAME?</v>
      </c>
    </row>
    <row r="17" spans="2:28">
      <c r="B17" t="str">
        <f t="array" ref="B17:B18">TRANSPOSE(B3:C3)</f>
        <v>Color</v>
      </c>
      <c r="C17" s="337" t="e">
        <f ca="1"/>
        <v>#NAME?</v>
      </c>
      <c r="D17" s="301" t="e">
        <f ca="1">STDEV(H17,M17,R17,W17,AB17)</f>
        <v>#NAME?</v>
      </c>
      <c r="G17" t="s">
        <v>61</v>
      </c>
      <c r="H17" s="600" t="e">
        <f ca="1"/>
        <v>#NAME?</v>
      </c>
      <c r="I17" s="580"/>
      <c r="L17" t="s">
        <v>61</v>
      </c>
      <c r="M17" s="600" t="e">
        <f ca="1"/>
        <v>#NAME?</v>
      </c>
      <c r="Q17" t="s">
        <v>61</v>
      </c>
      <c r="R17" s="600" t="e">
        <f ca="1"/>
        <v>#NAME?</v>
      </c>
      <c r="V17" t="s">
        <v>61</v>
      </c>
      <c r="W17" s="600" t="e">
        <f ca="1"/>
        <v>#NAME?</v>
      </c>
      <c r="AA17" t="s">
        <v>61</v>
      </c>
      <c r="AB17" s="600" t="e">
        <f ca="1"/>
        <v>#NAME?</v>
      </c>
    </row>
    <row r="18" spans="2:28">
      <c r="B18" t="str">
        <v>Quality</v>
      </c>
      <c r="C18" s="375" t="e">
        <f ca="1"/>
        <v>#NAME?</v>
      </c>
      <c r="D18" s="300" t="e">
        <f ca="1">STDEV(H18,M18,R18,W18,AB18)</f>
        <v>#NAME?</v>
      </c>
      <c r="G18" t="s">
        <v>520</v>
      </c>
      <c r="H18" s="601" t="e">
        <f ca="1"/>
        <v>#NAME?</v>
      </c>
      <c r="I18" s="580"/>
      <c r="L18" t="s">
        <v>520</v>
      </c>
      <c r="M18" s="601" t="e">
        <f ca="1"/>
        <v>#NAME?</v>
      </c>
      <c r="Q18" t="s">
        <v>520</v>
      </c>
      <c r="R18" s="601" t="e">
        <f ca="1"/>
        <v>#NAME?</v>
      </c>
      <c r="V18" t="s">
        <v>520</v>
      </c>
      <c r="W18" s="601" t="e">
        <f ca="1"/>
        <v>#NAME?</v>
      </c>
      <c r="AA18" t="s">
        <v>520</v>
      </c>
      <c r="AB18" s="601" t="e">
        <f ca="1"/>
        <v>#NAME?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128"/>
  <dimension ref="A1:R19"/>
  <sheetViews>
    <sheetView workbookViewId="0"/>
  </sheetViews>
  <sheetFormatPr defaultRowHeight="15"/>
  <cols>
    <col min="1" max="3" width="8.28515625" customWidth="1"/>
    <col min="4" max="4" width="4.42578125" customWidth="1"/>
    <col min="8" max="8" width="3" customWidth="1"/>
    <col min="9" max="9" width="27.140625" customWidth="1"/>
    <col min="11" max="11" width="17.140625" customWidth="1"/>
  </cols>
  <sheetData>
    <row r="1" spans="1:18">
      <c r="A1" s="1" t="s">
        <v>898</v>
      </c>
      <c r="K1" t="s">
        <v>601</v>
      </c>
    </row>
    <row r="3" spans="1:18" ht="15.75" thickBot="1">
      <c r="A3" s="574" t="s">
        <v>296</v>
      </c>
      <c r="B3" s="574" t="s">
        <v>297</v>
      </c>
      <c r="C3" s="574" t="s">
        <v>290</v>
      </c>
      <c r="E3" s="542" t="e">
        <f t="array" aca="1" ref="E3:G5" ca="1">SVD_V(A4:C14-A15:C15)</f>
        <v>#NAME?</v>
      </c>
      <c r="F3" s="549" t="e">
        <f ca="1"/>
        <v>#NAME?</v>
      </c>
      <c r="G3" s="543" t="e">
        <f ca="1"/>
        <v>#NAME?</v>
      </c>
      <c r="I3" t="e">
        <f ca="1">FTEXT(E3:G5)</f>
        <v>#NAME?</v>
      </c>
      <c r="K3" s="364" t="s">
        <v>606</v>
      </c>
      <c r="L3" s="364"/>
      <c r="N3" s="364"/>
      <c r="O3" s="364"/>
    </row>
    <row r="4" spans="1:18" ht="15.75" thickTop="1">
      <c r="A4" s="577">
        <v>7</v>
      </c>
      <c r="B4" s="577">
        <v>5</v>
      </c>
      <c r="C4" s="577">
        <v>65</v>
      </c>
      <c r="E4" s="294" t="e">
        <f ca="1"/>
        <v>#NAME?</v>
      </c>
      <c r="F4" s="5" t="e">
        <f ca="1"/>
        <v>#NAME?</v>
      </c>
      <c r="G4" s="295" t="e">
        <f ca="1"/>
        <v>#NAME?</v>
      </c>
      <c r="K4" t="s">
        <v>208</v>
      </c>
      <c r="L4" t="e">
        <f ca="1">SQRT(L5)</f>
        <v>#NAME?</v>
      </c>
      <c r="N4" t="s">
        <v>498</v>
      </c>
      <c r="O4" t="e">
        <f ca="1">L8*LN(M13/L8)+2*(L12+1)</f>
        <v>#NAME?</v>
      </c>
    </row>
    <row r="5" spans="1:18">
      <c r="A5" s="577">
        <v>3</v>
      </c>
      <c r="B5" s="577">
        <v>7</v>
      </c>
      <c r="C5" s="577">
        <v>38</v>
      </c>
      <c r="E5" s="284" t="e">
        <f ca="1"/>
        <v>#NAME?</v>
      </c>
      <c r="F5" s="572" t="e">
        <f ca="1"/>
        <v>#NAME?</v>
      </c>
      <c r="G5" s="288" t="e">
        <f ca="1"/>
        <v>#NAME?</v>
      </c>
      <c r="K5" t="s">
        <v>201</v>
      </c>
      <c r="L5" t="e">
        <f ca="1">M12/M14</f>
        <v>#NAME?</v>
      </c>
      <c r="N5" t="s">
        <v>499</v>
      </c>
      <c r="O5" t="e">
        <f ca="1">O4+2*(L12+2)*(L12+3)/(L8-L12-3)</f>
        <v>#NAME?</v>
      </c>
    </row>
    <row r="6" spans="1:18">
      <c r="A6" s="577">
        <v>5</v>
      </c>
      <c r="B6" s="577">
        <v>8</v>
      </c>
      <c r="C6" s="577">
        <v>51</v>
      </c>
      <c r="K6" t="s">
        <v>209</v>
      </c>
      <c r="L6" t="e">
        <f ca="1">1-(1-L5)*(L8-1)/(L8-L12-1)</f>
        <v>#NAME?</v>
      </c>
      <c r="N6" s="572" t="s">
        <v>762</v>
      </c>
      <c r="O6" s="572" t="e">
        <f ca="1">L8*LN(M13/L8)+(L12+1)*LN(L8)</f>
        <v>#NAME?</v>
      </c>
    </row>
    <row r="7" spans="1:18">
      <c r="A7" s="577">
        <v>8</v>
      </c>
      <c r="B7" s="577">
        <v>1</v>
      </c>
      <c r="C7" s="577">
        <v>38</v>
      </c>
      <c r="E7" t="s">
        <v>303</v>
      </c>
      <c r="F7" s="492" t="e">
        <f t="array" aca="1" ref="F7" ca="1">C15-MMULT(A15:B15,F8:F9)</f>
        <v>#NAME?</v>
      </c>
      <c r="I7" t="e">
        <f ca="1">FTEXT(F7)</f>
        <v>#NAME?</v>
      </c>
      <c r="K7" t="s">
        <v>9</v>
      </c>
      <c r="L7" t="e">
        <f ca="1">SQRT(N13)</f>
        <v>#NAME?</v>
      </c>
    </row>
    <row r="8" spans="1:18">
      <c r="A8" s="577">
        <v>9</v>
      </c>
      <c r="B8" s="577">
        <v>3</v>
      </c>
      <c r="C8" s="577">
        <v>55</v>
      </c>
      <c r="E8" t="s">
        <v>301</v>
      </c>
      <c r="F8" s="293" t="e">
        <f ca="1">-G3/G$5</f>
        <v>#NAME?</v>
      </c>
      <c r="I8" t="e">
        <f ca="1">FTEXT(F8)</f>
        <v>#NAME?</v>
      </c>
      <c r="K8" s="572" t="s">
        <v>42</v>
      </c>
      <c r="L8" s="572">
        <f>COUNT(C4:C14)</f>
        <v>11</v>
      </c>
    </row>
    <row r="9" spans="1:18">
      <c r="A9" s="577">
        <v>5</v>
      </c>
      <c r="B9" s="577">
        <v>4</v>
      </c>
      <c r="C9" s="577">
        <v>43</v>
      </c>
      <c r="E9" t="s">
        <v>302</v>
      </c>
      <c r="F9" s="289" t="e">
        <f ca="1">-G4/G$5</f>
        <v>#NAME?</v>
      </c>
      <c r="I9" t="e">
        <f ca="1">FTEXT(F9)</f>
        <v>#NAME?</v>
      </c>
    </row>
    <row r="10" spans="1:18" ht="15.75" thickBot="1">
      <c r="A10" s="577">
        <v>4</v>
      </c>
      <c r="B10" s="577">
        <v>0</v>
      </c>
      <c r="C10" s="577">
        <v>25</v>
      </c>
      <c r="K10" t="s">
        <v>210</v>
      </c>
      <c r="O10" s="577" t="s">
        <v>16</v>
      </c>
      <c r="P10" s="577">
        <v>0.05</v>
      </c>
    </row>
    <row r="11" spans="1:18" ht="15.75" thickTop="1">
      <c r="A11" s="577">
        <v>2</v>
      </c>
      <c r="B11" s="577">
        <v>6</v>
      </c>
      <c r="C11" s="577">
        <v>33</v>
      </c>
      <c r="E11" t="s">
        <v>303</v>
      </c>
      <c r="F11" s="492" t="e">
        <f t="array" aca="1" ref="F11:F13" ca="1">TRegCoeff(A4:B14,C4:C14)</f>
        <v>#NAME?</v>
      </c>
      <c r="I11" t="e">
        <f ca="1">FTEXT(F11)</f>
        <v>#NAME?</v>
      </c>
      <c r="K11" s="398"/>
      <c r="L11" s="398" t="s">
        <v>26</v>
      </c>
      <c r="M11" s="398" t="s">
        <v>137</v>
      </c>
      <c r="N11" s="398" t="s">
        <v>156</v>
      </c>
      <c r="O11" s="398" t="s">
        <v>63</v>
      </c>
      <c r="P11" s="398" t="s">
        <v>30</v>
      </c>
      <c r="Q11" s="398" t="s">
        <v>374</v>
      </c>
    </row>
    <row r="12" spans="1:18">
      <c r="A12" s="577">
        <v>8</v>
      </c>
      <c r="B12" s="577">
        <v>7</v>
      </c>
      <c r="C12" s="577">
        <v>71</v>
      </c>
      <c r="E12" t="s">
        <v>301</v>
      </c>
      <c r="F12" s="293" t="e">
        <f ca="1"/>
        <v>#NAME?</v>
      </c>
      <c r="K12" t="s">
        <v>138</v>
      </c>
      <c r="L12">
        <f>COUNT(A4:B4)</f>
        <v>2</v>
      </c>
      <c r="M12" t="e">
        <f ca="1">DEVSQ(MMULT(DESIGN(A4:B14),L17:L19))</f>
        <v>#NAME?</v>
      </c>
      <c r="N12" t="e">
        <f ca="1">M12/L12</f>
        <v>#NAME?</v>
      </c>
      <c r="O12" t="e">
        <f ca="1">N12/N13</f>
        <v>#NAME?</v>
      </c>
      <c r="P12" t="e">
        <f ca="1">FDIST(O12,L12,L13)</f>
        <v>#NAME?</v>
      </c>
      <c r="Q12" s="577" t="e">
        <f ca="1">IF(P12&lt;P10,"yes","no")</f>
        <v>#NAME?</v>
      </c>
    </row>
    <row r="13" spans="1:18">
      <c r="A13" s="577">
        <v>6</v>
      </c>
      <c r="B13" s="577">
        <v>4</v>
      </c>
      <c r="C13" s="577">
        <v>51</v>
      </c>
      <c r="E13" t="s">
        <v>302</v>
      </c>
      <c r="F13" s="289" t="e">
        <f ca="1"/>
        <v>#NAME?</v>
      </c>
      <c r="K13" t="s">
        <v>211</v>
      </c>
      <c r="L13">
        <f>L14-L12</f>
        <v>8</v>
      </c>
      <c r="M13" t="e">
        <f ca="1">M14-M12</f>
        <v>#NAME?</v>
      </c>
      <c r="N13" t="e">
        <f ca="1">M13/L13</f>
        <v>#NAME?</v>
      </c>
    </row>
    <row r="14" spans="1:18">
      <c r="A14" s="584">
        <v>9</v>
      </c>
      <c r="B14" s="584">
        <v>2</v>
      </c>
      <c r="C14" s="584">
        <v>49</v>
      </c>
      <c r="K14" s="572" t="s">
        <v>1</v>
      </c>
      <c r="L14" s="572">
        <f>L8-1</f>
        <v>10</v>
      </c>
      <c r="M14" s="572">
        <f>DEVSQ(C4:C14)</f>
        <v>1857.6363636363633</v>
      </c>
      <c r="N14" s="572"/>
      <c r="O14" s="572"/>
      <c r="P14" s="572"/>
      <c r="Q14" s="572"/>
    </row>
    <row r="15" spans="1:18" ht="15.75" thickBot="1">
      <c r="A15" s="577">
        <f>AVERAGE(A4:A14)</f>
        <v>6</v>
      </c>
      <c r="B15" s="577">
        <f>AVERAGE(B4:B14)</f>
        <v>4.2727272727272725</v>
      </c>
      <c r="C15" s="577">
        <f>AVERAGE(C4:C14)</f>
        <v>47.18181818181818</v>
      </c>
    </row>
    <row r="16" spans="1:18" ht="15.75" thickTop="1">
      <c r="K16" s="398"/>
      <c r="L16" s="398" t="s">
        <v>600</v>
      </c>
      <c r="M16" s="398" t="s">
        <v>503</v>
      </c>
      <c r="N16" s="398" t="s">
        <v>27</v>
      </c>
      <c r="O16" s="398" t="s">
        <v>30</v>
      </c>
      <c r="P16" s="398" t="s">
        <v>13</v>
      </c>
      <c r="Q16" s="398" t="s">
        <v>14</v>
      </c>
      <c r="R16" s="398" t="s">
        <v>750</v>
      </c>
    </row>
    <row r="17" spans="1:18">
      <c r="A17" s="577"/>
      <c r="B17" s="577"/>
      <c r="K17" t="s">
        <v>212</v>
      </c>
      <c r="L17" t="e">
        <f t="array" aca="1" ref="L17:M19" ca="1">RegCoeff(A4:B14,C4:C14)</f>
        <v>#NAME?</v>
      </c>
      <c r="M17" t="e">
        <f ca="1"/>
        <v>#NAME?</v>
      </c>
      <c r="N17" t="e">
        <f ca="1">L17/M17</f>
        <v>#NAME?</v>
      </c>
      <c r="O17" t="e">
        <f ca="1">TDIST(ABS(N17),$L$13,2)</f>
        <v>#NAME?</v>
      </c>
      <c r="P17" t="e">
        <f ca="1">L17-TINV(P$10,$L$13)*M17</f>
        <v>#NAME?</v>
      </c>
      <c r="Q17" t="e">
        <f ca="1">L17+TINV(P$10,$L$13)*M17</f>
        <v>#NAME?</v>
      </c>
    </row>
    <row r="18" spans="1:18">
      <c r="K18" t="str">
        <f t="array" ref="K18:K19">TRANSPOSE(A3:B3)</f>
        <v>Color</v>
      </c>
      <c r="L18" t="e">
        <f ca="1"/>
        <v>#NAME?</v>
      </c>
      <c r="M18" t="e">
        <f ca="1"/>
        <v>#NAME?</v>
      </c>
      <c r="N18" t="e">
        <f ca="1">L18/M18</f>
        <v>#NAME?</v>
      </c>
      <c r="O18" t="e">
        <f ca="1">TDIST(ABS(N18),$L$13,2)</f>
        <v>#NAME?</v>
      </c>
      <c r="P18" t="e">
        <f ca="1">L18-TINV(P$10,$L$13)*M18</f>
        <v>#NAME?</v>
      </c>
      <c r="Q18" t="e">
        <f ca="1">L18+TINV(P$10,$L$13)*M18</f>
        <v>#NAME?</v>
      </c>
      <c r="R18" t="e">
        <f ca="1">VIF(A4:B14,1)</f>
        <v>#NAME?</v>
      </c>
    </row>
    <row r="19" spans="1:18">
      <c r="K19" s="572" t="str">
        <v>Quality</v>
      </c>
      <c r="L19" s="572" t="e">
        <f ca="1"/>
        <v>#NAME?</v>
      </c>
      <c r="M19" s="572" t="e">
        <f ca="1"/>
        <v>#NAME?</v>
      </c>
      <c r="N19" s="572" t="e">
        <f ca="1">L19/M19</f>
        <v>#NAME?</v>
      </c>
      <c r="O19" s="572" t="e">
        <f ca="1">TDIST(ABS(N19),$L$13,2)</f>
        <v>#NAME?</v>
      </c>
      <c r="P19" s="572" t="e">
        <f ca="1">L19-TINV(P$10,$L$13)*M19</f>
        <v>#NAME?</v>
      </c>
      <c r="Q19" s="572" t="e">
        <f ca="1">L19+TINV(P$10,$L$13)*M19</f>
        <v>#NAME?</v>
      </c>
      <c r="R19" s="572" t="e">
        <f ca="1">VIF(A4:B14,2)</f>
        <v>#NAME?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115"/>
  <dimension ref="A1:R37"/>
  <sheetViews>
    <sheetView workbookViewId="0"/>
  </sheetViews>
  <sheetFormatPr defaultRowHeight="15"/>
  <cols>
    <col min="1" max="3" width="8.140625" customWidth="1"/>
    <col min="4" max="4" width="5.85546875" customWidth="1"/>
    <col min="8" max="8" width="7.140625" customWidth="1"/>
    <col min="9" max="9" width="17.85546875" customWidth="1"/>
    <col min="10" max="10" width="10.5703125" customWidth="1"/>
    <col min="11" max="11" width="14.7109375" customWidth="1"/>
    <col min="12" max="13" width="10.5703125" customWidth="1"/>
    <col min="14" max="14" width="12.140625" customWidth="1"/>
    <col min="15" max="15" width="11.140625" customWidth="1"/>
  </cols>
  <sheetData>
    <row r="1" spans="1:18">
      <c r="A1" s="1" t="s">
        <v>377</v>
      </c>
    </row>
    <row r="2" spans="1:18">
      <c r="E2" s="735" t="s">
        <v>378</v>
      </c>
      <c r="F2" s="735"/>
      <c r="G2" s="735"/>
      <c r="I2" t="s">
        <v>206</v>
      </c>
      <c r="Q2" t="s">
        <v>58</v>
      </c>
    </row>
    <row r="3" spans="1:18" ht="15.75" thickBot="1">
      <c r="A3" s="112" t="s">
        <v>365</v>
      </c>
      <c r="B3" s="112" t="s">
        <v>366</v>
      </c>
      <c r="C3" s="112" t="s">
        <v>367</v>
      </c>
      <c r="E3" s="185" t="s">
        <v>17</v>
      </c>
      <c r="F3" s="185" t="s">
        <v>379</v>
      </c>
      <c r="G3" s="185" t="s">
        <v>380</v>
      </c>
    </row>
    <row r="4" spans="1:18" ht="17.25">
      <c r="A4" s="40">
        <v>16</v>
      </c>
      <c r="B4" s="40">
        <v>7</v>
      </c>
      <c r="C4" s="182">
        <v>15</v>
      </c>
      <c r="E4" s="40">
        <v>16</v>
      </c>
      <c r="F4" s="191">
        <v>1</v>
      </c>
      <c r="G4" s="191">
        <v>0</v>
      </c>
      <c r="I4" s="18" t="s">
        <v>207</v>
      </c>
      <c r="J4" s="18"/>
      <c r="Q4" s="27" t="s">
        <v>383</v>
      </c>
      <c r="R4" s="302">
        <f>(K13-J13*L14)/(K15+L14)</f>
        <v>-3.888213851761859E-2</v>
      </c>
    </row>
    <row r="5" spans="1:18">
      <c r="A5" s="40">
        <v>8</v>
      </c>
      <c r="B5" s="40">
        <v>14</v>
      </c>
      <c r="C5" s="182">
        <v>12</v>
      </c>
      <c r="E5" s="40">
        <v>8</v>
      </c>
      <c r="F5" s="191">
        <v>1</v>
      </c>
      <c r="G5" s="191">
        <v>0</v>
      </c>
      <c r="I5" s="16" t="s">
        <v>208</v>
      </c>
      <c r="J5" s="16">
        <v>0.28502265002126576</v>
      </c>
      <c r="Q5" s="27" t="s">
        <v>444</v>
      </c>
      <c r="R5" s="289">
        <f>SQRT(ABS(R4))</f>
        <v>0.19718554337886587</v>
      </c>
    </row>
    <row r="6" spans="1:18">
      <c r="A6" s="40">
        <v>14</v>
      </c>
      <c r="B6" s="40">
        <v>10</v>
      </c>
      <c r="C6" s="182">
        <v>11</v>
      </c>
      <c r="E6" s="40">
        <v>14</v>
      </c>
      <c r="F6" s="191">
        <v>1</v>
      </c>
      <c r="G6" s="191">
        <v>0</v>
      </c>
      <c r="I6" s="16" t="s">
        <v>201</v>
      </c>
      <c r="J6" s="16">
        <v>8.1237911025144952E-2</v>
      </c>
    </row>
    <row r="7" spans="1:18">
      <c r="A7" s="40">
        <v>12</v>
      </c>
      <c r="B7" s="40">
        <v>12</v>
      </c>
      <c r="C7" s="182">
        <v>17</v>
      </c>
      <c r="E7" s="40">
        <v>12</v>
      </c>
      <c r="F7" s="191">
        <v>1</v>
      </c>
      <c r="G7" s="191">
        <v>0</v>
      </c>
      <c r="I7" s="16" t="s">
        <v>209</v>
      </c>
      <c r="J7" s="16">
        <v>-4.1263700838169062E-2</v>
      </c>
    </row>
    <row r="8" spans="1:18">
      <c r="A8" s="40">
        <v>15</v>
      </c>
      <c r="B8" s="40">
        <v>8</v>
      </c>
      <c r="C8" s="182">
        <v>20</v>
      </c>
      <c r="E8" s="40">
        <v>15</v>
      </c>
      <c r="F8" s="191">
        <v>1</v>
      </c>
      <c r="G8" s="191">
        <v>0</v>
      </c>
      <c r="I8" s="16" t="s">
        <v>9</v>
      </c>
      <c r="J8" s="16">
        <v>3.9791121287711078</v>
      </c>
    </row>
    <row r="9" spans="1:18" ht="15.75" thickBot="1">
      <c r="A9" s="183">
        <v>7</v>
      </c>
      <c r="B9" s="183">
        <v>18</v>
      </c>
      <c r="C9" s="183">
        <v>9</v>
      </c>
      <c r="E9" s="40">
        <v>7</v>
      </c>
      <c r="F9" s="191">
        <v>1</v>
      </c>
      <c r="G9" s="191">
        <v>0</v>
      </c>
      <c r="I9" s="17" t="s">
        <v>42</v>
      </c>
      <c r="J9" s="17">
        <v>18</v>
      </c>
    </row>
    <row r="10" spans="1:18">
      <c r="A10" s="40"/>
      <c r="B10" s="40"/>
      <c r="C10" s="182"/>
      <c r="E10" s="40">
        <v>7</v>
      </c>
      <c r="F10" s="191">
        <v>0</v>
      </c>
      <c r="G10" s="191">
        <v>1</v>
      </c>
    </row>
    <row r="11" spans="1:18" ht="15.75" thickBot="1">
      <c r="A11" s="40"/>
      <c r="B11" s="40"/>
      <c r="C11" s="182"/>
      <c r="E11" s="40">
        <v>14</v>
      </c>
      <c r="F11" s="191">
        <v>0</v>
      </c>
      <c r="G11" s="191">
        <v>1</v>
      </c>
      <c r="I11" t="s">
        <v>210</v>
      </c>
    </row>
    <row r="12" spans="1:18">
      <c r="A12" s="40"/>
      <c r="B12" s="40"/>
      <c r="C12" s="182"/>
      <c r="E12" s="40">
        <v>10</v>
      </c>
      <c r="F12" s="191">
        <v>0</v>
      </c>
      <c r="G12" s="191">
        <v>1</v>
      </c>
      <c r="I12" s="184"/>
      <c r="J12" s="184" t="s">
        <v>26</v>
      </c>
      <c r="K12" s="184" t="s">
        <v>137</v>
      </c>
      <c r="L12" s="184" t="s">
        <v>156</v>
      </c>
      <c r="M12" s="184" t="s">
        <v>63</v>
      </c>
      <c r="N12" s="184" t="s">
        <v>213</v>
      </c>
    </row>
    <row r="13" spans="1:18">
      <c r="A13" s="40"/>
      <c r="B13" s="40"/>
      <c r="C13" s="182"/>
      <c r="E13" s="40">
        <v>12</v>
      </c>
      <c r="F13" s="191">
        <v>0</v>
      </c>
      <c r="G13" s="191">
        <v>1</v>
      </c>
      <c r="I13" s="16" t="s">
        <v>138</v>
      </c>
      <c r="J13" s="16">
        <v>2</v>
      </c>
      <c r="K13" s="16">
        <v>20.999999999999972</v>
      </c>
      <c r="L13" s="16">
        <v>10.499999999999986</v>
      </c>
      <c r="M13" s="16">
        <v>0.66315789473684106</v>
      </c>
      <c r="N13" s="16">
        <v>0.52969149408120253</v>
      </c>
    </row>
    <row r="14" spans="1:18">
      <c r="A14" s="40"/>
      <c r="B14" s="40"/>
      <c r="C14" s="182"/>
      <c r="E14" s="40">
        <v>8</v>
      </c>
      <c r="F14" s="191">
        <v>0</v>
      </c>
      <c r="G14" s="191">
        <v>1</v>
      </c>
      <c r="I14" s="16" t="s">
        <v>211</v>
      </c>
      <c r="J14" s="16">
        <v>15</v>
      </c>
      <c r="K14" s="16">
        <v>237.50000000000003</v>
      </c>
      <c r="L14" s="16">
        <v>15.833333333333336</v>
      </c>
      <c r="M14" s="16"/>
      <c r="N14" s="16"/>
    </row>
    <row r="15" spans="1:18" ht="15.75" thickBot="1">
      <c r="A15" s="40"/>
      <c r="B15" s="40"/>
      <c r="C15" s="182"/>
      <c r="E15" s="40">
        <v>18</v>
      </c>
      <c r="F15" s="191">
        <v>0</v>
      </c>
      <c r="G15" s="191">
        <v>1</v>
      </c>
      <c r="I15" s="17" t="s">
        <v>1</v>
      </c>
      <c r="J15" s="17">
        <v>17</v>
      </c>
      <c r="K15" s="17">
        <v>258.5</v>
      </c>
      <c r="L15" s="17"/>
      <c r="M15" s="17"/>
      <c r="N15" s="17"/>
    </row>
    <row r="16" spans="1:18" ht="15.75" thickBot="1">
      <c r="A16" s="40"/>
      <c r="B16" s="40"/>
      <c r="C16" s="182"/>
      <c r="E16" s="182">
        <v>15</v>
      </c>
      <c r="F16" s="192">
        <v>0</v>
      </c>
      <c r="G16" s="192">
        <v>0</v>
      </c>
    </row>
    <row r="17" spans="1:15">
      <c r="A17" s="40"/>
      <c r="B17" s="40"/>
      <c r="C17" s="182"/>
      <c r="E17" s="182">
        <v>12</v>
      </c>
      <c r="F17" s="192">
        <v>0</v>
      </c>
      <c r="G17" s="192">
        <v>0</v>
      </c>
      <c r="I17" s="184"/>
      <c r="J17" s="184" t="s">
        <v>214</v>
      </c>
      <c r="K17" s="184" t="s">
        <v>9</v>
      </c>
      <c r="L17" s="184" t="s">
        <v>45</v>
      </c>
      <c r="M17" s="184" t="s">
        <v>56</v>
      </c>
      <c r="N17" s="184" t="s">
        <v>215</v>
      </c>
      <c r="O17" s="184" t="s">
        <v>216</v>
      </c>
    </row>
    <row r="18" spans="1:15">
      <c r="E18" s="182">
        <v>11</v>
      </c>
      <c r="F18" s="192">
        <v>0</v>
      </c>
      <c r="G18" s="192">
        <v>0</v>
      </c>
      <c r="I18" s="16" t="s">
        <v>212</v>
      </c>
      <c r="J18" s="16">
        <v>14</v>
      </c>
      <c r="K18" s="16">
        <v>1.6244657241348277</v>
      </c>
      <c r="L18" s="16">
        <v>8.6182181575152921</v>
      </c>
      <c r="M18" s="16">
        <v>3.4027731523469263E-7</v>
      </c>
      <c r="N18" s="16">
        <v>10.537533270515393</v>
      </c>
      <c r="O18" s="16">
        <v>17.462466729484607</v>
      </c>
    </row>
    <row r="19" spans="1:15">
      <c r="E19" s="182">
        <v>17</v>
      </c>
      <c r="F19" s="192">
        <v>0</v>
      </c>
      <c r="G19" s="192">
        <v>0</v>
      </c>
      <c r="I19" s="16" t="s">
        <v>379</v>
      </c>
      <c r="J19" s="16">
        <v>-1.9999999999999998</v>
      </c>
      <c r="K19" s="16">
        <v>2.2973414586817031</v>
      </c>
      <c r="L19" s="16">
        <v>-0.87057150013201412</v>
      </c>
      <c r="M19" s="16">
        <v>0.39770691285569448</v>
      </c>
      <c r="N19" s="16">
        <v>-6.8966674081027453</v>
      </c>
      <c r="O19" s="16">
        <v>2.8966674081027453</v>
      </c>
    </row>
    <row r="20" spans="1:15" ht="15.75" thickBot="1">
      <c r="E20" s="182">
        <v>20</v>
      </c>
      <c r="F20" s="192">
        <v>0</v>
      </c>
      <c r="G20" s="192">
        <v>0</v>
      </c>
      <c r="I20" s="17" t="s">
        <v>380</v>
      </c>
      <c r="J20" s="17">
        <v>-2.5</v>
      </c>
      <c r="K20" s="17">
        <v>2.297341458681704</v>
      </c>
      <c r="L20" s="17">
        <v>-1.0882143751650173</v>
      </c>
      <c r="M20" s="17">
        <v>0.29367674527164767</v>
      </c>
      <c r="N20" s="17">
        <v>-7.396667408102747</v>
      </c>
      <c r="O20" s="17">
        <v>2.396667408102747</v>
      </c>
    </row>
    <row r="21" spans="1:15">
      <c r="E21" s="183">
        <v>9</v>
      </c>
      <c r="F21" s="193">
        <v>0</v>
      </c>
      <c r="G21" s="193">
        <v>0</v>
      </c>
    </row>
    <row r="23" spans="1:15">
      <c r="I23" t="s">
        <v>370</v>
      </c>
    </row>
    <row r="25" spans="1:15" ht="15.75" thickBot="1">
      <c r="I25" t="s">
        <v>28</v>
      </c>
    </row>
    <row r="26" spans="1:15">
      <c r="I26" s="184" t="s">
        <v>40</v>
      </c>
      <c r="J26" s="184" t="s">
        <v>11</v>
      </c>
      <c r="K26" s="184" t="s">
        <v>10</v>
      </c>
      <c r="L26" s="184" t="s">
        <v>371</v>
      </c>
      <c r="M26" s="184" t="s">
        <v>41</v>
      </c>
    </row>
    <row r="27" spans="1:15">
      <c r="I27" s="16" t="s">
        <v>365</v>
      </c>
      <c r="J27" s="16">
        <v>6</v>
      </c>
      <c r="K27" s="16">
        <v>72</v>
      </c>
      <c r="L27" s="16">
        <v>12</v>
      </c>
      <c r="M27" s="16">
        <v>14</v>
      </c>
    </row>
    <row r="28" spans="1:15">
      <c r="I28" s="16" t="s">
        <v>366</v>
      </c>
      <c r="J28" s="16">
        <v>6</v>
      </c>
      <c r="K28" s="16">
        <v>69</v>
      </c>
      <c r="L28" s="16">
        <v>11.5</v>
      </c>
      <c r="M28" s="16">
        <v>16.7</v>
      </c>
    </row>
    <row r="29" spans="1:15" ht="15.75" thickBot="1">
      <c r="I29" s="17" t="s">
        <v>367</v>
      </c>
      <c r="J29" s="17">
        <v>6</v>
      </c>
      <c r="K29" s="17">
        <v>84</v>
      </c>
      <c r="L29" s="17">
        <v>14</v>
      </c>
      <c r="M29" s="17">
        <v>16.8</v>
      </c>
    </row>
    <row r="32" spans="1:15" ht="15.75" thickBot="1">
      <c r="I32" t="s">
        <v>210</v>
      </c>
    </row>
    <row r="33" spans="9:15">
      <c r="I33" s="184" t="s">
        <v>372</v>
      </c>
      <c r="J33" s="184" t="s">
        <v>137</v>
      </c>
      <c r="K33" s="184" t="s">
        <v>26</v>
      </c>
      <c r="L33" s="184" t="s">
        <v>156</v>
      </c>
      <c r="M33" s="184" t="s">
        <v>63</v>
      </c>
      <c r="N33" s="184" t="s">
        <v>56</v>
      </c>
      <c r="O33" s="184" t="s">
        <v>373</v>
      </c>
    </row>
    <row r="34" spans="9:15">
      <c r="I34" s="16" t="s">
        <v>368</v>
      </c>
      <c r="J34" s="16">
        <v>21</v>
      </c>
      <c r="K34" s="16">
        <v>2</v>
      </c>
      <c r="L34" s="16">
        <v>10.5</v>
      </c>
      <c r="M34" s="16">
        <v>0.66315789473684206</v>
      </c>
      <c r="N34" s="16">
        <v>0.52969149408120197</v>
      </c>
      <c r="O34" s="16">
        <v>3.6823203436732408</v>
      </c>
    </row>
    <row r="35" spans="9:15">
      <c r="I35" s="16" t="s">
        <v>369</v>
      </c>
      <c r="J35" s="16">
        <v>237.5</v>
      </c>
      <c r="K35" s="16">
        <v>15</v>
      </c>
      <c r="L35" s="16">
        <v>15.833333333333334</v>
      </c>
      <c r="M35" s="16"/>
      <c r="N35" s="16"/>
      <c r="O35" s="16"/>
    </row>
    <row r="36" spans="9:15">
      <c r="I36" s="16"/>
      <c r="J36" s="16"/>
      <c r="K36" s="16"/>
      <c r="L36" s="16"/>
      <c r="M36" s="16"/>
      <c r="N36" s="16"/>
      <c r="O36" s="16"/>
    </row>
    <row r="37" spans="9:15" ht="15.75" thickBot="1">
      <c r="I37" s="17" t="s">
        <v>1</v>
      </c>
      <c r="J37" s="17">
        <v>258.5</v>
      </c>
      <c r="K37" s="17">
        <v>17</v>
      </c>
      <c r="L37" s="17"/>
      <c r="M37" s="17"/>
      <c r="N37" s="17"/>
      <c r="O37" s="17"/>
    </row>
  </sheetData>
  <mergeCells count="1">
    <mergeCell ref="E2:G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116"/>
  <dimension ref="A1:U37"/>
  <sheetViews>
    <sheetView workbookViewId="0"/>
  </sheetViews>
  <sheetFormatPr defaultRowHeight="15"/>
  <cols>
    <col min="1" max="3" width="8.140625" customWidth="1"/>
    <col min="4" max="4" width="5.85546875" customWidth="1"/>
    <col min="8" max="8" width="7.140625" customWidth="1"/>
    <col min="9" max="9" width="17.85546875" customWidth="1"/>
    <col min="10" max="10" width="10.5703125" customWidth="1"/>
    <col min="11" max="11" width="14.7109375" customWidth="1"/>
    <col min="12" max="13" width="10.5703125" customWidth="1"/>
    <col min="14" max="14" width="12.140625" customWidth="1"/>
    <col min="15" max="16" width="11.140625" customWidth="1"/>
  </cols>
  <sheetData>
    <row r="1" spans="1:21">
      <c r="A1" s="1" t="s">
        <v>377</v>
      </c>
    </row>
    <row r="2" spans="1:21">
      <c r="E2" s="735" t="s">
        <v>378</v>
      </c>
      <c r="F2" s="735"/>
      <c r="G2" s="735"/>
      <c r="I2" t="s">
        <v>206</v>
      </c>
      <c r="R2" t="s">
        <v>381</v>
      </c>
    </row>
    <row r="3" spans="1:21" ht="15.75" thickBot="1">
      <c r="A3" s="112" t="s">
        <v>365</v>
      </c>
      <c r="B3" s="112" t="s">
        <v>366</v>
      </c>
      <c r="C3" s="112" t="s">
        <v>367</v>
      </c>
      <c r="E3" s="185" t="s">
        <v>17</v>
      </c>
      <c r="F3" s="185" t="s">
        <v>379</v>
      </c>
      <c r="G3" s="185" t="s">
        <v>380</v>
      </c>
    </row>
    <row r="4" spans="1:21">
      <c r="A4" s="40">
        <v>16</v>
      </c>
      <c r="B4" s="40">
        <v>7</v>
      </c>
      <c r="C4" s="182">
        <v>15</v>
      </c>
      <c r="E4" s="40">
        <v>16</v>
      </c>
      <c r="F4" s="191">
        <v>1</v>
      </c>
      <c r="G4" s="191">
        <v>0</v>
      </c>
      <c r="I4" s="18" t="s">
        <v>207</v>
      </c>
      <c r="J4" s="18"/>
      <c r="R4" s="40" t="s">
        <v>365</v>
      </c>
      <c r="S4" s="40" t="s">
        <v>366</v>
      </c>
      <c r="T4" s="40" t="s">
        <v>367</v>
      </c>
      <c r="U4" s="5"/>
    </row>
    <row r="5" spans="1:21">
      <c r="A5" s="40">
        <v>8</v>
      </c>
      <c r="B5" s="40">
        <v>14</v>
      </c>
      <c r="C5" s="182">
        <v>12</v>
      </c>
      <c r="E5" s="40">
        <v>8</v>
      </c>
      <c r="F5" s="191">
        <v>1</v>
      </c>
      <c r="G5" s="191">
        <v>0</v>
      </c>
      <c r="I5" s="16" t="s">
        <v>208</v>
      </c>
      <c r="J5" s="16">
        <v>0.28502265002126614</v>
      </c>
      <c r="R5" s="186">
        <v>16</v>
      </c>
      <c r="S5" s="187">
        <v>7</v>
      </c>
      <c r="T5" s="188">
        <v>15</v>
      </c>
      <c r="U5" s="5"/>
    </row>
    <row r="6" spans="1:21">
      <c r="A6" s="40">
        <v>14</v>
      </c>
      <c r="B6" s="40">
        <v>10</v>
      </c>
      <c r="C6" s="182">
        <v>11</v>
      </c>
      <c r="E6" s="40">
        <v>14</v>
      </c>
      <c r="F6" s="191">
        <v>1</v>
      </c>
      <c r="G6" s="191">
        <v>0</v>
      </c>
      <c r="I6" s="16" t="s">
        <v>201</v>
      </c>
      <c r="J6" s="16">
        <v>8.1237911025145174E-2</v>
      </c>
      <c r="R6" s="194">
        <v>8</v>
      </c>
      <c r="S6" s="40">
        <v>14</v>
      </c>
      <c r="T6" s="30">
        <v>12</v>
      </c>
      <c r="U6" s="5"/>
    </row>
    <row r="7" spans="1:21">
      <c r="A7" s="40">
        <v>12</v>
      </c>
      <c r="B7" s="40">
        <v>12</v>
      </c>
      <c r="C7" s="182">
        <v>17</v>
      </c>
      <c r="E7" s="40">
        <v>12</v>
      </c>
      <c r="F7" s="191">
        <v>1</v>
      </c>
      <c r="G7" s="191">
        <v>0</v>
      </c>
      <c r="I7" s="16" t="s">
        <v>209</v>
      </c>
      <c r="J7" s="16">
        <v>-4.1263700838168806E-2</v>
      </c>
      <c r="R7" s="194">
        <v>14</v>
      </c>
      <c r="S7" s="40">
        <v>10</v>
      </c>
      <c r="T7" s="30">
        <v>11</v>
      </c>
      <c r="U7" s="5"/>
    </row>
    <row r="8" spans="1:21">
      <c r="A8" s="40">
        <v>15</v>
      </c>
      <c r="B8" s="40">
        <v>8</v>
      </c>
      <c r="C8" s="182">
        <v>20</v>
      </c>
      <c r="E8" s="40">
        <v>15</v>
      </c>
      <c r="F8" s="191">
        <v>1</v>
      </c>
      <c r="G8" s="191">
        <v>0</v>
      </c>
      <c r="I8" s="16" t="s">
        <v>9</v>
      </c>
      <c r="J8" s="16">
        <v>3.9791121287711073</v>
      </c>
      <c r="R8" s="194">
        <v>12</v>
      </c>
      <c r="S8" s="40">
        <v>12</v>
      </c>
      <c r="T8" s="30">
        <v>17</v>
      </c>
      <c r="U8" s="5"/>
    </row>
    <row r="9" spans="1:21" ht="15.75" thickBot="1">
      <c r="A9" s="183">
        <v>7</v>
      </c>
      <c r="B9" s="183">
        <v>18</v>
      </c>
      <c r="C9" s="183">
        <v>9</v>
      </c>
      <c r="E9" s="40">
        <v>7</v>
      </c>
      <c r="F9" s="191">
        <v>1</v>
      </c>
      <c r="G9" s="191">
        <v>0</v>
      </c>
      <c r="I9" s="17" t="s">
        <v>42</v>
      </c>
      <c r="J9" s="17">
        <v>18</v>
      </c>
      <c r="R9" s="194">
        <v>15</v>
      </c>
      <c r="S9" s="40">
        <v>8</v>
      </c>
      <c r="T9" s="30">
        <v>20</v>
      </c>
      <c r="U9" s="5"/>
    </row>
    <row r="10" spans="1:21">
      <c r="A10" s="40"/>
      <c r="B10" s="40"/>
      <c r="C10" s="182"/>
      <c r="E10" s="40">
        <v>7</v>
      </c>
      <c r="F10" s="191">
        <v>0</v>
      </c>
      <c r="G10" s="191">
        <v>1</v>
      </c>
      <c r="R10" s="159">
        <v>7</v>
      </c>
      <c r="S10" s="183">
        <v>18</v>
      </c>
      <c r="T10" s="160">
        <v>9</v>
      </c>
      <c r="U10" s="5"/>
    </row>
    <row r="11" spans="1:21" ht="15.75" thickBot="1">
      <c r="A11" s="40"/>
      <c r="B11" s="40"/>
      <c r="C11" s="182"/>
      <c r="E11" s="40">
        <v>14</v>
      </c>
      <c r="F11" s="191">
        <v>0</v>
      </c>
      <c r="G11" s="191">
        <v>1</v>
      </c>
      <c r="I11" t="s">
        <v>210</v>
      </c>
      <c r="Q11" t="s">
        <v>5</v>
      </c>
      <c r="R11" s="40">
        <f>AVERAGE(R5:R10)</f>
        <v>12</v>
      </c>
      <c r="S11" s="40">
        <f>AVERAGE(S5:S10)</f>
        <v>11.5</v>
      </c>
      <c r="T11" s="40">
        <f>AVERAGE(T5:T10)</f>
        <v>14</v>
      </c>
      <c r="U11" s="40">
        <f>AVERAGE(R11:T11)</f>
        <v>12.5</v>
      </c>
    </row>
    <row r="12" spans="1:21">
      <c r="A12" s="40"/>
      <c r="B12" s="40"/>
      <c r="C12" s="182"/>
      <c r="E12" s="40">
        <v>10</v>
      </c>
      <c r="F12" s="191">
        <v>0</v>
      </c>
      <c r="G12" s="191">
        <v>1</v>
      </c>
      <c r="I12" s="184"/>
      <c r="J12" s="184" t="s">
        <v>26</v>
      </c>
      <c r="K12" s="184" t="s">
        <v>137</v>
      </c>
      <c r="L12" s="184" t="s">
        <v>156</v>
      </c>
      <c r="M12" s="184" t="s">
        <v>63</v>
      </c>
      <c r="N12" s="184" t="s">
        <v>213</v>
      </c>
      <c r="Q12" s="195" t="s">
        <v>382</v>
      </c>
      <c r="R12" s="40">
        <f>R11-$U$11</f>
        <v>-0.5</v>
      </c>
      <c r="S12" s="40">
        <f>S11-$U$11</f>
        <v>-1</v>
      </c>
      <c r="T12" s="40">
        <f>T11-$U$11</f>
        <v>1.5</v>
      </c>
      <c r="U12" s="5"/>
    </row>
    <row r="13" spans="1:21">
      <c r="A13" s="40"/>
      <c r="B13" s="40"/>
      <c r="C13" s="182"/>
      <c r="E13" s="40">
        <v>12</v>
      </c>
      <c r="F13" s="191">
        <v>0</v>
      </c>
      <c r="G13" s="191">
        <v>1</v>
      </c>
      <c r="I13" s="16" t="s">
        <v>138</v>
      </c>
      <c r="J13" s="16">
        <v>2</v>
      </c>
      <c r="K13" s="16">
        <v>21.000000000000028</v>
      </c>
      <c r="L13" s="16">
        <v>10.500000000000014</v>
      </c>
      <c r="M13" s="16">
        <v>0.66315789473684306</v>
      </c>
      <c r="N13" s="16">
        <v>0.52969149408120164</v>
      </c>
    </row>
    <row r="14" spans="1:21">
      <c r="A14" s="40"/>
      <c r="B14" s="40"/>
      <c r="C14" s="182"/>
      <c r="E14" s="40">
        <v>8</v>
      </c>
      <c r="F14" s="191">
        <v>0</v>
      </c>
      <c r="G14" s="191">
        <v>1</v>
      </c>
      <c r="I14" s="16" t="s">
        <v>211</v>
      </c>
      <c r="J14" s="16">
        <v>15</v>
      </c>
      <c r="K14" s="16">
        <v>237.49999999999997</v>
      </c>
      <c r="L14" s="16">
        <v>15.833333333333332</v>
      </c>
      <c r="M14" s="16"/>
      <c r="N14" s="16"/>
    </row>
    <row r="15" spans="1:21" ht="15.75" thickBot="1">
      <c r="A15" s="40"/>
      <c r="B15" s="40"/>
      <c r="C15" s="182"/>
      <c r="E15" s="40">
        <v>18</v>
      </c>
      <c r="F15" s="191">
        <v>0</v>
      </c>
      <c r="G15" s="191">
        <v>1</v>
      </c>
      <c r="I15" s="17" t="s">
        <v>1</v>
      </c>
      <c r="J15" s="17">
        <v>17</v>
      </c>
      <c r="K15" s="17">
        <v>258.5</v>
      </c>
      <c r="L15" s="17"/>
      <c r="M15" s="17"/>
      <c r="N15" s="17"/>
    </row>
    <row r="16" spans="1:21" ht="15.75" thickBot="1">
      <c r="A16" s="40"/>
      <c r="B16" s="40"/>
      <c r="C16" s="182"/>
      <c r="E16" s="182">
        <v>15</v>
      </c>
      <c r="F16" s="192">
        <v>-1</v>
      </c>
      <c r="G16" s="192">
        <v>-1</v>
      </c>
    </row>
    <row r="17" spans="1:16">
      <c r="A17" s="40"/>
      <c r="B17" s="40"/>
      <c r="C17" s="182"/>
      <c r="E17" s="182">
        <v>12</v>
      </c>
      <c r="F17" s="192">
        <v>-1</v>
      </c>
      <c r="G17" s="192">
        <v>-1</v>
      </c>
      <c r="I17" s="184"/>
      <c r="J17" s="184" t="s">
        <v>214</v>
      </c>
      <c r="K17" s="184" t="s">
        <v>9</v>
      </c>
      <c r="L17" s="184" t="s">
        <v>45</v>
      </c>
      <c r="M17" s="184" t="s">
        <v>56</v>
      </c>
      <c r="N17" s="184" t="s">
        <v>215</v>
      </c>
      <c r="O17" s="184" t="s">
        <v>216</v>
      </c>
      <c r="P17" s="33"/>
    </row>
    <row r="18" spans="1:16">
      <c r="E18" s="182">
        <v>11</v>
      </c>
      <c r="F18" s="192">
        <v>-1</v>
      </c>
      <c r="G18" s="192">
        <v>-1</v>
      </c>
      <c r="I18" s="16" t="s">
        <v>212</v>
      </c>
      <c r="J18" s="16">
        <v>12.5</v>
      </c>
      <c r="K18" s="16">
        <v>0.93788572311856289</v>
      </c>
      <c r="L18" s="16">
        <v>13.327849749579578</v>
      </c>
      <c r="M18" s="16">
        <v>1.0170895024375537E-9</v>
      </c>
      <c r="N18" s="16">
        <v>10.500943901671938</v>
      </c>
      <c r="O18" s="16">
        <v>14.499056098328062</v>
      </c>
      <c r="P18" s="16"/>
    </row>
    <row r="19" spans="1:16">
      <c r="E19" s="182">
        <v>17</v>
      </c>
      <c r="F19" s="192">
        <v>-1</v>
      </c>
      <c r="G19" s="192">
        <v>-1</v>
      </c>
      <c r="I19" s="16" t="s">
        <v>379</v>
      </c>
      <c r="J19" s="16">
        <v>-0.49999999999999994</v>
      </c>
      <c r="K19" s="16">
        <v>1.326370709590369</v>
      </c>
      <c r="L19" s="16">
        <v>-0.37696851746252596</v>
      </c>
      <c r="M19" s="16">
        <v>0.71147657623552352</v>
      </c>
      <c r="N19" s="16">
        <v>-3.3270922462001873</v>
      </c>
      <c r="O19" s="16">
        <v>2.3270922462001873</v>
      </c>
      <c r="P19" s="16"/>
    </row>
    <row r="20" spans="1:16" ht="15.75" thickBot="1">
      <c r="E20" s="182">
        <v>20</v>
      </c>
      <c r="F20" s="192">
        <v>-1</v>
      </c>
      <c r="G20" s="192">
        <v>-1</v>
      </c>
      <c r="I20" s="17" t="s">
        <v>380</v>
      </c>
      <c r="J20" s="17">
        <v>-1.0000000000000002</v>
      </c>
      <c r="K20" s="17">
        <v>1.3263707095903692</v>
      </c>
      <c r="L20" s="17">
        <v>-0.75393703492505204</v>
      </c>
      <c r="M20" s="17">
        <v>0.46255887733323142</v>
      </c>
      <c r="N20" s="17">
        <v>-3.8270922462001877</v>
      </c>
      <c r="O20" s="17">
        <v>1.8270922462001875</v>
      </c>
      <c r="P20" s="16"/>
    </row>
    <row r="21" spans="1:16">
      <c r="E21" s="183">
        <v>9</v>
      </c>
      <c r="F21" s="183">
        <v>-1</v>
      </c>
      <c r="G21" s="183">
        <v>-1</v>
      </c>
    </row>
    <row r="23" spans="1:16">
      <c r="I23" t="s">
        <v>370</v>
      </c>
    </row>
    <row r="25" spans="1:16" ht="15.75" thickBot="1">
      <c r="I25" t="s">
        <v>28</v>
      </c>
    </row>
    <row r="26" spans="1:16">
      <c r="I26" s="307" t="s">
        <v>40</v>
      </c>
      <c r="J26" s="307" t="s">
        <v>11</v>
      </c>
      <c r="K26" s="307" t="s">
        <v>10</v>
      </c>
      <c r="L26" s="307" t="s">
        <v>371</v>
      </c>
      <c r="M26" s="307" t="s">
        <v>41</v>
      </c>
    </row>
    <row r="27" spans="1:16">
      <c r="I27" s="16" t="s">
        <v>365</v>
      </c>
      <c r="J27" s="16">
        <v>6</v>
      </c>
      <c r="K27" s="16">
        <v>72</v>
      </c>
      <c r="L27" s="16">
        <v>12</v>
      </c>
      <c r="M27" s="16">
        <v>14</v>
      </c>
    </row>
    <row r="28" spans="1:16">
      <c r="I28" s="16" t="s">
        <v>366</v>
      </c>
      <c r="J28" s="16">
        <v>6</v>
      </c>
      <c r="K28" s="16">
        <v>69</v>
      </c>
      <c r="L28" s="16">
        <v>11.5</v>
      </c>
      <c r="M28" s="16">
        <v>16.7</v>
      </c>
    </row>
    <row r="29" spans="1:16" ht="15.75" thickBot="1">
      <c r="I29" s="17" t="s">
        <v>367</v>
      </c>
      <c r="J29" s="17">
        <v>6</v>
      </c>
      <c r="K29" s="17">
        <v>84</v>
      </c>
      <c r="L29" s="17">
        <v>14</v>
      </c>
      <c r="M29" s="17">
        <v>16.8</v>
      </c>
    </row>
    <row r="32" spans="1:16" ht="15.75" thickBot="1">
      <c r="I32" t="s">
        <v>210</v>
      </c>
    </row>
    <row r="33" spans="9:16">
      <c r="I33" s="307" t="s">
        <v>372</v>
      </c>
      <c r="J33" s="307" t="s">
        <v>137</v>
      </c>
      <c r="K33" s="307" t="s">
        <v>26</v>
      </c>
      <c r="L33" s="307" t="s">
        <v>156</v>
      </c>
      <c r="M33" s="307" t="s">
        <v>63</v>
      </c>
      <c r="N33" s="307" t="s">
        <v>56</v>
      </c>
      <c r="O33" s="307" t="s">
        <v>373</v>
      </c>
      <c r="P33" s="33"/>
    </row>
    <row r="34" spans="9:16">
      <c r="I34" s="16" t="s">
        <v>368</v>
      </c>
      <c r="J34" s="16">
        <v>21</v>
      </c>
      <c r="K34" s="16">
        <v>2</v>
      </c>
      <c r="L34" s="16">
        <v>10.5</v>
      </c>
      <c r="M34" s="16">
        <v>0.66315789473684206</v>
      </c>
      <c r="N34" s="16">
        <v>0.52969149408120197</v>
      </c>
      <c r="O34" s="16">
        <v>3.6823203436732408</v>
      </c>
      <c r="P34" s="16"/>
    </row>
    <row r="35" spans="9:16">
      <c r="I35" s="16" t="s">
        <v>369</v>
      </c>
      <c r="J35" s="16">
        <v>237.5</v>
      </c>
      <c r="K35" s="16">
        <v>15</v>
      </c>
      <c r="L35" s="16">
        <v>15.833333333333334</v>
      </c>
      <c r="M35" s="16"/>
      <c r="N35" s="16"/>
      <c r="O35" s="16"/>
      <c r="P35" s="16"/>
    </row>
    <row r="36" spans="9:16">
      <c r="I36" s="16"/>
      <c r="J36" s="16"/>
      <c r="K36" s="16"/>
      <c r="L36" s="16"/>
      <c r="M36" s="16"/>
      <c r="N36" s="16"/>
      <c r="O36" s="16"/>
      <c r="P36" s="16"/>
    </row>
    <row r="37" spans="9:16" ht="15.75" thickBot="1">
      <c r="I37" s="17" t="s">
        <v>1</v>
      </c>
      <c r="J37" s="17">
        <v>258.5</v>
      </c>
      <c r="K37" s="17">
        <v>17</v>
      </c>
      <c r="L37" s="17"/>
      <c r="M37" s="17"/>
      <c r="N37" s="17"/>
      <c r="O37" s="17"/>
      <c r="P37" s="16"/>
    </row>
  </sheetData>
  <mergeCells count="1">
    <mergeCell ref="E2:G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121"/>
  <dimension ref="A1:AB69"/>
  <sheetViews>
    <sheetView workbookViewId="0"/>
  </sheetViews>
  <sheetFormatPr defaultRowHeight="15"/>
  <cols>
    <col min="6" max="11" width="7.42578125" customWidth="1"/>
    <col min="14" max="14" width="19.5703125" customWidth="1"/>
    <col min="22" max="22" width="18" customWidth="1"/>
    <col min="23" max="23" width="11.5703125" customWidth="1"/>
    <col min="24" max="24" width="14.140625" customWidth="1"/>
    <col min="25" max="26" width="11.5703125" customWidth="1"/>
    <col min="27" max="27" width="12.28515625" customWidth="1"/>
    <col min="28" max="28" width="11.5703125" customWidth="1"/>
  </cols>
  <sheetData>
    <row r="1" spans="1:27">
      <c r="A1" s="1" t="s">
        <v>410</v>
      </c>
    </row>
    <row r="3" spans="1:27">
      <c r="A3" s="9"/>
      <c r="B3" s="745" t="s">
        <v>392</v>
      </c>
      <c r="C3" s="746"/>
      <c r="D3" s="747"/>
      <c r="F3" s="11" t="s">
        <v>379</v>
      </c>
      <c r="G3" s="11" t="s">
        <v>380</v>
      </c>
      <c r="H3" s="11" t="s">
        <v>411</v>
      </c>
      <c r="I3" s="23" t="s">
        <v>412</v>
      </c>
      <c r="J3" s="23" t="s">
        <v>413</v>
      </c>
      <c r="K3" s="23" t="s">
        <v>65</v>
      </c>
      <c r="N3" t="s">
        <v>390</v>
      </c>
      <c r="V3" t="s">
        <v>206</v>
      </c>
    </row>
    <row r="4" spans="1:27" ht="15.75" thickBot="1">
      <c r="A4" s="205" t="s">
        <v>393</v>
      </c>
      <c r="B4" s="198" t="s">
        <v>385</v>
      </c>
      <c r="C4" s="198" t="s">
        <v>386</v>
      </c>
      <c r="D4" s="198" t="s">
        <v>389</v>
      </c>
      <c r="F4" s="209">
        <v>1</v>
      </c>
      <c r="G4" s="207">
        <v>1</v>
      </c>
      <c r="H4" s="208">
        <v>0</v>
      </c>
      <c r="I4" s="209">
        <f t="shared" ref="I4:I33" si="0">F4*G4</f>
        <v>1</v>
      </c>
      <c r="J4" s="208">
        <f t="shared" ref="J4:J33" si="1">F4*H4</f>
        <v>0</v>
      </c>
      <c r="K4" s="199">
        <v>128</v>
      </c>
    </row>
    <row r="5" spans="1:27">
      <c r="A5" s="212" t="s">
        <v>387</v>
      </c>
      <c r="B5" s="199">
        <v>128</v>
      </c>
      <c r="C5" s="199">
        <v>166</v>
      </c>
      <c r="D5" s="199">
        <v>151</v>
      </c>
      <c r="F5" s="201">
        <v>1</v>
      </c>
      <c r="G5" s="5">
        <v>1</v>
      </c>
      <c r="H5" s="6">
        <v>0</v>
      </c>
      <c r="I5">
        <f t="shared" si="0"/>
        <v>1</v>
      </c>
      <c r="J5">
        <f t="shared" si="1"/>
        <v>0</v>
      </c>
      <c r="K5" s="200">
        <v>150</v>
      </c>
      <c r="N5" t="s">
        <v>28</v>
      </c>
      <c r="O5" t="s">
        <v>385</v>
      </c>
      <c r="P5" t="s">
        <v>386</v>
      </c>
      <c r="Q5" t="s">
        <v>389</v>
      </c>
      <c r="R5" t="s">
        <v>1</v>
      </c>
      <c r="V5" s="18" t="s">
        <v>207</v>
      </c>
      <c r="W5" s="18"/>
    </row>
    <row r="6" spans="1:27" ht="15.75" thickBot="1">
      <c r="A6" s="200"/>
      <c r="B6" s="200">
        <v>150</v>
      </c>
      <c r="C6" s="200">
        <v>178</v>
      </c>
      <c r="D6" s="200">
        <v>125</v>
      </c>
      <c r="F6" s="201">
        <v>1</v>
      </c>
      <c r="G6" s="5">
        <v>1</v>
      </c>
      <c r="H6" s="6">
        <v>0</v>
      </c>
      <c r="I6">
        <f t="shared" si="0"/>
        <v>1</v>
      </c>
      <c r="J6">
        <f t="shared" si="1"/>
        <v>0</v>
      </c>
      <c r="K6" s="200">
        <v>174</v>
      </c>
      <c r="N6" s="202" t="s">
        <v>387</v>
      </c>
      <c r="O6" s="202"/>
      <c r="P6" s="202"/>
      <c r="Q6" s="202"/>
      <c r="R6" s="202"/>
      <c r="V6" s="16" t="s">
        <v>208</v>
      </c>
      <c r="W6" s="16">
        <v>0.61717863365297299</v>
      </c>
    </row>
    <row r="7" spans="1:27">
      <c r="A7" s="200"/>
      <c r="B7" s="200">
        <v>174</v>
      </c>
      <c r="C7" s="200">
        <v>187</v>
      </c>
      <c r="D7" s="200">
        <v>117</v>
      </c>
      <c r="F7" s="201">
        <v>1</v>
      </c>
      <c r="G7" s="5">
        <v>1</v>
      </c>
      <c r="H7" s="6">
        <v>0</v>
      </c>
      <c r="I7">
        <f t="shared" si="0"/>
        <v>1</v>
      </c>
      <c r="J7">
        <f t="shared" si="1"/>
        <v>0</v>
      </c>
      <c r="K7" s="200">
        <v>116</v>
      </c>
      <c r="N7" s="16" t="s">
        <v>11</v>
      </c>
      <c r="O7" s="16">
        <v>5</v>
      </c>
      <c r="P7" s="16">
        <v>5</v>
      </c>
      <c r="Q7" s="16">
        <v>5</v>
      </c>
      <c r="R7" s="16">
        <v>15</v>
      </c>
      <c r="V7" s="16" t="s">
        <v>201</v>
      </c>
      <c r="W7" s="16">
        <v>0.38090946583775059</v>
      </c>
    </row>
    <row r="8" spans="1:27">
      <c r="A8" s="200"/>
      <c r="B8" s="200">
        <v>116</v>
      </c>
      <c r="C8" s="200">
        <v>153</v>
      </c>
      <c r="D8" s="200">
        <v>155</v>
      </c>
      <c r="F8" s="7">
        <v>1</v>
      </c>
      <c r="G8" s="8">
        <v>1</v>
      </c>
      <c r="H8" s="9">
        <v>0</v>
      </c>
      <c r="I8">
        <f t="shared" si="0"/>
        <v>1</v>
      </c>
      <c r="J8">
        <f t="shared" si="1"/>
        <v>0</v>
      </c>
      <c r="K8" s="21">
        <v>109</v>
      </c>
      <c r="N8" s="16" t="s">
        <v>10</v>
      </c>
      <c r="O8" s="16">
        <v>677</v>
      </c>
      <c r="P8" s="16">
        <v>879</v>
      </c>
      <c r="Q8" s="16">
        <v>706</v>
      </c>
      <c r="R8" s="16">
        <v>2262</v>
      </c>
      <c r="V8" s="16" t="s">
        <v>209</v>
      </c>
      <c r="W8" s="16">
        <v>0.25193227122061529</v>
      </c>
    </row>
    <row r="9" spans="1:27">
      <c r="A9" s="200"/>
      <c r="B9" s="21">
        <v>109</v>
      </c>
      <c r="C9" s="21">
        <v>195</v>
      </c>
      <c r="D9" s="21">
        <v>158</v>
      </c>
      <c r="F9" s="209">
        <v>0</v>
      </c>
      <c r="G9" s="207">
        <v>1</v>
      </c>
      <c r="H9" s="208">
        <v>0</v>
      </c>
      <c r="I9" s="209">
        <f t="shared" si="0"/>
        <v>0</v>
      </c>
      <c r="J9" s="208">
        <f t="shared" si="1"/>
        <v>0</v>
      </c>
      <c r="K9" s="199">
        <v>175</v>
      </c>
      <c r="N9" s="16" t="s">
        <v>371</v>
      </c>
      <c r="O9" s="16">
        <v>135.4</v>
      </c>
      <c r="P9" s="16">
        <v>175.8</v>
      </c>
      <c r="Q9" s="16">
        <v>141.19999999999999</v>
      </c>
      <c r="R9" s="16">
        <v>150.80000000000001</v>
      </c>
      <c r="V9" s="16" t="s">
        <v>9</v>
      </c>
      <c r="W9" s="16">
        <v>21.221058723196002</v>
      </c>
    </row>
    <row r="10" spans="1:27" ht="15.75" thickBot="1">
      <c r="A10" s="212" t="s">
        <v>388</v>
      </c>
      <c r="B10" s="199">
        <v>175</v>
      </c>
      <c r="C10" s="199">
        <v>140</v>
      </c>
      <c r="D10" s="199">
        <v>167</v>
      </c>
      <c r="F10" s="201">
        <v>0</v>
      </c>
      <c r="G10" s="5">
        <v>1</v>
      </c>
      <c r="H10" s="6">
        <v>0</v>
      </c>
      <c r="I10">
        <f t="shared" si="0"/>
        <v>0</v>
      </c>
      <c r="J10">
        <f t="shared" si="1"/>
        <v>0</v>
      </c>
      <c r="K10" s="200">
        <v>132</v>
      </c>
      <c r="N10" s="16" t="s">
        <v>41</v>
      </c>
      <c r="O10" s="16">
        <v>707.79999999999927</v>
      </c>
      <c r="P10" s="16">
        <v>278.7</v>
      </c>
      <c r="Q10" s="16">
        <v>354.20000000000073</v>
      </c>
      <c r="R10" s="16">
        <v>723.88571428571595</v>
      </c>
      <c r="V10" s="17" t="s">
        <v>42</v>
      </c>
      <c r="W10" s="17">
        <v>30</v>
      </c>
    </row>
    <row r="11" spans="1:27">
      <c r="A11" s="200"/>
      <c r="B11" s="200">
        <v>132</v>
      </c>
      <c r="C11" s="200">
        <v>145</v>
      </c>
      <c r="D11" s="200">
        <v>183</v>
      </c>
      <c r="F11" s="201">
        <v>0</v>
      </c>
      <c r="G11" s="5">
        <v>1</v>
      </c>
      <c r="H11" s="6">
        <v>0</v>
      </c>
      <c r="I11">
        <f t="shared" si="0"/>
        <v>0</v>
      </c>
      <c r="J11">
        <f t="shared" si="1"/>
        <v>0</v>
      </c>
      <c r="K11" s="200">
        <v>120</v>
      </c>
      <c r="N11" s="16"/>
      <c r="O11" s="16"/>
      <c r="P11" s="16"/>
      <c r="Q11" s="16"/>
      <c r="R11" s="16"/>
    </row>
    <row r="12" spans="1:27" ht="15.75" thickBot="1">
      <c r="A12" s="200"/>
      <c r="B12" s="200">
        <v>120</v>
      </c>
      <c r="C12" s="200">
        <v>159</v>
      </c>
      <c r="D12" s="200">
        <v>142</v>
      </c>
      <c r="F12" s="201">
        <v>0</v>
      </c>
      <c r="G12" s="5">
        <v>1</v>
      </c>
      <c r="H12" s="6">
        <v>0</v>
      </c>
      <c r="I12">
        <f t="shared" si="0"/>
        <v>0</v>
      </c>
      <c r="J12">
        <f t="shared" si="1"/>
        <v>0</v>
      </c>
      <c r="K12" s="200">
        <v>187</v>
      </c>
      <c r="N12" s="202" t="s">
        <v>388</v>
      </c>
      <c r="O12" s="202"/>
      <c r="P12" s="202"/>
      <c r="Q12" s="202"/>
      <c r="R12" s="202"/>
      <c r="V12" t="s">
        <v>210</v>
      </c>
    </row>
    <row r="13" spans="1:27">
      <c r="A13" s="200"/>
      <c r="B13" s="200">
        <v>187</v>
      </c>
      <c r="C13" s="200">
        <v>131</v>
      </c>
      <c r="D13" s="200">
        <v>167</v>
      </c>
      <c r="F13" s="7">
        <v>0</v>
      </c>
      <c r="G13" s="8">
        <v>1</v>
      </c>
      <c r="H13" s="9">
        <v>0</v>
      </c>
      <c r="I13">
        <f t="shared" si="0"/>
        <v>0</v>
      </c>
      <c r="J13">
        <f t="shared" si="1"/>
        <v>0</v>
      </c>
      <c r="K13" s="21">
        <v>184</v>
      </c>
      <c r="N13" s="16" t="s">
        <v>11</v>
      </c>
      <c r="O13" s="16">
        <v>5</v>
      </c>
      <c r="P13" s="16">
        <v>5</v>
      </c>
      <c r="Q13" s="16">
        <v>5</v>
      </c>
      <c r="R13" s="16">
        <v>15</v>
      </c>
      <c r="V13" s="197"/>
      <c r="W13" s="197" t="s">
        <v>26</v>
      </c>
      <c r="X13" s="197" t="s">
        <v>137</v>
      </c>
      <c r="Y13" s="197" t="s">
        <v>156</v>
      </c>
      <c r="Z13" s="197" t="s">
        <v>63</v>
      </c>
      <c r="AA13" s="197" t="s">
        <v>213</v>
      </c>
    </row>
    <row r="14" spans="1:27">
      <c r="A14" s="146"/>
      <c r="B14" s="21">
        <v>184</v>
      </c>
      <c r="C14" s="21">
        <v>126</v>
      </c>
      <c r="D14" s="21">
        <v>168</v>
      </c>
      <c r="F14" s="209">
        <v>1</v>
      </c>
      <c r="G14" s="213">
        <v>0</v>
      </c>
      <c r="H14" s="208">
        <v>1</v>
      </c>
      <c r="I14" s="209">
        <f t="shared" si="0"/>
        <v>0</v>
      </c>
      <c r="J14" s="208">
        <f t="shared" si="1"/>
        <v>1</v>
      </c>
      <c r="K14" s="199">
        <v>166</v>
      </c>
      <c r="N14" s="16" t="s">
        <v>10</v>
      </c>
      <c r="O14" s="16">
        <v>798</v>
      </c>
      <c r="P14" s="16">
        <v>701</v>
      </c>
      <c r="Q14" s="16">
        <v>827</v>
      </c>
      <c r="R14" s="16">
        <v>2326</v>
      </c>
      <c r="V14" s="16" t="s">
        <v>138</v>
      </c>
      <c r="W14" s="16">
        <v>5</v>
      </c>
      <c r="X14" s="16">
        <v>6649.8666666666722</v>
      </c>
      <c r="Y14" s="16">
        <v>1329.9733333333345</v>
      </c>
      <c r="Z14" s="16">
        <v>2.9533086602516687</v>
      </c>
      <c r="AA14" s="16">
        <v>3.237417922643393E-2</v>
      </c>
    </row>
    <row r="15" spans="1:27">
      <c r="F15" s="201">
        <v>1</v>
      </c>
      <c r="G15" s="28">
        <v>0</v>
      </c>
      <c r="H15" s="6">
        <v>1</v>
      </c>
      <c r="I15">
        <f t="shared" si="0"/>
        <v>0</v>
      </c>
      <c r="J15">
        <f t="shared" si="1"/>
        <v>1</v>
      </c>
      <c r="K15" s="200">
        <v>178</v>
      </c>
      <c r="N15" s="16" t="s">
        <v>371</v>
      </c>
      <c r="O15" s="16">
        <v>159.6</v>
      </c>
      <c r="P15" s="16">
        <v>140.19999999999999</v>
      </c>
      <c r="Q15" s="16">
        <v>165.4</v>
      </c>
      <c r="R15" s="16">
        <v>155.06666666666666</v>
      </c>
      <c r="V15" s="16" t="s">
        <v>211</v>
      </c>
      <c r="W15" s="16">
        <v>24</v>
      </c>
      <c r="X15" s="16">
        <v>10807.999999999996</v>
      </c>
      <c r="Y15" s="16">
        <v>450.3333333333332</v>
      </c>
      <c r="Z15" s="16"/>
      <c r="AA15" s="16"/>
    </row>
    <row r="16" spans="1:27" ht="15.75" thickBot="1">
      <c r="A16" t="s">
        <v>414</v>
      </c>
      <c r="F16" s="201">
        <v>1</v>
      </c>
      <c r="G16" s="28">
        <v>0</v>
      </c>
      <c r="H16" s="6">
        <v>1</v>
      </c>
      <c r="I16">
        <f t="shared" si="0"/>
        <v>0</v>
      </c>
      <c r="J16">
        <f t="shared" si="1"/>
        <v>1</v>
      </c>
      <c r="K16" s="200">
        <v>187</v>
      </c>
      <c r="N16" s="16" t="s">
        <v>41</v>
      </c>
      <c r="O16" s="16">
        <v>978.29999999999927</v>
      </c>
      <c r="P16" s="16">
        <v>165.7</v>
      </c>
      <c r="Q16" s="16">
        <v>217.3</v>
      </c>
      <c r="R16" s="16">
        <v>513.35238095238208</v>
      </c>
      <c r="V16" s="17" t="s">
        <v>1</v>
      </c>
      <c r="W16" s="17">
        <v>29</v>
      </c>
      <c r="X16" s="17">
        <v>17457.866666666669</v>
      </c>
      <c r="Y16" s="17"/>
      <c r="Z16" s="17"/>
      <c r="AA16" s="17"/>
    </row>
    <row r="17" spans="1:28" ht="15.75" thickBot="1">
      <c r="A17" t="s">
        <v>415</v>
      </c>
      <c r="F17" s="201">
        <v>1</v>
      </c>
      <c r="G17" s="28">
        <v>0</v>
      </c>
      <c r="H17" s="6">
        <v>1</v>
      </c>
      <c r="I17">
        <f t="shared" si="0"/>
        <v>0</v>
      </c>
      <c r="J17">
        <f t="shared" si="1"/>
        <v>1</v>
      </c>
      <c r="K17" s="200">
        <v>153</v>
      </c>
      <c r="N17" s="16"/>
      <c r="O17" s="16"/>
      <c r="P17" s="16"/>
      <c r="Q17" s="16"/>
      <c r="R17" s="16"/>
    </row>
    <row r="18" spans="1:28" ht="15.75" thickBot="1">
      <c r="A18" t="s">
        <v>416</v>
      </c>
      <c r="F18" s="7">
        <v>1</v>
      </c>
      <c r="G18" s="214">
        <v>0</v>
      </c>
      <c r="H18" s="9">
        <v>1</v>
      </c>
      <c r="I18">
        <f t="shared" si="0"/>
        <v>0</v>
      </c>
      <c r="J18">
        <f t="shared" si="1"/>
        <v>1</v>
      </c>
      <c r="K18" s="21">
        <v>195</v>
      </c>
      <c r="N18" s="202" t="s">
        <v>1</v>
      </c>
      <c r="O18" s="202"/>
      <c r="P18" s="202"/>
      <c r="Q18" s="202"/>
      <c r="V18" s="197"/>
      <c r="W18" s="197" t="s">
        <v>214</v>
      </c>
      <c r="X18" s="197" t="s">
        <v>9</v>
      </c>
      <c r="Y18" s="197" t="s">
        <v>45</v>
      </c>
      <c r="Z18" s="197" t="s">
        <v>56</v>
      </c>
      <c r="AA18" s="197" t="s">
        <v>215</v>
      </c>
      <c r="AB18" s="197" t="s">
        <v>216</v>
      </c>
    </row>
    <row r="19" spans="1:28">
      <c r="F19" s="209">
        <v>0</v>
      </c>
      <c r="G19" s="213">
        <v>0</v>
      </c>
      <c r="H19" s="208">
        <v>1</v>
      </c>
      <c r="I19" s="209">
        <f t="shared" si="0"/>
        <v>0</v>
      </c>
      <c r="J19" s="208">
        <f t="shared" si="1"/>
        <v>0</v>
      </c>
      <c r="K19" s="199">
        <v>140</v>
      </c>
      <c r="N19" s="16" t="s">
        <v>11</v>
      </c>
      <c r="O19" s="16">
        <v>10</v>
      </c>
      <c r="P19" s="16">
        <v>10</v>
      </c>
      <c r="Q19" s="16">
        <v>10</v>
      </c>
      <c r="V19" s="16" t="s">
        <v>212</v>
      </c>
      <c r="W19" s="16">
        <v>165.4</v>
      </c>
      <c r="X19" s="16">
        <v>9.4903459719162306</v>
      </c>
      <c r="Y19" s="16">
        <v>17.42823712533248</v>
      </c>
      <c r="Z19" s="16">
        <v>3.9686361709731235E-15</v>
      </c>
      <c r="AA19" s="16">
        <v>145.81288859920977</v>
      </c>
      <c r="AB19" s="16">
        <v>184.98711140079024</v>
      </c>
    </row>
    <row r="20" spans="1:28">
      <c r="F20" s="201">
        <v>0</v>
      </c>
      <c r="G20" s="28">
        <v>0</v>
      </c>
      <c r="H20" s="6">
        <v>1</v>
      </c>
      <c r="I20">
        <f t="shared" si="0"/>
        <v>0</v>
      </c>
      <c r="J20">
        <f t="shared" si="1"/>
        <v>0</v>
      </c>
      <c r="K20" s="200">
        <v>145</v>
      </c>
      <c r="N20" s="16" t="s">
        <v>10</v>
      </c>
      <c r="O20" s="16">
        <v>1475</v>
      </c>
      <c r="P20" s="16">
        <v>1580</v>
      </c>
      <c r="Q20" s="16">
        <v>1533</v>
      </c>
      <c r="V20" s="16" t="s">
        <v>379</v>
      </c>
      <c r="W20" s="16">
        <v>-24.200000000000003</v>
      </c>
      <c r="X20" s="16">
        <v>13.421375985096804</v>
      </c>
      <c r="Y20" s="16">
        <v>-1.8030938129497203</v>
      </c>
      <c r="Z20" s="16">
        <v>8.3944409308501486E-2</v>
      </c>
      <c r="AA20" s="16">
        <v>-51.900358590710219</v>
      </c>
      <c r="AB20" s="16">
        <v>3.5003585907102135</v>
      </c>
    </row>
    <row r="21" spans="1:28">
      <c r="F21" s="201">
        <v>0</v>
      </c>
      <c r="G21" s="28">
        <v>0</v>
      </c>
      <c r="H21" s="6">
        <v>1</v>
      </c>
      <c r="I21">
        <f t="shared" si="0"/>
        <v>0</v>
      </c>
      <c r="J21">
        <f t="shared" si="1"/>
        <v>0</v>
      </c>
      <c r="K21" s="200">
        <v>159</v>
      </c>
      <c r="N21" s="16" t="s">
        <v>371</v>
      </c>
      <c r="O21" s="16">
        <v>147.5</v>
      </c>
      <c r="P21" s="16">
        <v>158</v>
      </c>
      <c r="Q21" s="16">
        <v>153.30000000000001</v>
      </c>
      <c r="V21" s="16" t="s">
        <v>380</v>
      </c>
      <c r="W21" s="16">
        <v>-5.800000000000014</v>
      </c>
      <c r="X21" s="16">
        <v>13.421375985096805</v>
      </c>
      <c r="Y21" s="16">
        <v>-0.43214645103753718</v>
      </c>
      <c r="Z21" s="16">
        <v>0.66949292622206347</v>
      </c>
      <c r="AA21" s="16">
        <v>-33.500358590710235</v>
      </c>
      <c r="AB21" s="16">
        <v>21.900358590710205</v>
      </c>
    </row>
    <row r="22" spans="1:28">
      <c r="F22" s="201">
        <v>0</v>
      </c>
      <c r="G22" s="28">
        <v>0</v>
      </c>
      <c r="H22" s="6">
        <v>1</v>
      </c>
      <c r="I22">
        <f t="shared" si="0"/>
        <v>0</v>
      </c>
      <c r="J22">
        <f t="shared" si="1"/>
        <v>0</v>
      </c>
      <c r="K22" s="200">
        <v>131</v>
      </c>
      <c r="N22" s="16" t="s">
        <v>41</v>
      </c>
      <c r="O22" s="16">
        <v>912.05555555555554</v>
      </c>
      <c r="P22" s="16">
        <v>549.55555555555554</v>
      </c>
      <c r="Q22" s="16">
        <v>416.67777777777843</v>
      </c>
      <c r="V22" s="16" t="s">
        <v>411</v>
      </c>
      <c r="W22" s="16">
        <v>-25.199999999999978</v>
      </c>
      <c r="X22" s="16">
        <v>13.421375985096804</v>
      </c>
      <c r="Y22" s="16">
        <v>-1.8776018217492936</v>
      </c>
      <c r="Z22" s="16">
        <v>7.2641419078709163E-2</v>
      </c>
      <c r="AA22" s="16">
        <v>-52.900358590710198</v>
      </c>
      <c r="AB22" s="16">
        <v>2.5003585907102384</v>
      </c>
    </row>
    <row r="23" spans="1:28">
      <c r="F23" s="7">
        <v>0</v>
      </c>
      <c r="G23" s="214">
        <v>0</v>
      </c>
      <c r="H23" s="9">
        <v>1</v>
      </c>
      <c r="I23">
        <f t="shared" si="0"/>
        <v>0</v>
      </c>
      <c r="J23">
        <f t="shared" si="1"/>
        <v>0</v>
      </c>
      <c r="K23" s="21">
        <v>126</v>
      </c>
      <c r="N23" s="16"/>
      <c r="O23" s="16"/>
      <c r="P23" s="16"/>
      <c r="Q23" s="16"/>
      <c r="V23" s="16" t="s">
        <v>412</v>
      </c>
      <c r="W23" s="16">
        <v>3.3365259019643346E-14</v>
      </c>
      <c r="X23" s="16">
        <v>18.980691943832461</v>
      </c>
      <c r="Y23" s="16">
        <v>1.7578526177221358E-15</v>
      </c>
      <c r="Z23" s="16">
        <v>1</v>
      </c>
      <c r="AA23" s="16">
        <v>-39.174222801580434</v>
      </c>
      <c r="AB23" s="16">
        <v>39.174222801580505</v>
      </c>
    </row>
    <row r="24" spans="1:28" ht="15.75" thickBot="1">
      <c r="F24" s="209">
        <v>1</v>
      </c>
      <c r="G24" s="213">
        <v>0</v>
      </c>
      <c r="H24" s="215">
        <v>0</v>
      </c>
      <c r="I24" s="209">
        <f t="shared" si="0"/>
        <v>0</v>
      </c>
      <c r="J24" s="208">
        <f t="shared" si="1"/>
        <v>0</v>
      </c>
      <c r="K24" s="199">
        <v>151</v>
      </c>
      <c r="V24" s="17" t="s">
        <v>413</v>
      </c>
      <c r="W24" s="17">
        <v>59.79999999999999</v>
      </c>
      <c r="X24" s="17">
        <v>18.980691943832458</v>
      </c>
      <c r="Y24" s="17">
        <v>3.1505700728382173</v>
      </c>
      <c r="Z24" s="17">
        <v>4.3278128988797253E-3</v>
      </c>
      <c r="AA24" s="17">
        <v>20.625777198419527</v>
      </c>
      <c r="AB24" s="17">
        <v>98.974222801580453</v>
      </c>
    </row>
    <row r="25" spans="1:28" ht="15.75" thickBot="1">
      <c r="F25" s="201">
        <v>1</v>
      </c>
      <c r="G25" s="28">
        <v>0</v>
      </c>
      <c r="H25" s="196">
        <v>0</v>
      </c>
      <c r="I25">
        <f t="shared" si="0"/>
        <v>0</v>
      </c>
      <c r="J25">
        <f t="shared" si="1"/>
        <v>0</v>
      </c>
      <c r="K25" s="200">
        <v>125</v>
      </c>
      <c r="N25" t="s">
        <v>210</v>
      </c>
    </row>
    <row r="26" spans="1:28">
      <c r="F26" s="201">
        <v>1</v>
      </c>
      <c r="G26" s="28">
        <v>0</v>
      </c>
      <c r="H26" s="196">
        <v>0</v>
      </c>
      <c r="I26">
        <f t="shared" si="0"/>
        <v>0</v>
      </c>
      <c r="J26">
        <f t="shared" si="1"/>
        <v>0</v>
      </c>
      <c r="K26" s="200">
        <v>117</v>
      </c>
      <c r="N26" s="197" t="s">
        <v>372</v>
      </c>
      <c r="O26" s="197" t="s">
        <v>137</v>
      </c>
      <c r="P26" s="197" t="s">
        <v>26</v>
      </c>
      <c r="Q26" s="197" t="s">
        <v>156</v>
      </c>
      <c r="R26" s="197" t="s">
        <v>63</v>
      </c>
      <c r="S26" s="197" t="s">
        <v>56</v>
      </c>
      <c r="T26" s="197" t="s">
        <v>373</v>
      </c>
      <c r="V26" t="s">
        <v>421</v>
      </c>
      <c r="W26" s="303">
        <f>X14/X16</f>
        <v>0.38090946583775059</v>
      </c>
    </row>
    <row r="27" spans="1:28">
      <c r="F27" s="201">
        <v>1</v>
      </c>
      <c r="G27" s="28">
        <v>0</v>
      </c>
      <c r="H27" s="196">
        <v>0</v>
      </c>
      <c r="I27">
        <f t="shared" si="0"/>
        <v>0</v>
      </c>
      <c r="J27">
        <f t="shared" si="1"/>
        <v>0</v>
      </c>
      <c r="K27" s="200">
        <v>155</v>
      </c>
      <c r="N27" s="16" t="s">
        <v>64</v>
      </c>
      <c r="O27" s="16">
        <v>136.53333333333285</v>
      </c>
      <c r="P27" s="16">
        <v>1</v>
      </c>
      <c r="Q27" s="16">
        <v>136.53333333333285</v>
      </c>
      <c r="R27" s="16">
        <v>0.30318282753515807</v>
      </c>
      <c r="S27" s="16">
        <v>0.58698317897716845</v>
      </c>
      <c r="T27" s="16">
        <v>4.2596772726902348</v>
      </c>
    </row>
    <row r="28" spans="1:28">
      <c r="F28" s="7">
        <v>1</v>
      </c>
      <c r="G28" s="214">
        <v>0</v>
      </c>
      <c r="H28" s="216">
        <v>0</v>
      </c>
      <c r="I28">
        <f t="shared" si="0"/>
        <v>0</v>
      </c>
      <c r="J28">
        <f t="shared" si="1"/>
        <v>0</v>
      </c>
      <c r="K28" s="21">
        <v>158</v>
      </c>
      <c r="N28" s="16" t="s">
        <v>384</v>
      </c>
      <c r="O28" s="16">
        <v>553.26666666666642</v>
      </c>
      <c r="P28" s="16">
        <v>2</v>
      </c>
      <c r="Q28" s="16">
        <v>276.63333333333321</v>
      </c>
      <c r="R28" s="16">
        <v>0.61428571428571399</v>
      </c>
      <c r="S28" s="16">
        <v>0.54931693706660334</v>
      </c>
      <c r="T28" s="16">
        <v>3.4028261053501945</v>
      </c>
      <c r="V28" t="s">
        <v>422</v>
      </c>
    </row>
    <row r="29" spans="1:28">
      <c r="F29" s="209">
        <v>0</v>
      </c>
      <c r="G29" s="213">
        <v>0</v>
      </c>
      <c r="H29" s="215">
        <v>0</v>
      </c>
      <c r="I29" s="209">
        <f t="shared" si="0"/>
        <v>0</v>
      </c>
      <c r="J29" s="208">
        <f t="shared" si="1"/>
        <v>0</v>
      </c>
      <c r="K29" s="199">
        <v>167</v>
      </c>
      <c r="N29" s="16" t="s">
        <v>349</v>
      </c>
      <c r="O29" s="16">
        <v>5960.0666666666657</v>
      </c>
      <c r="P29" s="16">
        <v>2</v>
      </c>
      <c r="Q29" s="16">
        <v>2980.0333333333328</v>
      </c>
      <c r="R29" s="16">
        <v>6.6173945225758688</v>
      </c>
      <c r="S29" s="16">
        <v>5.1421901060349955E-3</v>
      </c>
      <c r="T29" s="16">
        <v>3.4028261053501945</v>
      </c>
    </row>
    <row r="30" spans="1:28">
      <c r="F30" s="201">
        <v>0</v>
      </c>
      <c r="G30" s="28">
        <v>0</v>
      </c>
      <c r="H30" s="196">
        <v>0</v>
      </c>
      <c r="I30" s="201">
        <f t="shared" si="0"/>
        <v>0</v>
      </c>
      <c r="J30" s="6">
        <f t="shared" si="1"/>
        <v>0</v>
      </c>
      <c r="K30" s="200">
        <v>183</v>
      </c>
      <c r="N30" s="16" t="s">
        <v>391</v>
      </c>
      <c r="O30" s="16">
        <v>10808</v>
      </c>
      <c r="P30" s="16">
        <v>24</v>
      </c>
      <c r="Q30" s="16">
        <v>450.33333333333331</v>
      </c>
      <c r="R30" s="16"/>
      <c r="S30" s="16"/>
      <c r="T30" s="16"/>
      <c r="V30" t="s">
        <v>206</v>
      </c>
    </row>
    <row r="31" spans="1:28" ht="15.75" thickBot="1">
      <c r="F31" s="201">
        <v>0</v>
      </c>
      <c r="G31" s="28">
        <v>0</v>
      </c>
      <c r="H31" s="196">
        <v>0</v>
      </c>
      <c r="I31" s="201">
        <f t="shared" si="0"/>
        <v>0</v>
      </c>
      <c r="J31" s="6">
        <f t="shared" si="1"/>
        <v>0</v>
      </c>
      <c r="K31" s="200">
        <v>142</v>
      </c>
      <c r="N31" s="16"/>
      <c r="O31" s="16"/>
      <c r="P31" s="16"/>
      <c r="Q31" s="16"/>
      <c r="R31" s="16"/>
      <c r="S31" s="16"/>
      <c r="T31" s="16"/>
    </row>
    <row r="32" spans="1:28" ht="15.75" thickBot="1">
      <c r="F32" s="201">
        <v>0</v>
      </c>
      <c r="G32" s="28">
        <v>0</v>
      </c>
      <c r="H32" s="196">
        <v>0</v>
      </c>
      <c r="I32" s="201">
        <f t="shared" si="0"/>
        <v>0</v>
      </c>
      <c r="J32" s="6">
        <f t="shared" si="1"/>
        <v>0</v>
      </c>
      <c r="K32" s="200">
        <v>167</v>
      </c>
      <c r="N32" s="17" t="s">
        <v>1</v>
      </c>
      <c r="O32" s="17">
        <v>17457.866666666665</v>
      </c>
      <c r="P32" s="17">
        <v>29</v>
      </c>
      <c r="Q32" s="17"/>
      <c r="R32" s="17"/>
      <c r="S32" s="17"/>
      <c r="T32" s="17"/>
      <c r="V32" s="18" t="s">
        <v>207</v>
      </c>
      <c r="W32" s="18"/>
    </row>
    <row r="33" spans="6:28">
      <c r="F33" s="7">
        <v>0</v>
      </c>
      <c r="G33" s="214">
        <v>0</v>
      </c>
      <c r="H33" s="216">
        <v>0</v>
      </c>
      <c r="I33" s="7">
        <f t="shared" si="0"/>
        <v>0</v>
      </c>
      <c r="J33" s="9">
        <f t="shared" si="1"/>
        <v>0</v>
      </c>
      <c r="K33" s="21">
        <v>168</v>
      </c>
      <c r="V33" s="16" t="s">
        <v>208</v>
      </c>
      <c r="W33" s="16">
        <v>8.8434914543495211E-2</v>
      </c>
    </row>
    <row r="34" spans="6:28">
      <c r="V34" s="16" t="s">
        <v>201</v>
      </c>
      <c r="W34" s="16">
        <v>7.8207341103152996E-3</v>
      </c>
    </row>
    <row r="35" spans="6:28">
      <c r="F35" t="s">
        <v>417</v>
      </c>
      <c r="N35" t="s">
        <v>510</v>
      </c>
      <c r="V35" s="16" t="s">
        <v>209</v>
      </c>
      <c r="W35" s="16">
        <v>-2.7614239671459154E-2</v>
      </c>
    </row>
    <row r="36" spans="6:28">
      <c r="V36" s="16" t="s">
        <v>9</v>
      </c>
      <c r="W36" s="16">
        <v>24.872053546481592</v>
      </c>
    </row>
    <row r="37" spans="6:28" ht="15.75" thickBot="1">
      <c r="F37" s="11" t="s">
        <v>379</v>
      </c>
      <c r="G37" s="11" t="s">
        <v>380</v>
      </c>
      <c r="H37" s="11" t="s">
        <v>411</v>
      </c>
      <c r="I37" s="11" t="s">
        <v>412</v>
      </c>
      <c r="J37" s="11" t="s">
        <v>413</v>
      </c>
      <c r="K37" s="11" t="s">
        <v>5</v>
      </c>
      <c r="N37" t="s">
        <v>420</v>
      </c>
      <c r="O37" s="302">
        <f>O32/P32</f>
        <v>601.99540229885054</v>
      </c>
      <c r="V37" s="17" t="s">
        <v>42</v>
      </c>
      <c r="W37" s="17">
        <v>30</v>
      </c>
    </row>
    <row r="38" spans="6:28">
      <c r="F38" s="217">
        <v>0</v>
      </c>
      <c r="G38" s="218">
        <v>0</v>
      </c>
      <c r="H38" s="218">
        <v>0</v>
      </c>
      <c r="I38" s="219">
        <f t="shared" ref="I38:I43" si="2">F38*G38</f>
        <v>0</v>
      </c>
      <c r="J38" s="220">
        <f t="shared" ref="J38:J43" si="3">F38*H38</f>
        <v>0</v>
      </c>
      <c r="K38" s="222">
        <f t="shared" ref="K38:K43" si="4">AVERAGEIFS($K$4:$K$33,$F$4:$F$33,F38,$G$4:$G$33,G38,$H$4:$H$33,H38)</f>
        <v>165.4</v>
      </c>
      <c r="N38" t="s">
        <v>421</v>
      </c>
      <c r="O38" s="289">
        <f>1-O30/O32</f>
        <v>0.38090946583775021</v>
      </c>
    </row>
    <row r="39" spans="6:28" ht="15.75" thickBot="1">
      <c r="F39" s="210">
        <v>0</v>
      </c>
      <c r="G39" s="5">
        <v>0</v>
      </c>
      <c r="H39" s="5">
        <v>1</v>
      </c>
      <c r="I39" s="4">
        <f t="shared" si="2"/>
        <v>0</v>
      </c>
      <c r="J39" s="6">
        <f t="shared" si="3"/>
        <v>0</v>
      </c>
      <c r="K39" s="200">
        <f t="shared" si="4"/>
        <v>140.19999999999999</v>
      </c>
      <c r="V39" t="s">
        <v>210</v>
      </c>
    </row>
    <row r="40" spans="6:28">
      <c r="F40" s="221">
        <v>0</v>
      </c>
      <c r="G40" s="5">
        <v>1</v>
      </c>
      <c r="H40" s="5">
        <v>0</v>
      </c>
      <c r="I40" s="4">
        <f t="shared" si="2"/>
        <v>0</v>
      </c>
      <c r="J40" s="6">
        <f t="shared" si="3"/>
        <v>0</v>
      </c>
      <c r="K40" s="200">
        <f t="shared" si="4"/>
        <v>159.6</v>
      </c>
      <c r="N40" t="s">
        <v>511</v>
      </c>
      <c r="V40" s="223"/>
      <c r="W40" s="223" t="s">
        <v>26</v>
      </c>
      <c r="X40" s="223" t="s">
        <v>137</v>
      </c>
      <c r="Y40" s="223" t="s">
        <v>156</v>
      </c>
      <c r="Z40" s="223" t="s">
        <v>63</v>
      </c>
      <c r="AA40" s="223" t="s">
        <v>213</v>
      </c>
    </row>
    <row r="41" spans="6:28">
      <c r="F41" s="221">
        <v>1</v>
      </c>
      <c r="G41" s="5">
        <v>0</v>
      </c>
      <c r="H41" s="5">
        <v>0</v>
      </c>
      <c r="I41" s="4">
        <f t="shared" si="2"/>
        <v>0</v>
      </c>
      <c r="J41" s="6">
        <f t="shared" si="3"/>
        <v>0</v>
      </c>
      <c r="K41" s="200">
        <f t="shared" si="4"/>
        <v>141.19999999999999</v>
      </c>
      <c r="V41" s="16" t="s">
        <v>138</v>
      </c>
      <c r="W41" s="16">
        <v>1</v>
      </c>
      <c r="X41" s="16">
        <v>136.53333333333649</v>
      </c>
      <c r="Y41" s="16">
        <v>136.53333333333649</v>
      </c>
      <c r="Z41" s="16">
        <v>0.22070664306058552</v>
      </c>
      <c r="AA41" s="16">
        <v>0.64214034280893406</v>
      </c>
    </row>
    <row r="42" spans="6:28" ht="17.25">
      <c r="F42" s="221">
        <v>1</v>
      </c>
      <c r="G42" s="5">
        <v>0</v>
      </c>
      <c r="H42" s="5">
        <v>1</v>
      </c>
      <c r="I42" s="4">
        <f t="shared" si="2"/>
        <v>0</v>
      </c>
      <c r="J42" s="6">
        <f t="shared" si="3"/>
        <v>1</v>
      </c>
      <c r="K42" s="200">
        <f t="shared" si="4"/>
        <v>175.8</v>
      </c>
      <c r="N42" s="27" t="s">
        <v>512</v>
      </c>
      <c r="O42" s="303">
        <f>(O32-P32*Q30)/(O32+Q30)</f>
        <v>0.24559698908879729</v>
      </c>
      <c r="V42" s="16" t="s">
        <v>211</v>
      </c>
      <c r="W42" s="16">
        <v>28</v>
      </c>
      <c r="X42" s="16">
        <v>17321.333333333332</v>
      </c>
      <c r="Y42" s="16">
        <v>618.61904761904759</v>
      </c>
      <c r="Z42" s="16"/>
      <c r="AA42" s="16"/>
    </row>
    <row r="43" spans="6:28" ht="15.75" thickBot="1">
      <c r="F43" s="211">
        <v>1</v>
      </c>
      <c r="G43" s="8">
        <v>1</v>
      </c>
      <c r="H43" s="8">
        <v>0</v>
      </c>
      <c r="I43" s="7">
        <f t="shared" si="2"/>
        <v>1</v>
      </c>
      <c r="J43" s="9">
        <f t="shared" si="3"/>
        <v>0</v>
      </c>
      <c r="K43" s="146">
        <f t="shared" si="4"/>
        <v>135.4</v>
      </c>
      <c r="V43" s="17" t="s">
        <v>1</v>
      </c>
      <c r="W43" s="17">
        <v>29</v>
      </c>
      <c r="X43" s="17">
        <v>17457.866666666669</v>
      </c>
      <c r="Y43" s="17"/>
      <c r="Z43" s="17"/>
      <c r="AA43" s="17"/>
    </row>
    <row r="44" spans="6:28" ht="15.75" thickBot="1"/>
    <row r="45" spans="6:28">
      <c r="F45" t="s">
        <v>303</v>
      </c>
      <c r="G45" s="302">
        <f>K38</f>
        <v>165.4</v>
      </c>
      <c r="V45" s="223"/>
      <c r="W45" s="223" t="s">
        <v>214</v>
      </c>
      <c r="X45" s="223" t="s">
        <v>9</v>
      </c>
      <c r="Y45" s="223" t="s">
        <v>45</v>
      </c>
      <c r="Z45" s="223" t="s">
        <v>56</v>
      </c>
      <c r="AA45" s="223" t="s">
        <v>215</v>
      </c>
      <c r="AB45" s="223" t="s">
        <v>216</v>
      </c>
    </row>
    <row r="46" spans="6:28">
      <c r="F46" t="s">
        <v>315</v>
      </c>
      <c r="G46" s="293">
        <f>K39-G45</f>
        <v>-25.200000000000017</v>
      </c>
      <c r="V46" s="16" t="s">
        <v>212</v>
      </c>
      <c r="W46" s="16">
        <v>155.06666666666666</v>
      </c>
      <c r="X46" s="16">
        <v>6.4219366114334884</v>
      </c>
      <c r="Y46" s="16">
        <v>24.146402565012718</v>
      </c>
      <c r="Z46" s="16">
        <v>2.7487004367434417E-20</v>
      </c>
      <c r="AA46" s="16">
        <v>141.91192584764997</v>
      </c>
      <c r="AB46" s="16">
        <v>168.22140748568336</v>
      </c>
    </row>
    <row r="47" spans="6:28" ht="15.75" thickBot="1">
      <c r="F47" t="s">
        <v>302</v>
      </c>
      <c r="G47" s="293">
        <f>K40-K38</f>
        <v>-5.8000000000000114</v>
      </c>
      <c r="V47" s="17" t="s">
        <v>379</v>
      </c>
      <c r="W47" s="17">
        <v>-4.2666666666666675</v>
      </c>
      <c r="X47" s="17">
        <v>9.0819898525895564</v>
      </c>
      <c r="Y47" s="17">
        <v>-0.46979425609577274</v>
      </c>
      <c r="Z47" s="17">
        <v>0.64214034280893784</v>
      </c>
      <c r="AA47" s="17">
        <v>-22.870279542423056</v>
      </c>
      <c r="AB47" s="17">
        <v>14.336946209089719</v>
      </c>
    </row>
    <row r="48" spans="6:28">
      <c r="F48" t="s">
        <v>301</v>
      </c>
      <c r="G48" s="293">
        <f>K41-K38</f>
        <v>-24.200000000000017</v>
      </c>
    </row>
    <row r="49" spans="6:27">
      <c r="F49" t="s">
        <v>418</v>
      </c>
      <c r="G49" s="293">
        <f>K42-G44-G45-G48-G46</f>
        <v>59.80000000000004</v>
      </c>
      <c r="V49" t="s">
        <v>423</v>
      </c>
    </row>
    <row r="50" spans="6:27">
      <c r="F50" t="s">
        <v>419</v>
      </c>
      <c r="G50" s="289">
        <f>K43-G45-G48-G47</f>
        <v>2.8421709430404007E-14</v>
      </c>
    </row>
    <row r="51" spans="6:27">
      <c r="V51" t="s">
        <v>206</v>
      </c>
    </row>
    <row r="52" spans="6:27" ht="15.75" thickBot="1"/>
    <row r="53" spans="6:27">
      <c r="V53" s="18" t="s">
        <v>207</v>
      </c>
      <c r="W53" s="18"/>
    </row>
    <row r="54" spans="6:27">
      <c r="V54" s="16" t="s">
        <v>208</v>
      </c>
      <c r="W54" s="16">
        <v>0.17802117640545412</v>
      </c>
    </row>
    <row r="55" spans="6:27">
      <c r="V55" s="16" t="s">
        <v>201</v>
      </c>
      <c r="W55" s="16">
        <v>3.1691539248781812E-2</v>
      </c>
    </row>
    <row r="56" spans="6:27">
      <c r="V56" s="16" t="s">
        <v>209</v>
      </c>
      <c r="W56" s="16">
        <v>-4.0035013399456566E-2</v>
      </c>
    </row>
    <row r="57" spans="6:27">
      <c r="V57" s="16" t="s">
        <v>9</v>
      </c>
      <c r="W57" s="16">
        <v>25.021916319424786</v>
      </c>
    </row>
    <row r="58" spans="6:27" ht="15.75" thickBot="1">
      <c r="V58" s="17" t="s">
        <v>42</v>
      </c>
      <c r="W58" s="17">
        <v>30</v>
      </c>
    </row>
    <row r="60" spans="6:27" ht="15.75" thickBot="1">
      <c r="V60" t="s">
        <v>210</v>
      </c>
    </row>
    <row r="61" spans="6:27">
      <c r="V61" s="223"/>
      <c r="W61" s="223" t="s">
        <v>26</v>
      </c>
      <c r="X61" s="223" t="s">
        <v>137</v>
      </c>
      <c r="Y61" s="223" t="s">
        <v>156</v>
      </c>
      <c r="Z61" s="223" t="s">
        <v>63</v>
      </c>
      <c r="AA61" s="223" t="s">
        <v>213</v>
      </c>
    </row>
    <row r="62" spans="6:27">
      <c r="V62" s="16" t="s">
        <v>138</v>
      </c>
      <c r="W62" s="16">
        <v>2</v>
      </c>
      <c r="X62" s="16">
        <v>553.26666666666642</v>
      </c>
      <c r="Y62" s="16">
        <v>276.63333333333321</v>
      </c>
      <c r="Z62" s="16">
        <v>0.44183831619795771</v>
      </c>
      <c r="AA62" s="16">
        <v>0.64741880368758675</v>
      </c>
    </row>
    <row r="63" spans="6:27">
      <c r="V63" s="16" t="s">
        <v>211</v>
      </c>
      <c r="W63" s="16">
        <v>27</v>
      </c>
      <c r="X63" s="16">
        <v>16904.600000000002</v>
      </c>
      <c r="Y63" s="16">
        <v>626.09629629629637</v>
      </c>
      <c r="Z63" s="16"/>
      <c r="AA63" s="16"/>
    </row>
    <row r="64" spans="6:27" ht="15.75" thickBot="1">
      <c r="V64" s="17" t="s">
        <v>1</v>
      </c>
      <c r="W64" s="17">
        <v>29</v>
      </c>
      <c r="X64" s="17">
        <v>17457.866666666669</v>
      </c>
      <c r="Y64" s="17"/>
      <c r="Z64" s="17"/>
      <c r="AA64" s="17"/>
    </row>
    <row r="65" spans="22:28" ht="15.75" thickBot="1"/>
    <row r="66" spans="22:28">
      <c r="V66" s="223"/>
      <c r="W66" s="223" t="s">
        <v>214</v>
      </c>
      <c r="X66" s="223" t="s">
        <v>9</v>
      </c>
      <c r="Y66" s="223" t="s">
        <v>45</v>
      </c>
      <c r="Z66" s="223" t="s">
        <v>56</v>
      </c>
      <c r="AA66" s="223" t="s">
        <v>215</v>
      </c>
      <c r="AB66" s="223" t="s">
        <v>216</v>
      </c>
    </row>
    <row r="67" spans="22:28">
      <c r="V67" s="16" t="s">
        <v>212</v>
      </c>
      <c r="W67" s="16">
        <v>153.30000000000001</v>
      </c>
      <c r="X67" s="16">
        <v>7.9126246991519587</v>
      </c>
      <c r="Y67" s="16">
        <v>19.374102251611916</v>
      </c>
      <c r="Z67" s="16">
        <v>2.2773089840122635E-17</v>
      </c>
      <c r="AA67" s="16">
        <v>137.06463517682437</v>
      </c>
      <c r="AB67" s="16">
        <v>169.53536482317566</v>
      </c>
    </row>
    <row r="68" spans="22:28">
      <c r="V68" s="16" t="s">
        <v>380</v>
      </c>
      <c r="W68" s="16">
        <v>-5.8000000000000025</v>
      </c>
      <c r="X68" s="16">
        <v>11.190141163509033</v>
      </c>
      <c r="Y68" s="16">
        <v>-0.51831338990733733</v>
      </c>
      <c r="Z68" s="16">
        <v>0.60846147622121627</v>
      </c>
      <c r="AA68" s="16">
        <v>-28.760273123010052</v>
      </c>
      <c r="AB68" s="16">
        <v>17.160273123010043</v>
      </c>
    </row>
    <row r="69" spans="22:28" ht="15.75" thickBot="1">
      <c r="V69" s="17" t="s">
        <v>411</v>
      </c>
      <c r="W69" s="17">
        <v>4.6999999999999984</v>
      </c>
      <c r="X69" s="17">
        <v>11.190141163509031</v>
      </c>
      <c r="Y69" s="17">
        <v>0.42001257458008345</v>
      </c>
      <c r="Z69" s="17">
        <v>0.67779993734881439</v>
      </c>
      <c r="AA69" s="17">
        <v>-18.260273123010045</v>
      </c>
      <c r="AB69" s="17">
        <v>27.660273123010043</v>
      </c>
    </row>
  </sheetData>
  <mergeCells count="1">
    <mergeCell ref="B3:D3"/>
  </mergeCells>
  <pageMargins left="0.7" right="0.7" top="0.75" bottom="0.75" header="0.3" footer="0.3"/>
  <pageSetup paperSize="9" orientation="portrait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122"/>
  <dimension ref="A1:AA119"/>
  <sheetViews>
    <sheetView zoomScaleNormal="100" workbookViewId="0"/>
  </sheetViews>
  <sheetFormatPr defaultRowHeight="15"/>
  <cols>
    <col min="6" max="11" width="7.42578125" customWidth="1"/>
    <col min="13" max="13" width="18" customWidth="1"/>
    <col min="14" max="14" width="11.5703125" customWidth="1"/>
    <col min="15" max="15" width="14.140625" customWidth="1"/>
    <col min="16" max="17" width="11.5703125" customWidth="1"/>
    <col min="18" max="18" width="12.28515625" customWidth="1"/>
    <col min="19" max="19" width="11.5703125" customWidth="1"/>
    <col min="21" max="21" width="19.5703125" customWidth="1"/>
  </cols>
  <sheetData>
    <row r="1" spans="1:25">
      <c r="A1" s="1" t="s">
        <v>410</v>
      </c>
    </row>
    <row r="2" spans="1:25">
      <c r="M2" t="s">
        <v>206</v>
      </c>
    </row>
    <row r="3" spans="1:25" ht="15.75" thickBot="1">
      <c r="A3" s="9"/>
      <c r="B3" s="745" t="s">
        <v>392</v>
      </c>
      <c r="C3" s="746"/>
      <c r="D3" s="747"/>
      <c r="F3" s="11" t="s">
        <v>379</v>
      </c>
      <c r="G3" s="11" t="s">
        <v>380</v>
      </c>
      <c r="H3" s="11" t="s">
        <v>411</v>
      </c>
      <c r="I3" s="23" t="s">
        <v>412</v>
      </c>
      <c r="J3" s="23" t="s">
        <v>413</v>
      </c>
      <c r="K3" s="23" t="s">
        <v>65</v>
      </c>
      <c r="U3" t="s">
        <v>390</v>
      </c>
    </row>
    <row r="4" spans="1:25">
      <c r="A4" s="205" t="s">
        <v>393</v>
      </c>
      <c r="B4" s="198" t="s">
        <v>385</v>
      </c>
      <c r="C4" s="198" t="s">
        <v>386</v>
      </c>
      <c r="D4" s="198" t="s">
        <v>389</v>
      </c>
      <c r="F4" s="209">
        <v>1</v>
      </c>
      <c r="G4" s="207">
        <v>1</v>
      </c>
      <c r="H4" s="208">
        <v>0</v>
      </c>
      <c r="I4" s="209">
        <f>F4*G4</f>
        <v>1</v>
      </c>
      <c r="J4" s="208">
        <f>F4*H4</f>
        <v>0</v>
      </c>
      <c r="K4" s="199">
        <v>128</v>
      </c>
      <c r="M4" s="18" t="s">
        <v>207</v>
      </c>
      <c r="N4" s="18"/>
    </row>
    <row r="5" spans="1:25">
      <c r="A5" s="212" t="s">
        <v>387</v>
      </c>
      <c r="B5" s="199">
        <v>128</v>
      </c>
      <c r="C5" s="199">
        <v>166</v>
      </c>
      <c r="D5" s="199">
        <v>151</v>
      </c>
      <c r="F5" s="201">
        <v>1</v>
      </c>
      <c r="G5" s="5">
        <v>1</v>
      </c>
      <c r="H5" s="6">
        <v>0</v>
      </c>
      <c r="I5">
        <f>F5*G5</f>
        <v>1</v>
      </c>
      <c r="J5">
        <f>F5*H5</f>
        <v>0</v>
      </c>
      <c r="K5" s="200">
        <v>150</v>
      </c>
      <c r="M5" s="16" t="s">
        <v>208</v>
      </c>
      <c r="N5" s="16">
        <v>0.56029164944145027</v>
      </c>
      <c r="U5" t="s">
        <v>28</v>
      </c>
      <c r="V5" t="s">
        <v>385</v>
      </c>
      <c r="W5" t="s">
        <v>386</v>
      </c>
      <c r="X5" t="s">
        <v>389</v>
      </c>
      <c r="Y5" t="s">
        <v>1</v>
      </c>
    </row>
    <row r="6" spans="1:25" ht="15.75" thickBot="1">
      <c r="A6" s="200"/>
      <c r="B6" s="200">
        <v>150</v>
      </c>
      <c r="C6" s="200">
        <v>178</v>
      </c>
      <c r="D6" s="200">
        <v>125</v>
      </c>
      <c r="F6" s="201">
        <v>1</v>
      </c>
      <c r="G6" s="5">
        <v>1</v>
      </c>
      <c r="H6" s="6">
        <v>0</v>
      </c>
      <c r="I6">
        <f>F6*G6</f>
        <v>1</v>
      </c>
      <c r="J6">
        <f>F6*H6</f>
        <v>0</v>
      </c>
      <c r="K6" s="200">
        <v>174</v>
      </c>
      <c r="M6" s="16" t="s">
        <v>201</v>
      </c>
      <c r="N6" s="16">
        <v>0.31392673243382097</v>
      </c>
      <c r="U6" s="202" t="s">
        <v>387</v>
      </c>
      <c r="V6" s="202"/>
      <c r="W6" s="202"/>
      <c r="X6" s="202"/>
      <c r="Y6" s="202"/>
    </row>
    <row r="7" spans="1:25">
      <c r="A7" s="200"/>
      <c r="B7" s="200">
        <v>174</v>
      </c>
      <c r="C7" s="200">
        <v>187</v>
      </c>
      <c r="D7" s="200">
        <v>117</v>
      </c>
      <c r="F7" s="201">
        <v>1</v>
      </c>
      <c r="G7" s="5">
        <v>1</v>
      </c>
      <c r="H7" s="6">
        <v>0</v>
      </c>
      <c r="I7">
        <f>F7*G7</f>
        <v>1</v>
      </c>
      <c r="J7">
        <f>F7*H7</f>
        <v>0</v>
      </c>
      <c r="K7" s="200">
        <v>116</v>
      </c>
      <c r="M7" s="16" t="s">
        <v>209</v>
      </c>
      <c r="N7" s="16">
        <v>0.15057595444187358</v>
      </c>
      <c r="U7" s="16" t="s">
        <v>11</v>
      </c>
      <c r="V7" s="16">
        <v>5</v>
      </c>
      <c r="W7" s="16">
        <v>5</v>
      </c>
      <c r="X7" s="16">
        <v>5</v>
      </c>
      <c r="Y7" s="16">
        <v>15</v>
      </c>
    </row>
    <row r="8" spans="1:25">
      <c r="A8" s="200"/>
      <c r="B8" s="200">
        <v>116</v>
      </c>
      <c r="C8" s="200">
        <v>153</v>
      </c>
      <c r="D8" s="200">
        <v>155</v>
      </c>
      <c r="F8" s="7">
        <v>1</v>
      </c>
      <c r="G8" s="8">
        <v>1</v>
      </c>
      <c r="H8" s="9">
        <v>0</v>
      </c>
      <c r="I8">
        <f>F8*G8</f>
        <v>1</v>
      </c>
      <c r="J8">
        <f>F8*H8</f>
        <v>0</v>
      </c>
      <c r="K8" s="21">
        <v>109</v>
      </c>
      <c r="M8" s="16" t="s">
        <v>9</v>
      </c>
      <c r="N8" s="16">
        <v>21.916182323092858</v>
      </c>
      <c r="U8" s="16" t="s">
        <v>10</v>
      </c>
      <c r="V8" s="16">
        <v>677</v>
      </c>
      <c r="W8" s="16">
        <v>879</v>
      </c>
      <c r="X8" s="16">
        <v>706</v>
      </c>
      <c r="Y8" s="16">
        <v>2262</v>
      </c>
    </row>
    <row r="9" spans="1:25" ht="15.75" thickBot="1">
      <c r="A9" s="200"/>
      <c r="B9" s="21">
        <v>109</v>
      </c>
      <c r="C9" s="21"/>
      <c r="D9" s="21">
        <v>158</v>
      </c>
      <c r="F9" s="209">
        <v>-1</v>
      </c>
      <c r="G9" s="207">
        <v>1</v>
      </c>
      <c r="H9" s="208">
        <v>0</v>
      </c>
      <c r="I9" s="209">
        <f t="shared" ref="I9:I30" si="0">F9*G9</f>
        <v>-1</v>
      </c>
      <c r="J9" s="208">
        <f t="shared" ref="J9:J30" si="1">F9*H9</f>
        <v>0</v>
      </c>
      <c r="K9" s="199">
        <v>175</v>
      </c>
      <c r="M9" s="17" t="s">
        <v>42</v>
      </c>
      <c r="N9" s="17">
        <v>27</v>
      </c>
      <c r="U9" s="16" t="s">
        <v>371</v>
      </c>
      <c r="V9" s="16">
        <v>135.4</v>
      </c>
      <c r="W9" s="16">
        <v>175.8</v>
      </c>
      <c r="X9" s="16">
        <v>141.19999999999999</v>
      </c>
      <c r="Y9" s="16">
        <v>150.80000000000001</v>
      </c>
    </row>
    <row r="10" spans="1:25">
      <c r="A10" s="212" t="s">
        <v>388</v>
      </c>
      <c r="B10" s="199">
        <v>175</v>
      </c>
      <c r="C10" s="199">
        <v>140</v>
      </c>
      <c r="D10" s="199">
        <v>167</v>
      </c>
      <c r="F10" s="201">
        <v>-1</v>
      </c>
      <c r="G10" s="5">
        <v>1</v>
      </c>
      <c r="H10" s="6">
        <v>0</v>
      </c>
      <c r="I10">
        <f t="shared" si="0"/>
        <v>-1</v>
      </c>
      <c r="J10">
        <f t="shared" si="1"/>
        <v>0</v>
      </c>
      <c r="K10" s="200">
        <v>132</v>
      </c>
      <c r="U10" s="16" t="s">
        <v>41</v>
      </c>
      <c r="V10" s="16">
        <v>707.79999999999927</v>
      </c>
      <c r="W10" s="16">
        <v>278.7</v>
      </c>
      <c r="X10" s="16">
        <v>354.20000000000073</v>
      </c>
      <c r="Y10" s="16">
        <v>723.88571428571595</v>
      </c>
    </row>
    <row r="11" spans="1:25" ht="15.75" thickBot="1">
      <c r="A11" s="200"/>
      <c r="B11" s="200">
        <v>132</v>
      </c>
      <c r="C11" s="200">
        <v>145</v>
      </c>
      <c r="D11" s="200">
        <v>183</v>
      </c>
      <c r="F11" s="201">
        <v>-1</v>
      </c>
      <c r="G11" s="5">
        <v>1</v>
      </c>
      <c r="H11" s="6">
        <v>0</v>
      </c>
      <c r="I11">
        <f t="shared" si="0"/>
        <v>-1</v>
      </c>
      <c r="J11">
        <f t="shared" si="1"/>
        <v>0</v>
      </c>
      <c r="K11" s="200">
        <v>120</v>
      </c>
      <c r="M11" t="s">
        <v>210</v>
      </c>
      <c r="U11" s="16"/>
      <c r="V11" s="16"/>
      <c r="W11" s="16"/>
      <c r="X11" s="16"/>
      <c r="Y11" s="16"/>
    </row>
    <row r="12" spans="1:25" ht="15.75" thickBot="1">
      <c r="A12" s="200"/>
      <c r="B12" s="200">
        <v>120</v>
      </c>
      <c r="C12" s="200">
        <v>159</v>
      </c>
      <c r="D12" s="200">
        <v>142</v>
      </c>
      <c r="F12" s="201">
        <v>-1</v>
      </c>
      <c r="G12" s="5">
        <v>1</v>
      </c>
      <c r="H12" s="6">
        <v>0</v>
      </c>
      <c r="I12">
        <f t="shared" si="0"/>
        <v>-1</v>
      </c>
      <c r="J12">
        <f t="shared" si="1"/>
        <v>0</v>
      </c>
      <c r="K12" s="200">
        <v>187</v>
      </c>
      <c r="M12" s="223"/>
      <c r="N12" s="223" t="s">
        <v>26</v>
      </c>
      <c r="O12" s="223" t="s">
        <v>137</v>
      </c>
      <c r="P12" s="223" t="s">
        <v>156</v>
      </c>
      <c r="Q12" s="223" t="s">
        <v>63</v>
      </c>
      <c r="R12" s="223" t="s">
        <v>213</v>
      </c>
      <c r="U12" s="202" t="s">
        <v>388</v>
      </c>
      <c r="V12" s="202"/>
      <c r="W12" s="202"/>
      <c r="X12" s="202"/>
      <c r="Y12" s="202"/>
    </row>
    <row r="13" spans="1:25">
      <c r="A13" s="200"/>
      <c r="B13" s="200">
        <v>187</v>
      </c>
      <c r="C13" s="200">
        <v>131</v>
      </c>
      <c r="D13" s="200">
        <v>167</v>
      </c>
      <c r="F13" s="7">
        <v>-1</v>
      </c>
      <c r="G13" s="8">
        <v>1</v>
      </c>
      <c r="H13" s="9">
        <v>0</v>
      </c>
      <c r="I13">
        <f t="shared" si="0"/>
        <v>-1</v>
      </c>
      <c r="J13">
        <f t="shared" si="1"/>
        <v>0</v>
      </c>
      <c r="K13" s="21">
        <v>184</v>
      </c>
      <c r="M13" s="16" t="s">
        <v>138</v>
      </c>
      <c r="N13" s="16">
        <v>5</v>
      </c>
      <c r="O13" s="16">
        <v>4615.3740740740668</v>
      </c>
      <c r="P13" s="16">
        <v>923.07481481481341</v>
      </c>
      <c r="Q13" s="16">
        <v>1.9217951471850134</v>
      </c>
      <c r="R13" s="16">
        <v>0.13335730785056746</v>
      </c>
      <c r="U13" s="16" t="s">
        <v>11</v>
      </c>
      <c r="V13" s="16">
        <v>5</v>
      </c>
      <c r="W13" s="16">
        <v>5</v>
      </c>
      <c r="X13" s="16">
        <v>5</v>
      </c>
      <c r="Y13" s="16">
        <v>15</v>
      </c>
    </row>
    <row r="14" spans="1:25">
      <c r="A14" s="146"/>
      <c r="B14" s="21">
        <v>184</v>
      </c>
      <c r="C14" s="21"/>
      <c r="D14" s="21"/>
      <c r="F14" s="209">
        <v>1</v>
      </c>
      <c r="G14" s="213">
        <v>0</v>
      </c>
      <c r="H14" s="208">
        <v>1</v>
      </c>
      <c r="I14" s="209">
        <f t="shared" si="0"/>
        <v>0</v>
      </c>
      <c r="J14" s="208">
        <f t="shared" si="1"/>
        <v>1</v>
      </c>
      <c r="K14" s="199">
        <v>166</v>
      </c>
      <c r="M14" s="16" t="s">
        <v>211</v>
      </c>
      <c r="N14" s="16">
        <v>21</v>
      </c>
      <c r="O14" s="16">
        <v>10086.700000000004</v>
      </c>
      <c r="P14" s="16">
        <v>480.31904761904781</v>
      </c>
      <c r="Q14" s="16"/>
      <c r="R14" s="16"/>
      <c r="U14" s="16" t="s">
        <v>10</v>
      </c>
      <c r="V14" s="16">
        <v>798</v>
      </c>
      <c r="W14" s="16">
        <v>701</v>
      </c>
      <c r="X14" s="16">
        <v>827</v>
      </c>
      <c r="Y14" s="16">
        <v>2326</v>
      </c>
    </row>
    <row r="15" spans="1:25" ht="15.75" thickBot="1">
      <c r="F15" s="201">
        <v>1</v>
      </c>
      <c r="G15" s="28">
        <v>0</v>
      </c>
      <c r="H15" s="6">
        <v>1</v>
      </c>
      <c r="I15">
        <f t="shared" si="0"/>
        <v>0</v>
      </c>
      <c r="J15">
        <f t="shared" si="1"/>
        <v>1</v>
      </c>
      <c r="K15" s="200">
        <v>178</v>
      </c>
      <c r="M15" s="17" t="s">
        <v>1</v>
      </c>
      <c r="N15" s="17">
        <v>26</v>
      </c>
      <c r="O15" s="17">
        <v>14702.074074074071</v>
      </c>
      <c r="P15" s="17"/>
      <c r="Q15" s="17"/>
      <c r="R15" s="17"/>
      <c r="U15" s="16" t="s">
        <v>371</v>
      </c>
      <c r="V15" s="16">
        <v>159.6</v>
      </c>
      <c r="W15" s="16">
        <v>140.19999999999999</v>
      </c>
      <c r="X15" s="16">
        <v>165.4</v>
      </c>
      <c r="Y15" s="16">
        <v>155.06666666666666</v>
      </c>
    </row>
    <row r="16" spans="1:25" ht="15.75" thickBot="1">
      <c r="A16" t="s">
        <v>424</v>
      </c>
      <c r="F16" s="201">
        <v>1</v>
      </c>
      <c r="G16" s="28">
        <v>0</v>
      </c>
      <c r="H16" s="6">
        <v>1</v>
      </c>
      <c r="I16">
        <f t="shared" si="0"/>
        <v>0</v>
      </c>
      <c r="J16">
        <f t="shared" si="1"/>
        <v>1</v>
      </c>
      <c r="K16" s="200">
        <v>187</v>
      </c>
      <c r="U16" s="16" t="s">
        <v>41</v>
      </c>
      <c r="V16" s="16">
        <v>978.29999999999927</v>
      </c>
      <c r="W16" s="16">
        <v>165.7</v>
      </c>
      <c r="X16" s="16">
        <v>217.3</v>
      </c>
      <c r="Y16" s="16">
        <v>513.35238095238208</v>
      </c>
    </row>
    <row r="17" spans="1:27">
      <c r="A17" t="s">
        <v>425</v>
      </c>
      <c r="F17" s="201">
        <v>1</v>
      </c>
      <c r="G17" s="28">
        <v>0</v>
      </c>
      <c r="H17" s="6">
        <v>1</v>
      </c>
      <c r="I17">
        <f t="shared" si="0"/>
        <v>0</v>
      </c>
      <c r="J17">
        <f t="shared" si="1"/>
        <v>1</v>
      </c>
      <c r="K17" s="200">
        <v>153</v>
      </c>
      <c r="M17" s="223"/>
      <c r="N17" s="223" t="s">
        <v>214</v>
      </c>
      <c r="O17" s="223" t="s">
        <v>9</v>
      </c>
      <c r="P17" s="223" t="s">
        <v>45</v>
      </c>
      <c r="Q17" s="223" t="s">
        <v>56</v>
      </c>
      <c r="R17" s="223" t="s">
        <v>215</v>
      </c>
      <c r="S17" s="223" t="s">
        <v>216</v>
      </c>
      <c r="U17" s="16"/>
      <c r="V17" s="16"/>
      <c r="W17" s="16"/>
      <c r="X17" s="16"/>
      <c r="Y17" s="16"/>
    </row>
    <row r="18" spans="1:27" ht="15.75" thickBot="1">
      <c r="A18" t="s">
        <v>426</v>
      </c>
      <c r="F18" s="209">
        <v>-1</v>
      </c>
      <c r="G18" s="213">
        <v>0</v>
      </c>
      <c r="H18" s="208">
        <v>1</v>
      </c>
      <c r="I18" s="209">
        <f t="shared" si="0"/>
        <v>0</v>
      </c>
      <c r="J18" s="208">
        <f t="shared" si="1"/>
        <v>-1</v>
      </c>
      <c r="K18" s="199">
        <v>140</v>
      </c>
      <c r="M18" s="16" t="s">
        <v>212</v>
      </c>
      <c r="N18" s="16">
        <v>152.61666666666667</v>
      </c>
      <c r="O18" s="16">
        <v>4.2440504574892008</v>
      </c>
      <c r="P18" s="16">
        <v>35.960144252609894</v>
      </c>
      <c r="Q18" s="16">
        <v>2.3792900077186923E-20</v>
      </c>
      <c r="R18" s="16">
        <v>143.7906805775493</v>
      </c>
      <c r="S18" s="16">
        <v>161.44265275578405</v>
      </c>
      <c r="U18" s="202" t="s">
        <v>1</v>
      </c>
      <c r="V18" s="202"/>
      <c r="W18" s="202"/>
      <c r="X18" s="202"/>
    </row>
    <row r="19" spans="1:27">
      <c r="F19" s="201">
        <v>-1</v>
      </c>
      <c r="G19" s="28">
        <v>0</v>
      </c>
      <c r="H19" s="6">
        <v>1</v>
      </c>
      <c r="I19">
        <f t="shared" si="0"/>
        <v>0</v>
      </c>
      <c r="J19">
        <f t="shared" si="1"/>
        <v>-1</v>
      </c>
      <c r="K19" s="200">
        <v>145</v>
      </c>
      <c r="M19" s="16" t="s">
        <v>379</v>
      </c>
      <c r="N19" s="16">
        <v>-3.4166666666666652</v>
      </c>
      <c r="O19" s="16">
        <v>4.2440504574892017</v>
      </c>
      <c r="P19" s="16">
        <v>-0.80504854993830111</v>
      </c>
      <c r="Q19" s="16">
        <v>0.42981280716326731</v>
      </c>
      <c r="R19" s="16">
        <v>-12.242652755784054</v>
      </c>
      <c r="S19" s="16">
        <v>5.4093194224507224</v>
      </c>
      <c r="U19" s="16" t="s">
        <v>11</v>
      </c>
      <c r="V19" s="16">
        <v>10</v>
      </c>
      <c r="W19" s="16">
        <v>10</v>
      </c>
      <c r="X19" s="16">
        <v>10</v>
      </c>
    </row>
    <row r="20" spans="1:27">
      <c r="F20" s="201">
        <v>-1</v>
      </c>
      <c r="G20" s="28">
        <v>0</v>
      </c>
      <c r="H20" s="6">
        <v>1</v>
      </c>
      <c r="I20">
        <f t="shared" si="0"/>
        <v>0</v>
      </c>
      <c r="J20">
        <f t="shared" si="1"/>
        <v>-1</v>
      </c>
      <c r="K20" s="200">
        <v>159</v>
      </c>
      <c r="M20" s="16" t="s">
        <v>380</v>
      </c>
      <c r="N20" s="16">
        <v>-5.1166666666666645</v>
      </c>
      <c r="O20" s="16">
        <v>5.8328894388929777</v>
      </c>
      <c r="P20" s="16">
        <v>-0.87720960945177029</v>
      </c>
      <c r="Q20" s="16">
        <v>0.39029810809252885</v>
      </c>
      <c r="R20" s="16">
        <v>-17.246824298554369</v>
      </c>
      <c r="S20" s="16">
        <v>7.0134909652210409</v>
      </c>
      <c r="U20" s="16" t="s">
        <v>10</v>
      </c>
      <c r="V20" s="16">
        <v>1475</v>
      </c>
      <c r="W20" s="16">
        <v>1580</v>
      </c>
      <c r="X20" s="16">
        <v>1533</v>
      </c>
    </row>
    <row r="21" spans="1:27">
      <c r="F21" s="201">
        <v>-1</v>
      </c>
      <c r="G21" s="28">
        <v>0</v>
      </c>
      <c r="H21" s="6">
        <v>1</v>
      </c>
      <c r="I21">
        <f t="shared" si="0"/>
        <v>0</v>
      </c>
      <c r="J21">
        <f t="shared" si="1"/>
        <v>-1</v>
      </c>
      <c r="K21" s="200">
        <v>131</v>
      </c>
      <c r="M21" s="16" t="s">
        <v>411</v>
      </c>
      <c r="N21" s="16">
        <v>4.7583333333333293</v>
      </c>
      <c r="O21" s="16">
        <v>6.1664623518276622</v>
      </c>
      <c r="P21" s="16">
        <v>0.7716471879412381</v>
      </c>
      <c r="Q21" s="16">
        <v>0.44892011727768966</v>
      </c>
      <c r="R21" s="16">
        <v>-8.0655271465194875</v>
      </c>
      <c r="S21" s="16">
        <v>17.582193813186144</v>
      </c>
      <c r="U21" s="16" t="s">
        <v>371</v>
      </c>
      <c r="V21" s="16">
        <v>147.5</v>
      </c>
      <c r="W21" s="16">
        <v>158</v>
      </c>
      <c r="X21" s="16">
        <v>153.30000000000001</v>
      </c>
    </row>
    <row r="22" spans="1:27">
      <c r="F22" s="209">
        <v>1</v>
      </c>
      <c r="G22" s="213">
        <v>-1</v>
      </c>
      <c r="H22" s="215">
        <v>-1</v>
      </c>
      <c r="I22" s="209">
        <f t="shared" si="0"/>
        <v>-1</v>
      </c>
      <c r="J22" s="208">
        <f t="shared" si="1"/>
        <v>-1</v>
      </c>
      <c r="K22" s="199">
        <v>151</v>
      </c>
      <c r="M22" s="16" t="s">
        <v>412</v>
      </c>
      <c r="N22" s="16">
        <v>-8.6833333333333318</v>
      </c>
      <c r="O22" s="16">
        <v>5.832889438892976</v>
      </c>
      <c r="P22" s="16">
        <v>-1.4886847118057738</v>
      </c>
      <c r="Q22" s="16">
        <v>0.15143508092319719</v>
      </c>
      <c r="R22" s="16">
        <v>-20.813490965221035</v>
      </c>
      <c r="S22" s="16">
        <v>3.44682429855437</v>
      </c>
      <c r="U22" s="16" t="s">
        <v>41</v>
      </c>
      <c r="V22" s="16">
        <v>912.05555555555554</v>
      </c>
      <c r="W22" s="16">
        <v>549.55555555555554</v>
      </c>
      <c r="X22" s="16">
        <v>416.67777777777843</v>
      </c>
    </row>
    <row r="23" spans="1:27" ht="15.75" thickBot="1">
      <c r="F23" s="201">
        <v>1</v>
      </c>
      <c r="G23" s="28">
        <v>-1</v>
      </c>
      <c r="H23" s="196">
        <v>-1</v>
      </c>
      <c r="I23">
        <f t="shared" si="0"/>
        <v>-1</v>
      </c>
      <c r="J23">
        <f t="shared" si="1"/>
        <v>-1</v>
      </c>
      <c r="K23" s="200">
        <v>125</v>
      </c>
      <c r="M23" s="17" t="s">
        <v>413</v>
      </c>
      <c r="N23" s="17">
        <v>17.041666666666668</v>
      </c>
      <c r="O23" s="17">
        <v>6.1664623518276622</v>
      </c>
      <c r="P23" s="17">
        <v>2.7636050776529482</v>
      </c>
      <c r="Q23" s="17">
        <v>1.1640056661955401E-2</v>
      </c>
      <c r="R23" s="17">
        <v>4.217806186813851</v>
      </c>
      <c r="S23" s="17">
        <v>29.865527146519483</v>
      </c>
      <c r="U23" s="16"/>
      <c r="V23" s="16"/>
      <c r="W23" s="16"/>
      <c r="X23" s="16"/>
    </row>
    <row r="24" spans="1:27">
      <c r="F24" s="201">
        <v>1</v>
      </c>
      <c r="G24" s="28">
        <v>-1</v>
      </c>
      <c r="H24" s="196">
        <v>-1</v>
      </c>
      <c r="I24">
        <f t="shared" si="0"/>
        <v>-1</v>
      </c>
      <c r="J24">
        <f t="shared" si="1"/>
        <v>-1</v>
      </c>
      <c r="K24" s="200">
        <v>117</v>
      </c>
    </row>
    <row r="25" spans="1:27" ht="15.75" thickBot="1">
      <c r="F25" s="201">
        <v>1</v>
      </c>
      <c r="G25" s="28">
        <v>-1</v>
      </c>
      <c r="H25" s="196">
        <v>-1</v>
      </c>
      <c r="I25">
        <f t="shared" si="0"/>
        <v>-1</v>
      </c>
      <c r="J25">
        <f t="shared" si="1"/>
        <v>-1</v>
      </c>
      <c r="K25" s="200">
        <v>155</v>
      </c>
      <c r="M25" s="27" t="s">
        <v>429</v>
      </c>
      <c r="U25" t="s">
        <v>210</v>
      </c>
    </row>
    <row r="26" spans="1:27">
      <c r="F26" s="7">
        <v>1</v>
      </c>
      <c r="G26" s="214">
        <v>-1</v>
      </c>
      <c r="H26" s="216">
        <v>-1</v>
      </c>
      <c r="I26">
        <f t="shared" si="0"/>
        <v>-1</v>
      </c>
      <c r="J26">
        <f t="shared" si="1"/>
        <v>-1</v>
      </c>
      <c r="K26" s="21">
        <v>158</v>
      </c>
      <c r="U26" s="223" t="s">
        <v>372</v>
      </c>
      <c r="V26" s="223" t="s">
        <v>137</v>
      </c>
      <c r="W26" s="223" t="s">
        <v>26</v>
      </c>
      <c r="X26" s="223" t="s">
        <v>156</v>
      </c>
      <c r="Y26" s="223" t="s">
        <v>63</v>
      </c>
      <c r="Z26" s="223" t="s">
        <v>56</v>
      </c>
      <c r="AA26" s="223" t="s">
        <v>373</v>
      </c>
    </row>
    <row r="27" spans="1:27">
      <c r="F27" s="209">
        <v>-1</v>
      </c>
      <c r="G27" s="213">
        <v>-1</v>
      </c>
      <c r="H27" s="215">
        <v>-1</v>
      </c>
      <c r="I27" s="209">
        <f t="shared" si="0"/>
        <v>1</v>
      </c>
      <c r="J27" s="208">
        <f t="shared" si="1"/>
        <v>1</v>
      </c>
      <c r="K27" s="199">
        <v>167</v>
      </c>
      <c r="M27" t="s">
        <v>206</v>
      </c>
      <c r="U27" s="16" t="s">
        <v>64</v>
      </c>
      <c r="V27" s="16">
        <v>136.53333333333285</v>
      </c>
      <c r="W27" s="16">
        <v>1</v>
      </c>
      <c r="X27" s="16">
        <v>136.53333333333285</v>
      </c>
      <c r="Y27" s="16">
        <v>0.30318282753515807</v>
      </c>
      <c r="Z27" s="16">
        <v>0.58698317897716845</v>
      </c>
      <c r="AA27" s="16">
        <v>4.2596772726902348</v>
      </c>
    </row>
    <row r="28" spans="1:27" ht="15.75" thickBot="1">
      <c r="F28" s="201">
        <v>-1</v>
      </c>
      <c r="G28" s="28">
        <v>-1</v>
      </c>
      <c r="H28" s="196">
        <v>-1</v>
      </c>
      <c r="I28" s="201">
        <f t="shared" si="0"/>
        <v>1</v>
      </c>
      <c r="J28" s="6">
        <f t="shared" si="1"/>
        <v>1</v>
      </c>
      <c r="K28" s="200">
        <v>183</v>
      </c>
      <c r="U28" s="16" t="s">
        <v>384</v>
      </c>
      <c r="V28" s="16">
        <v>553.26666666666642</v>
      </c>
      <c r="W28" s="16">
        <v>2</v>
      </c>
      <c r="X28" s="16">
        <v>276.63333333333321</v>
      </c>
      <c r="Y28" s="16">
        <v>0.61428571428571399</v>
      </c>
      <c r="Z28" s="16">
        <v>0.54931693706660334</v>
      </c>
      <c r="AA28" s="16">
        <v>3.4028261053501945</v>
      </c>
    </row>
    <row r="29" spans="1:27">
      <c r="F29" s="201">
        <v>-1</v>
      </c>
      <c r="G29" s="28">
        <v>-1</v>
      </c>
      <c r="H29" s="196">
        <v>-1</v>
      </c>
      <c r="I29" s="201">
        <f t="shared" si="0"/>
        <v>1</v>
      </c>
      <c r="J29" s="6">
        <f t="shared" si="1"/>
        <v>1</v>
      </c>
      <c r="K29" s="200">
        <v>142</v>
      </c>
      <c r="M29" s="18" t="s">
        <v>207</v>
      </c>
      <c r="N29" s="18"/>
      <c r="U29" s="16" t="s">
        <v>349</v>
      </c>
      <c r="V29" s="16">
        <v>5960.0666666666657</v>
      </c>
      <c r="W29" s="16">
        <v>2</v>
      </c>
      <c r="X29" s="16">
        <v>2980.0333333333328</v>
      </c>
      <c r="Y29" s="16">
        <v>6.6173945225758688</v>
      </c>
      <c r="Z29" s="16">
        <v>5.1421901060349955E-3</v>
      </c>
      <c r="AA29" s="16">
        <v>3.4028261053501945</v>
      </c>
    </row>
    <row r="30" spans="1:27">
      <c r="F30" s="7">
        <v>-1</v>
      </c>
      <c r="G30" s="214">
        <v>-1</v>
      </c>
      <c r="H30" s="216">
        <v>-1</v>
      </c>
      <c r="I30" s="7">
        <f t="shared" si="0"/>
        <v>1</v>
      </c>
      <c r="J30" s="9">
        <f t="shared" si="1"/>
        <v>1</v>
      </c>
      <c r="K30" s="21">
        <v>167</v>
      </c>
      <c r="M30" s="16" t="s">
        <v>208</v>
      </c>
      <c r="N30" s="16">
        <v>0.25284299482842942</v>
      </c>
      <c r="U30" s="16" t="s">
        <v>391</v>
      </c>
      <c r="V30" s="16">
        <v>10808</v>
      </c>
      <c r="W30" s="16">
        <v>24</v>
      </c>
      <c r="X30" s="16">
        <v>450.33333333333331</v>
      </c>
      <c r="Y30" s="16"/>
      <c r="Z30" s="16"/>
      <c r="AA30" s="16"/>
    </row>
    <row r="31" spans="1:27">
      <c r="M31" s="16" t="s">
        <v>201</v>
      </c>
      <c r="N31" s="16">
        <v>6.3929580033809177E-2</v>
      </c>
      <c r="U31" s="16"/>
      <c r="V31" s="16"/>
      <c r="W31" s="16"/>
      <c r="X31" s="16"/>
      <c r="Y31" s="16"/>
      <c r="Z31" s="16"/>
      <c r="AA31" s="16"/>
    </row>
    <row r="32" spans="1:27" ht="15.75" thickBot="1">
      <c r="F32" t="s">
        <v>427</v>
      </c>
      <c r="M32" s="16" t="s">
        <v>209</v>
      </c>
      <c r="N32" s="16">
        <v>-5.8166561700911369E-2</v>
      </c>
      <c r="U32" s="17" t="s">
        <v>1</v>
      </c>
      <c r="V32" s="17">
        <v>17457.866666666665</v>
      </c>
      <c r="W32" s="17">
        <v>29</v>
      </c>
      <c r="X32" s="17"/>
      <c r="Y32" s="17"/>
      <c r="Z32" s="17"/>
      <c r="AA32" s="17"/>
    </row>
    <row r="33" spans="6:23">
      <c r="M33" s="16" t="s">
        <v>9</v>
      </c>
      <c r="N33" s="16">
        <v>24.46130631522983</v>
      </c>
    </row>
    <row r="34" spans="6:23" ht="15.75" thickBot="1">
      <c r="F34" s="5"/>
      <c r="G34" s="22" t="s">
        <v>385</v>
      </c>
      <c r="H34" s="22" t="s">
        <v>386</v>
      </c>
      <c r="I34" s="22" t="s">
        <v>389</v>
      </c>
      <c r="J34" s="5"/>
      <c r="M34" s="17" t="s">
        <v>42</v>
      </c>
      <c r="N34" s="17">
        <v>27</v>
      </c>
      <c r="V34" t="s">
        <v>420</v>
      </c>
      <c r="W34">
        <f>V32/W32</f>
        <v>601.99540229885054</v>
      </c>
    </row>
    <row r="35" spans="6:23">
      <c r="F35" s="5" t="s">
        <v>387</v>
      </c>
      <c r="G35" s="227">
        <f>AVERAGE(B5:B9)</f>
        <v>135.4</v>
      </c>
      <c r="H35" s="228">
        <f>AVERAGE(C5:C9)</f>
        <v>171</v>
      </c>
      <c r="I35" s="229">
        <f>AVERAGE(D5:D9)</f>
        <v>141.19999999999999</v>
      </c>
      <c r="J35" s="5">
        <f>AVERAGE(G35:I35)</f>
        <v>149.19999999999999</v>
      </c>
      <c r="V35" t="s">
        <v>421</v>
      </c>
      <c r="W35">
        <f>1-V30/V32</f>
        <v>0.38090946583775021</v>
      </c>
    </row>
    <row r="36" spans="6:23" ht="15.75" thickBot="1">
      <c r="F36" s="5" t="s">
        <v>388</v>
      </c>
      <c r="G36" s="7">
        <f>AVERAGE(B10:B14)</f>
        <v>159.6</v>
      </c>
      <c r="H36" s="8">
        <f>AVERAGE(C10:C14)</f>
        <v>143.75</v>
      </c>
      <c r="I36" s="9">
        <f>AVERAGE(D10:D14)</f>
        <v>164.75</v>
      </c>
      <c r="J36" s="5">
        <f>AVERAGE(G36:I36)</f>
        <v>156.03333333333333</v>
      </c>
      <c r="M36" t="s">
        <v>210</v>
      </c>
    </row>
    <row r="37" spans="6:23">
      <c r="F37" s="5"/>
      <c r="G37" s="5">
        <f>AVERAGE(G35:G36)</f>
        <v>147.5</v>
      </c>
      <c r="H37" s="5">
        <f>AVERAGE(H35:H36)</f>
        <v>157.375</v>
      </c>
      <c r="I37" s="5">
        <f>AVERAGE(I35:I36)</f>
        <v>152.97499999999999</v>
      </c>
      <c r="J37" s="5">
        <f>AVERAGE(J35:J36)</f>
        <v>152.61666666666667</v>
      </c>
      <c r="M37" s="223"/>
      <c r="N37" s="223" t="s">
        <v>26</v>
      </c>
      <c r="O37" s="223" t="s">
        <v>137</v>
      </c>
      <c r="P37" s="223" t="s">
        <v>156</v>
      </c>
      <c r="Q37" s="223" t="s">
        <v>63</v>
      </c>
      <c r="R37" s="223" t="s">
        <v>213</v>
      </c>
    </row>
    <row r="38" spans="6:23">
      <c r="M38" s="16" t="s">
        <v>138</v>
      </c>
      <c r="N38" s="16">
        <v>3</v>
      </c>
      <c r="O38" s="16">
        <v>939.89742118150934</v>
      </c>
      <c r="P38" s="16">
        <v>313.29914039383647</v>
      </c>
      <c r="Q38" s="16">
        <v>0.52360032942490187</v>
      </c>
      <c r="R38" s="16">
        <v>0.67037893748451094</v>
      </c>
    </row>
    <row r="39" spans="6:23">
      <c r="F39" t="s">
        <v>428</v>
      </c>
      <c r="M39" s="16" t="s">
        <v>211</v>
      </c>
      <c r="N39" s="16">
        <v>23</v>
      </c>
      <c r="O39" s="16">
        <v>13762.176652892562</v>
      </c>
      <c r="P39" s="16">
        <v>598.35550664750269</v>
      </c>
      <c r="Q39" s="16"/>
      <c r="R39" s="16"/>
    </row>
    <row r="40" spans="6:23" ht="15.75" thickBot="1">
      <c r="M40" s="17" t="s">
        <v>1</v>
      </c>
      <c r="N40" s="17">
        <v>26</v>
      </c>
      <c r="O40" s="17">
        <v>14702.074074074071</v>
      </c>
      <c r="P40" s="17"/>
      <c r="Q40" s="17"/>
      <c r="R40" s="17"/>
    </row>
    <row r="41" spans="6:23" ht="15.75" thickBot="1">
      <c r="F41" t="s">
        <v>303</v>
      </c>
      <c r="G41">
        <f>J37</f>
        <v>152.61666666666667</v>
      </c>
    </row>
    <row r="42" spans="6:23">
      <c r="F42" t="s">
        <v>301</v>
      </c>
      <c r="G42">
        <f>J35-J37</f>
        <v>-3.4166666666666856</v>
      </c>
      <c r="M42" s="223"/>
      <c r="N42" s="223" t="s">
        <v>214</v>
      </c>
      <c r="O42" s="223" t="s">
        <v>9</v>
      </c>
      <c r="P42" s="223" t="s">
        <v>45</v>
      </c>
      <c r="Q42" s="223" t="s">
        <v>56</v>
      </c>
      <c r="R42" s="223" t="s">
        <v>215</v>
      </c>
      <c r="S42" s="223" t="s">
        <v>216</v>
      </c>
    </row>
    <row r="43" spans="6:23">
      <c r="F43" t="s">
        <v>302</v>
      </c>
      <c r="G43">
        <f>G37-J37</f>
        <v>-5.1166666666666742</v>
      </c>
      <c r="M43" s="16" t="s">
        <v>212</v>
      </c>
      <c r="N43" s="16">
        <v>152.34125344352617</v>
      </c>
      <c r="O43" s="16">
        <v>4.7303824278681619</v>
      </c>
      <c r="P43" s="16">
        <v>32.204849347071011</v>
      </c>
      <c r="Q43" s="16">
        <v>1.2270731664950653E-20</v>
      </c>
      <c r="R43" s="16">
        <v>142.55571183392416</v>
      </c>
      <c r="S43" s="16">
        <v>162.12679505312818</v>
      </c>
    </row>
    <row r="44" spans="6:23">
      <c r="F44" t="s">
        <v>315</v>
      </c>
      <c r="G44">
        <f>H37-J37</f>
        <v>4.7583333333333258</v>
      </c>
      <c r="M44" s="16" t="s">
        <v>379</v>
      </c>
      <c r="N44" s="16">
        <v>-4.3388429752066129</v>
      </c>
      <c r="O44" s="16">
        <v>4.717296974231</v>
      </c>
      <c r="P44" s="16">
        <v>-0.91977312408106726</v>
      </c>
      <c r="Q44" s="16">
        <v>0.36723788404834612</v>
      </c>
      <c r="R44" s="16">
        <v>-14.097315261556325</v>
      </c>
      <c r="S44" s="16">
        <v>5.4196293111430984</v>
      </c>
    </row>
    <row r="45" spans="6:23">
      <c r="F45" t="s">
        <v>419</v>
      </c>
      <c r="G45">
        <f>G35-J35-G37+J37</f>
        <v>-8.6833333333333087</v>
      </c>
      <c r="M45" s="16" t="s">
        <v>380</v>
      </c>
      <c r="N45" s="16">
        <v>-4.8412534435261785</v>
      </c>
      <c r="O45" s="16">
        <v>6.5055131595286655</v>
      </c>
      <c r="P45" s="16">
        <v>-0.74417702720886281</v>
      </c>
      <c r="Q45" s="16">
        <v>0.46430515688438911</v>
      </c>
      <c r="R45" s="16">
        <v>-18.298932750666424</v>
      </c>
      <c r="S45" s="16">
        <v>8.6164258636140687</v>
      </c>
    </row>
    <row r="46" spans="6:23" ht="15.75" thickBot="1">
      <c r="F46" t="s">
        <v>418</v>
      </c>
      <c r="G46">
        <f>H35-J35-H37+J37</f>
        <v>17.041666666666686</v>
      </c>
      <c r="M46" s="17" t="s">
        <v>411</v>
      </c>
      <c r="N46" s="17">
        <v>5.0337465564738348</v>
      </c>
      <c r="O46" s="17">
        <v>6.8780809356629291</v>
      </c>
      <c r="P46" s="17">
        <v>0.73185334740302355</v>
      </c>
      <c r="Q46" s="17">
        <v>0.47165002115399124</v>
      </c>
      <c r="R46" s="17">
        <v>-9.1946479161634578</v>
      </c>
      <c r="S46" s="17">
        <v>19.262141029111127</v>
      </c>
    </row>
    <row r="48" spans="6:23">
      <c r="F48" s="11" t="s">
        <v>380</v>
      </c>
      <c r="G48" s="11" t="s">
        <v>411</v>
      </c>
      <c r="H48" s="11" t="s">
        <v>379</v>
      </c>
      <c r="I48" s="23" t="s">
        <v>412</v>
      </c>
      <c r="J48" s="23" t="s">
        <v>413</v>
      </c>
      <c r="K48" s="23" t="s">
        <v>65</v>
      </c>
      <c r="M48" s="27" t="s">
        <v>430</v>
      </c>
    </row>
    <row r="49" spans="6:18">
      <c r="F49" s="227">
        <v>1</v>
      </c>
      <c r="G49" s="229">
        <v>0</v>
      </c>
      <c r="H49" s="209">
        <v>1</v>
      </c>
      <c r="I49" s="227">
        <f t="shared" ref="I49:I75" si="2">H49*F49</f>
        <v>1</v>
      </c>
      <c r="J49" s="208">
        <f t="shared" ref="J49:J75" si="3">H49*G49</f>
        <v>0</v>
      </c>
      <c r="K49" s="199">
        <v>128</v>
      </c>
    </row>
    <row r="50" spans="6:18">
      <c r="F50" s="4">
        <v>1</v>
      </c>
      <c r="G50" s="6">
        <v>0</v>
      </c>
      <c r="H50" s="201">
        <v>1</v>
      </c>
      <c r="I50" s="4">
        <f t="shared" si="2"/>
        <v>1</v>
      </c>
      <c r="J50">
        <f t="shared" si="3"/>
        <v>0</v>
      </c>
      <c r="K50" s="200">
        <v>150</v>
      </c>
      <c r="M50" t="s">
        <v>206</v>
      </c>
    </row>
    <row r="51" spans="6:18" ht="15.75" thickBot="1">
      <c r="F51" s="4">
        <v>1</v>
      </c>
      <c r="G51" s="6">
        <v>0</v>
      </c>
      <c r="H51" s="201">
        <v>1</v>
      </c>
      <c r="I51" s="4">
        <f t="shared" si="2"/>
        <v>1</v>
      </c>
      <c r="J51">
        <f t="shared" si="3"/>
        <v>0</v>
      </c>
      <c r="K51" s="200">
        <v>174</v>
      </c>
    </row>
    <row r="52" spans="6:18">
      <c r="F52" s="4">
        <v>1</v>
      </c>
      <c r="G52" s="6">
        <v>0</v>
      </c>
      <c r="H52" s="201">
        <v>1</v>
      </c>
      <c r="I52" s="4">
        <f t="shared" si="2"/>
        <v>1</v>
      </c>
      <c r="J52">
        <f t="shared" si="3"/>
        <v>0</v>
      </c>
      <c r="K52" s="200">
        <v>116</v>
      </c>
      <c r="M52" s="18" t="s">
        <v>207</v>
      </c>
      <c r="N52" s="18"/>
    </row>
    <row r="53" spans="6:18">
      <c r="F53" s="7">
        <v>1</v>
      </c>
      <c r="G53" s="9">
        <v>0</v>
      </c>
      <c r="H53" s="7">
        <v>1</v>
      </c>
      <c r="I53" s="4">
        <f t="shared" si="2"/>
        <v>1</v>
      </c>
      <c r="J53">
        <f t="shared" si="3"/>
        <v>0</v>
      </c>
      <c r="K53" s="21">
        <v>109</v>
      </c>
      <c r="M53" s="16" t="s">
        <v>208</v>
      </c>
      <c r="N53" s="16">
        <v>0.53288861079418526</v>
      </c>
    </row>
    <row r="54" spans="6:18">
      <c r="F54" s="227">
        <v>1</v>
      </c>
      <c r="G54" s="229">
        <v>0</v>
      </c>
      <c r="H54" s="209">
        <v>-1</v>
      </c>
      <c r="I54" s="227">
        <f t="shared" si="2"/>
        <v>-1</v>
      </c>
      <c r="J54" s="208">
        <f t="shared" si="3"/>
        <v>0</v>
      </c>
      <c r="K54" s="199">
        <v>175</v>
      </c>
      <c r="M54" s="16" t="s">
        <v>201</v>
      </c>
      <c r="N54" s="16">
        <v>0.28397027151415666</v>
      </c>
    </row>
    <row r="55" spans="6:18">
      <c r="F55" s="4">
        <v>1</v>
      </c>
      <c r="G55" s="6">
        <v>0</v>
      </c>
      <c r="H55" s="201">
        <v>-1</v>
      </c>
      <c r="I55" s="4">
        <f t="shared" si="2"/>
        <v>-1</v>
      </c>
      <c r="J55">
        <f t="shared" si="3"/>
        <v>0</v>
      </c>
      <c r="K55" s="200">
        <v>132</v>
      </c>
      <c r="M55" s="16" t="s">
        <v>209</v>
      </c>
      <c r="N55" s="16">
        <v>0.1905750895377423</v>
      </c>
    </row>
    <row r="56" spans="6:18">
      <c r="F56" s="4">
        <v>1</v>
      </c>
      <c r="G56" s="6">
        <v>0</v>
      </c>
      <c r="H56" s="201">
        <v>-1</v>
      </c>
      <c r="I56" s="4">
        <f t="shared" si="2"/>
        <v>-1</v>
      </c>
      <c r="J56">
        <f t="shared" si="3"/>
        <v>0</v>
      </c>
      <c r="K56" s="200">
        <v>120</v>
      </c>
      <c r="M56" s="16" t="s">
        <v>9</v>
      </c>
      <c r="N56" s="16">
        <v>21.393946835330716</v>
      </c>
    </row>
    <row r="57" spans="6:18" ht="15.75" thickBot="1">
      <c r="F57" s="4">
        <v>1</v>
      </c>
      <c r="G57" s="6">
        <v>0</v>
      </c>
      <c r="H57" s="201">
        <v>-1</v>
      </c>
      <c r="I57" s="4">
        <f t="shared" si="2"/>
        <v>-1</v>
      </c>
      <c r="J57">
        <f t="shared" si="3"/>
        <v>0</v>
      </c>
      <c r="K57" s="200">
        <v>187</v>
      </c>
      <c r="M57" s="17" t="s">
        <v>42</v>
      </c>
      <c r="N57" s="17">
        <v>27</v>
      </c>
    </row>
    <row r="58" spans="6:18">
      <c r="F58" s="7">
        <v>1</v>
      </c>
      <c r="G58" s="9">
        <v>0</v>
      </c>
      <c r="H58" s="7">
        <v>-1</v>
      </c>
      <c r="I58" s="4">
        <f t="shared" si="2"/>
        <v>-1</v>
      </c>
      <c r="J58">
        <f t="shared" si="3"/>
        <v>0</v>
      </c>
      <c r="K58" s="21">
        <v>184</v>
      </c>
    </row>
    <row r="59" spans="6:18" ht="15.75" thickBot="1">
      <c r="F59" s="231">
        <v>0</v>
      </c>
      <c r="G59" s="229">
        <v>1</v>
      </c>
      <c r="H59" s="209">
        <v>1</v>
      </c>
      <c r="I59" s="227">
        <f t="shared" si="2"/>
        <v>0</v>
      </c>
      <c r="J59" s="208">
        <f t="shared" si="3"/>
        <v>1</v>
      </c>
      <c r="K59" s="199">
        <v>166</v>
      </c>
      <c r="M59" t="s">
        <v>210</v>
      </c>
    </row>
    <row r="60" spans="6:18">
      <c r="F60" s="221">
        <v>0</v>
      </c>
      <c r="G60" s="6">
        <v>1</v>
      </c>
      <c r="H60" s="201">
        <v>1</v>
      </c>
      <c r="I60" s="4">
        <f t="shared" si="2"/>
        <v>0</v>
      </c>
      <c r="J60">
        <f t="shared" si="3"/>
        <v>1</v>
      </c>
      <c r="K60" s="200">
        <v>178</v>
      </c>
      <c r="M60" s="223"/>
      <c r="N60" s="223" t="s">
        <v>26</v>
      </c>
      <c r="O60" s="223" t="s">
        <v>137</v>
      </c>
      <c r="P60" s="223" t="s">
        <v>156</v>
      </c>
      <c r="Q60" s="223" t="s">
        <v>63</v>
      </c>
      <c r="R60" s="223" t="s">
        <v>213</v>
      </c>
    </row>
    <row r="61" spans="6:18">
      <c r="F61" s="221">
        <v>0</v>
      </c>
      <c r="G61" s="6">
        <v>1</v>
      </c>
      <c r="H61" s="201">
        <v>1</v>
      </c>
      <c r="I61" s="4">
        <f t="shared" si="2"/>
        <v>0</v>
      </c>
      <c r="J61">
        <f t="shared" si="3"/>
        <v>1</v>
      </c>
      <c r="K61" s="200">
        <v>187</v>
      </c>
      <c r="M61" s="16" t="s">
        <v>138</v>
      </c>
      <c r="N61" s="16">
        <v>3</v>
      </c>
      <c r="O61" s="16">
        <v>4174.9519666360575</v>
      </c>
      <c r="P61" s="16">
        <v>1391.6506555453525</v>
      </c>
      <c r="Q61" s="16">
        <v>3.0405237776170235</v>
      </c>
      <c r="R61" s="16">
        <v>4.9388235315860701E-2</v>
      </c>
    </row>
    <row r="62" spans="6:18">
      <c r="F62" s="221">
        <v>0</v>
      </c>
      <c r="G62" s="6">
        <v>1</v>
      </c>
      <c r="H62" s="201">
        <v>1</v>
      </c>
      <c r="I62" s="4">
        <f t="shared" si="2"/>
        <v>0</v>
      </c>
      <c r="J62">
        <f t="shared" si="3"/>
        <v>1</v>
      </c>
      <c r="K62" s="200">
        <v>153</v>
      </c>
      <c r="M62" s="16" t="s">
        <v>211</v>
      </c>
      <c r="N62" s="16">
        <v>23</v>
      </c>
      <c r="O62" s="16">
        <v>10527.122107438014</v>
      </c>
      <c r="P62" s="16">
        <v>457.7009611929571</v>
      </c>
      <c r="Q62" s="16"/>
      <c r="R62" s="16"/>
    </row>
    <row r="63" spans="6:18" ht="15.75" thickBot="1">
      <c r="F63" s="231">
        <v>0</v>
      </c>
      <c r="G63" s="229">
        <v>1</v>
      </c>
      <c r="H63" s="209">
        <v>-1</v>
      </c>
      <c r="I63" s="227">
        <f t="shared" si="2"/>
        <v>0</v>
      </c>
      <c r="J63" s="208">
        <f t="shared" si="3"/>
        <v>-1</v>
      </c>
      <c r="K63" s="199">
        <v>140</v>
      </c>
      <c r="M63" s="17" t="s">
        <v>1</v>
      </c>
      <c r="N63" s="17">
        <v>26</v>
      </c>
      <c r="O63" s="17">
        <v>14702.074074074071</v>
      </c>
      <c r="P63" s="17"/>
      <c r="Q63" s="17"/>
      <c r="R63" s="17"/>
    </row>
    <row r="64" spans="6:18" ht="15.75" thickBot="1">
      <c r="F64" s="221">
        <v>0</v>
      </c>
      <c r="G64" s="6">
        <v>1</v>
      </c>
      <c r="H64" s="201">
        <v>-1</v>
      </c>
      <c r="I64" s="4">
        <f t="shared" si="2"/>
        <v>0</v>
      </c>
      <c r="J64">
        <f t="shared" si="3"/>
        <v>-1</v>
      </c>
      <c r="K64" s="200">
        <v>145</v>
      </c>
    </row>
    <row r="65" spans="6:19">
      <c r="F65" s="221">
        <v>0</v>
      </c>
      <c r="G65" s="6">
        <v>1</v>
      </c>
      <c r="H65" s="201">
        <v>-1</v>
      </c>
      <c r="I65" s="4">
        <f t="shared" si="2"/>
        <v>0</v>
      </c>
      <c r="J65">
        <f t="shared" si="3"/>
        <v>-1</v>
      </c>
      <c r="K65" s="200">
        <v>159</v>
      </c>
      <c r="M65" s="223"/>
      <c r="N65" s="223" t="s">
        <v>214</v>
      </c>
      <c r="O65" s="223" t="s">
        <v>9</v>
      </c>
      <c r="P65" s="223" t="s">
        <v>45</v>
      </c>
      <c r="Q65" s="223" t="s">
        <v>56</v>
      </c>
      <c r="R65" s="223" t="s">
        <v>215</v>
      </c>
      <c r="S65" s="223" t="s">
        <v>216</v>
      </c>
    </row>
    <row r="66" spans="6:19">
      <c r="F66" s="221">
        <v>0</v>
      </c>
      <c r="G66" s="6">
        <v>1</v>
      </c>
      <c r="H66" s="201">
        <v>-1</v>
      </c>
      <c r="I66" s="4">
        <f t="shared" si="2"/>
        <v>0</v>
      </c>
      <c r="J66">
        <f t="shared" si="3"/>
        <v>-1</v>
      </c>
      <c r="K66" s="200">
        <v>131</v>
      </c>
      <c r="M66" s="16" t="s">
        <v>212</v>
      </c>
      <c r="N66" s="16">
        <v>152.24793388429751</v>
      </c>
      <c r="O66" s="16">
        <v>4.1257649682564077</v>
      </c>
      <c r="P66" s="16">
        <v>36.901746719866864</v>
      </c>
      <c r="Q66" s="16">
        <v>5.6733608544716497E-22</v>
      </c>
      <c r="R66" s="16">
        <v>143.71313878391359</v>
      </c>
      <c r="S66" s="16">
        <v>160.78272898468143</v>
      </c>
    </row>
    <row r="67" spans="6:19">
      <c r="F67" s="231">
        <v>-1</v>
      </c>
      <c r="G67" s="230">
        <v>-1</v>
      </c>
      <c r="H67" s="209">
        <v>1</v>
      </c>
      <c r="I67" s="227">
        <f t="shared" si="2"/>
        <v>-1</v>
      </c>
      <c r="J67" s="208">
        <f t="shared" si="3"/>
        <v>-1</v>
      </c>
      <c r="K67" s="199">
        <v>151</v>
      </c>
      <c r="M67" s="16" t="s">
        <v>379</v>
      </c>
      <c r="N67" s="16">
        <v>-3.3897382920110184</v>
      </c>
      <c r="O67" s="16">
        <v>4.1372095532602486</v>
      </c>
      <c r="P67" s="16">
        <v>-0.81932961054385078</v>
      </c>
      <c r="Q67" s="16">
        <v>0.42100775586952588</v>
      </c>
      <c r="R67" s="16">
        <v>-11.948208320261227</v>
      </c>
      <c r="S67" s="16">
        <v>5.1687317362391889</v>
      </c>
    </row>
    <row r="68" spans="6:19">
      <c r="F68" s="221">
        <v>-1</v>
      </c>
      <c r="G68" s="196">
        <v>-1</v>
      </c>
      <c r="H68" s="201">
        <v>1</v>
      </c>
      <c r="I68" s="4">
        <f t="shared" si="2"/>
        <v>-1</v>
      </c>
      <c r="J68">
        <f t="shared" si="3"/>
        <v>-1</v>
      </c>
      <c r="K68" s="200">
        <v>125</v>
      </c>
      <c r="M68" s="16" t="s">
        <v>412</v>
      </c>
      <c r="N68" s="16">
        <v>-8.7102617079889733</v>
      </c>
      <c r="O68" s="16">
        <v>5.6897453013311372</v>
      </c>
      <c r="P68" s="16">
        <v>-1.5308702317397538</v>
      </c>
      <c r="Q68" s="16">
        <v>0.13944088670310667</v>
      </c>
      <c r="R68" s="16">
        <v>-20.480396626933654</v>
      </c>
      <c r="S68" s="16">
        <v>3.0598732109557094</v>
      </c>
    </row>
    <row r="69" spans="6:19" ht="15.75" thickBot="1">
      <c r="F69" s="221">
        <v>-1</v>
      </c>
      <c r="G69" s="196">
        <v>-1</v>
      </c>
      <c r="H69" s="201">
        <v>1</v>
      </c>
      <c r="I69" s="4">
        <f t="shared" si="2"/>
        <v>-1</v>
      </c>
      <c r="J69">
        <f t="shared" si="3"/>
        <v>-1</v>
      </c>
      <c r="K69" s="200">
        <v>117</v>
      </c>
      <c r="M69" s="17" t="s">
        <v>413</v>
      </c>
      <c r="N69" s="17">
        <v>17.01473829201101</v>
      </c>
      <c r="O69" s="17">
        <v>6.0155944237147283</v>
      </c>
      <c r="P69" s="17">
        <v>2.8284384041808672</v>
      </c>
      <c r="Q69" s="17">
        <v>9.5257546521778126E-3</v>
      </c>
      <c r="R69" s="17">
        <v>4.5705331061991448</v>
      </c>
      <c r="S69" s="17">
        <v>29.458943477822878</v>
      </c>
    </row>
    <row r="70" spans="6:19">
      <c r="F70" s="221">
        <v>-1</v>
      </c>
      <c r="G70" s="196">
        <v>-1</v>
      </c>
      <c r="H70" s="201">
        <v>1</v>
      </c>
      <c r="I70" s="4">
        <f t="shared" si="2"/>
        <v>-1</v>
      </c>
      <c r="J70">
        <f t="shared" si="3"/>
        <v>-1</v>
      </c>
      <c r="K70" s="200">
        <v>155</v>
      </c>
    </row>
    <row r="71" spans="6:19">
      <c r="F71" s="211">
        <v>-1</v>
      </c>
      <c r="G71" s="216">
        <v>-1</v>
      </c>
      <c r="H71" s="7">
        <v>1</v>
      </c>
      <c r="I71" s="4">
        <f t="shared" si="2"/>
        <v>-1</v>
      </c>
      <c r="J71">
        <f t="shared" si="3"/>
        <v>-1</v>
      </c>
      <c r="K71" s="21">
        <v>158</v>
      </c>
      <c r="M71" s="27" t="s">
        <v>431</v>
      </c>
    </row>
    <row r="72" spans="6:19">
      <c r="F72" s="231">
        <v>-1</v>
      </c>
      <c r="G72" s="230">
        <v>-1</v>
      </c>
      <c r="H72" s="209">
        <v>-1</v>
      </c>
      <c r="I72" s="227">
        <f t="shared" si="2"/>
        <v>1</v>
      </c>
      <c r="J72" s="208">
        <f t="shared" si="3"/>
        <v>1</v>
      </c>
      <c r="K72" s="199">
        <v>167</v>
      </c>
    </row>
    <row r="73" spans="6:19">
      <c r="F73" s="221">
        <v>-1</v>
      </c>
      <c r="G73" s="196">
        <v>-1</v>
      </c>
      <c r="H73" s="201">
        <v>-1</v>
      </c>
      <c r="I73" s="4">
        <f t="shared" si="2"/>
        <v>1</v>
      </c>
      <c r="J73" s="6">
        <f t="shared" si="3"/>
        <v>1</v>
      </c>
      <c r="K73" s="200">
        <v>183</v>
      </c>
      <c r="M73" t="s">
        <v>206</v>
      </c>
    </row>
    <row r="74" spans="6:19" ht="15.75" thickBot="1">
      <c r="F74" s="221">
        <v>-1</v>
      </c>
      <c r="G74" s="196">
        <v>-1</v>
      </c>
      <c r="H74" s="201">
        <v>-1</v>
      </c>
      <c r="I74" s="4">
        <f t="shared" si="2"/>
        <v>1</v>
      </c>
      <c r="J74" s="6">
        <f t="shared" si="3"/>
        <v>1</v>
      </c>
      <c r="K74" s="200">
        <v>142</v>
      </c>
    </row>
    <row r="75" spans="6:19">
      <c r="F75" s="211">
        <v>-1</v>
      </c>
      <c r="G75" s="216">
        <v>-1</v>
      </c>
      <c r="H75" s="7">
        <v>-1</v>
      </c>
      <c r="I75" s="7">
        <f t="shared" si="2"/>
        <v>1</v>
      </c>
      <c r="J75" s="9">
        <f t="shared" si="3"/>
        <v>1</v>
      </c>
      <c r="K75" s="21">
        <v>167</v>
      </c>
      <c r="M75" s="18" t="s">
        <v>207</v>
      </c>
      <c r="N75" s="18"/>
    </row>
    <row r="76" spans="6:19">
      <c r="M76" s="16" t="s">
        <v>208</v>
      </c>
      <c r="N76" s="16">
        <v>0.54106663277212563</v>
      </c>
    </row>
    <row r="77" spans="6:19">
      <c r="M77" s="16" t="s">
        <v>201</v>
      </c>
      <c r="N77" s="16">
        <v>0.29275310109936631</v>
      </c>
    </row>
    <row r="78" spans="6:19">
      <c r="M78" s="16" t="s">
        <v>209</v>
      </c>
      <c r="N78" s="16">
        <v>0.16416275584470563</v>
      </c>
    </row>
    <row r="79" spans="6:19">
      <c r="M79" s="16" t="s">
        <v>9</v>
      </c>
      <c r="N79" s="16">
        <v>21.740197682776373</v>
      </c>
    </row>
    <row r="80" spans="6:19" ht="15.75" thickBot="1">
      <c r="M80" s="17" t="s">
        <v>42</v>
      </c>
      <c r="N80" s="17">
        <v>27</v>
      </c>
    </row>
    <row r="82" spans="13:19" ht="15.75" thickBot="1">
      <c r="M82" t="s">
        <v>210</v>
      </c>
    </row>
    <row r="83" spans="13:19">
      <c r="M83" s="223"/>
      <c r="N83" s="223" t="s">
        <v>26</v>
      </c>
      <c r="O83" s="223" t="s">
        <v>137</v>
      </c>
      <c r="P83" s="223" t="s">
        <v>156</v>
      </c>
      <c r="Q83" s="223" t="s">
        <v>63</v>
      </c>
      <c r="R83" s="223" t="s">
        <v>213</v>
      </c>
    </row>
    <row r="84" spans="13:19">
      <c r="M84" s="16" t="s">
        <v>138</v>
      </c>
      <c r="N84" s="16">
        <v>4</v>
      </c>
      <c r="O84" s="16">
        <v>4304.0777777777785</v>
      </c>
      <c r="P84" s="16">
        <v>1076.0194444444446</v>
      </c>
      <c r="Q84" s="16">
        <v>2.2766336035539623</v>
      </c>
      <c r="R84" s="16">
        <v>9.3459458279901708E-2</v>
      </c>
    </row>
    <row r="85" spans="13:19">
      <c r="M85" s="16" t="s">
        <v>211</v>
      </c>
      <c r="N85" s="16">
        <v>22</v>
      </c>
      <c r="O85" s="16">
        <v>10397.996296296293</v>
      </c>
      <c r="P85" s="16">
        <v>472.63619528619512</v>
      </c>
      <c r="Q85" s="16"/>
      <c r="R85" s="16"/>
    </row>
    <row r="86" spans="13:19" ht="15.75" thickBot="1">
      <c r="M86" s="17" t="s">
        <v>1</v>
      </c>
      <c r="N86" s="17">
        <v>26</v>
      </c>
      <c r="O86" s="17">
        <v>14702.074074074071</v>
      </c>
      <c r="P86" s="17"/>
      <c r="Q86" s="17"/>
      <c r="R86" s="17"/>
    </row>
    <row r="87" spans="13:19" ht="15.75" thickBot="1"/>
    <row r="88" spans="13:19">
      <c r="M88" s="223"/>
      <c r="N88" s="223" t="s">
        <v>214</v>
      </c>
      <c r="O88" s="223" t="s">
        <v>9</v>
      </c>
      <c r="P88" s="223" t="s">
        <v>45</v>
      </c>
      <c r="Q88" s="223" t="s">
        <v>56</v>
      </c>
      <c r="R88" s="223" t="s">
        <v>215</v>
      </c>
      <c r="S88" s="223" t="s">
        <v>216</v>
      </c>
    </row>
    <row r="89" spans="13:19">
      <c r="M89" s="16" t="s">
        <v>212</v>
      </c>
      <c r="N89" s="16">
        <v>152.49012345679012</v>
      </c>
      <c r="O89" s="16">
        <v>4.207082690148412</v>
      </c>
      <c r="P89" s="16">
        <v>36.246048553757035</v>
      </c>
      <c r="Q89" s="16">
        <v>4.0990029137263698E-21</v>
      </c>
      <c r="R89" s="16">
        <v>143.76516797124611</v>
      </c>
      <c r="S89" s="16">
        <v>161.21507894233412</v>
      </c>
    </row>
    <row r="90" spans="13:19">
      <c r="M90" s="16" t="s">
        <v>380</v>
      </c>
      <c r="N90" s="16">
        <v>-4.9901234567901289</v>
      </c>
      <c r="O90" s="16">
        <v>5.7839506053059937</v>
      </c>
      <c r="P90" s="16">
        <v>-0.86275347030321536</v>
      </c>
      <c r="Q90" s="16">
        <v>0.39758081615311081</v>
      </c>
      <c r="R90" s="16">
        <v>-16.985302843221419</v>
      </c>
      <c r="S90" s="16">
        <v>7.0050559296411601</v>
      </c>
    </row>
    <row r="91" spans="13:19">
      <c r="M91" s="16" t="s">
        <v>411</v>
      </c>
      <c r="N91" s="16">
        <v>4.8848765432098835</v>
      </c>
      <c r="O91" s="16">
        <v>6.1149586724145459</v>
      </c>
      <c r="P91" s="16">
        <v>0.79884048362358706</v>
      </c>
      <c r="Q91" s="16">
        <v>0.43292294119814867</v>
      </c>
      <c r="R91" s="16">
        <v>-7.7967715588567996</v>
      </c>
      <c r="S91" s="16">
        <v>17.566524645276566</v>
      </c>
    </row>
    <row r="92" spans="13:19">
      <c r="M92" s="16" t="s">
        <v>412</v>
      </c>
      <c r="N92" s="16">
        <v>-9.0629629629629633</v>
      </c>
      <c r="O92" s="16">
        <v>5.7671122854277979</v>
      </c>
      <c r="P92" s="16">
        <v>-1.5714906376737354</v>
      </c>
      <c r="Q92" s="16">
        <v>0.13034096665888897</v>
      </c>
      <c r="R92" s="16">
        <v>-21.023221811290107</v>
      </c>
      <c r="S92" s="16">
        <v>2.8972958853641817</v>
      </c>
    </row>
    <row r="93" spans="13:19" ht="15.75" thickBot="1">
      <c r="M93" s="17" t="s">
        <v>413</v>
      </c>
      <c r="N93" s="17">
        <v>17.421296296296298</v>
      </c>
      <c r="O93" s="17">
        <v>6.0990342738379937</v>
      </c>
      <c r="P93" s="17">
        <v>2.8564024260407122</v>
      </c>
      <c r="Q93" s="17">
        <v>9.1774119848700604E-3</v>
      </c>
      <c r="R93" s="17">
        <v>4.7726733755600961</v>
      </c>
      <c r="S93" s="17">
        <v>30.069919217032499</v>
      </c>
    </row>
    <row r="95" spans="13:19">
      <c r="M95" s="1" t="s">
        <v>432</v>
      </c>
    </row>
    <row r="97" spans="13:18" ht="15.75" thickBot="1">
      <c r="M97" t="s">
        <v>210</v>
      </c>
    </row>
    <row r="98" spans="13:18">
      <c r="M98" s="223"/>
      <c r="N98" s="223" t="s">
        <v>442</v>
      </c>
      <c r="O98" s="223" t="s">
        <v>441</v>
      </c>
      <c r="P98" s="223" t="s">
        <v>201</v>
      </c>
      <c r="R98" s="223" t="s">
        <v>433</v>
      </c>
    </row>
    <row r="99" spans="13:18">
      <c r="M99" t="s">
        <v>434</v>
      </c>
      <c r="N99" s="16">
        <f>N13</f>
        <v>5</v>
      </c>
      <c r="O99" s="16">
        <f>O13</f>
        <v>4615.3740740740668</v>
      </c>
      <c r="P99" s="16">
        <f>N6</f>
        <v>0.31392673243382097</v>
      </c>
    </row>
    <row r="100" spans="13:18">
      <c r="M100" t="s">
        <v>435</v>
      </c>
      <c r="N100" s="16">
        <f>N61</f>
        <v>3</v>
      </c>
      <c r="O100" s="16">
        <f>O61</f>
        <v>4174.9519666360575</v>
      </c>
      <c r="P100" s="5">
        <f>N54</f>
        <v>0.28397027151415666</v>
      </c>
    </row>
    <row r="101" spans="13:18">
      <c r="M101" t="s">
        <v>436</v>
      </c>
      <c r="N101" s="5">
        <f>N84</f>
        <v>4</v>
      </c>
      <c r="O101" s="5">
        <f>O84</f>
        <v>4304.0777777777785</v>
      </c>
      <c r="P101" s="5">
        <f>N77</f>
        <v>0.29275310109936631</v>
      </c>
    </row>
    <row r="102" spans="13:18" ht="15.75" thickBot="1">
      <c r="M102" s="19" t="s">
        <v>437</v>
      </c>
      <c r="N102" s="19">
        <f>N38</f>
        <v>3</v>
      </c>
      <c r="O102" s="19">
        <f>O38</f>
        <v>939.89742118150934</v>
      </c>
      <c r="P102" s="19">
        <f>N31</f>
        <v>6.3929580033809177E-2</v>
      </c>
      <c r="R102" s="19"/>
    </row>
    <row r="103" spans="13:18">
      <c r="M103" t="s">
        <v>133</v>
      </c>
      <c r="N103">
        <f>N99-N101</f>
        <v>1</v>
      </c>
      <c r="O103">
        <f>O99-O101</f>
        <v>311.29629629628835</v>
      </c>
      <c r="P103">
        <f>P99-P101</f>
        <v>2.1173631334454657E-2</v>
      </c>
      <c r="R103">
        <f>P103*O15</f>
        <v>311.29629629628818</v>
      </c>
    </row>
    <row r="104" spans="13:18">
      <c r="M104" t="s">
        <v>60</v>
      </c>
      <c r="N104">
        <f>N99-N100</f>
        <v>2</v>
      </c>
      <c r="O104">
        <f>O99-O100</f>
        <v>440.42210743800933</v>
      </c>
      <c r="P104">
        <f>P99-P100</f>
        <v>2.9956460919664307E-2</v>
      </c>
      <c r="R104">
        <f>P104*O15</f>
        <v>440.42210743800973</v>
      </c>
    </row>
    <row r="105" spans="13:18" ht="15.75" thickBot="1">
      <c r="M105" s="19" t="s">
        <v>438</v>
      </c>
      <c r="N105" s="19">
        <f>N99-N102</f>
        <v>2</v>
      </c>
      <c r="O105" s="19">
        <f>O99-O102</f>
        <v>3675.4766528925575</v>
      </c>
      <c r="P105" s="19">
        <f>P99-P102</f>
        <v>0.2499971524000118</v>
      </c>
      <c r="R105" s="19">
        <f>P105*O15</f>
        <v>3675.4766528925579</v>
      </c>
    </row>
    <row r="108" spans="13:18">
      <c r="M108" s="1" t="s">
        <v>439</v>
      </c>
    </row>
    <row r="110" spans="13:18" ht="15.75" thickBot="1">
      <c r="M110" t="s">
        <v>210</v>
      </c>
    </row>
    <row r="111" spans="13:18">
      <c r="M111" s="223" t="s">
        <v>372</v>
      </c>
      <c r="N111" s="223" t="s">
        <v>137</v>
      </c>
      <c r="O111" s="223" t="s">
        <v>26</v>
      </c>
      <c r="P111" s="223" t="s">
        <v>156</v>
      </c>
      <c r="Q111" s="223" t="s">
        <v>63</v>
      </c>
      <c r="R111" s="223" t="s">
        <v>56</v>
      </c>
    </row>
    <row r="112" spans="13:18">
      <c r="M112" s="16" t="s">
        <v>440</v>
      </c>
      <c r="N112" s="16">
        <f>O103</f>
        <v>311.29629629628835</v>
      </c>
      <c r="O112" s="16">
        <f>N103</f>
        <v>1</v>
      </c>
      <c r="P112" s="16">
        <f>N112/O112</f>
        <v>311.29629629628835</v>
      </c>
      <c r="Q112" s="16">
        <f>P112/P115</f>
        <v>0.64810316775774557</v>
      </c>
      <c r="R112" s="16">
        <f>FDIST(Q112,O112,O115)</f>
        <v>0.42981280716327275</v>
      </c>
    </row>
    <row r="113" spans="13:18">
      <c r="M113" s="16" t="s">
        <v>394</v>
      </c>
      <c r="N113" s="16">
        <f>O104</f>
        <v>440.42210743800933</v>
      </c>
      <c r="O113" s="16">
        <f>N104</f>
        <v>2</v>
      </c>
      <c r="P113" s="16">
        <f>N113/O113</f>
        <v>220.21105371900467</v>
      </c>
      <c r="Q113" s="16">
        <f>P113/P115</f>
        <v>0.45846829271209577</v>
      </c>
      <c r="R113" s="16">
        <f>FDIST(Q113,O113,O115)</f>
        <v>0.63843128233853208</v>
      </c>
    </row>
    <row r="114" spans="13:18">
      <c r="M114" s="16" t="s">
        <v>349</v>
      </c>
      <c r="N114" s="16">
        <f>O105</f>
        <v>3675.4766528925575</v>
      </c>
      <c r="O114" s="16">
        <f>N105</f>
        <v>2</v>
      </c>
      <c r="P114" s="16">
        <f>N114/O114</f>
        <v>1837.7383264462787</v>
      </c>
      <c r="Q114" s="16">
        <f>P114/P115</f>
        <v>3.8260783859311607</v>
      </c>
      <c r="R114" s="16">
        <f>FDIST(Q114,O114,O115)</f>
        <v>3.8295764848006966E-2</v>
      </c>
    </row>
    <row r="115" spans="13:18">
      <c r="M115" s="16" t="s">
        <v>391</v>
      </c>
      <c r="N115">
        <f>O14</f>
        <v>10086.700000000004</v>
      </c>
      <c r="O115" s="16">
        <f>N14</f>
        <v>21</v>
      </c>
      <c r="P115" s="16">
        <f>N115/O115</f>
        <v>480.31904761904781</v>
      </c>
      <c r="Q115" s="16"/>
      <c r="R115" s="16"/>
    </row>
    <row r="116" spans="13:18">
      <c r="M116" s="16"/>
      <c r="N116" s="16"/>
      <c r="O116" s="16"/>
      <c r="P116" s="16"/>
      <c r="Q116" s="16"/>
      <c r="R116" s="16"/>
    </row>
    <row r="117" spans="13:18" ht="15.75" thickBot="1">
      <c r="M117" s="17" t="s">
        <v>1</v>
      </c>
      <c r="N117" s="17">
        <f>O15</f>
        <v>14702.074074074071</v>
      </c>
      <c r="O117" s="17">
        <f>N15</f>
        <v>26</v>
      </c>
      <c r="P117" s="17"/>
      <c r="Q117" s="17"/>
      <c r="R117" s="17"/>
    </row>
    <row r="119" spans="13:18">
      <c r="M119" t="s">
        <v>443</v>
      </c>
      <c r="N119">
        <f>SUM(N112:N115)</f>
        <v>14513.89505662686</v>
      </c>
    </row>
  </sheetData>
  <mergeCells count="1">
    <mergeCell ref="B3:D3"/>
  </mergeCells>
  <pageMargins left="0.7" right="0.7" top="0.75" bottom="0.75" header="0.3" footer="0.3"/>
  <ignoredErrors>
    <ignoredError sqref="G35:I36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241"/>
  <dimension ref="A1:Z29"/>
  <sheetViews>
    <sheetView zoomScaleNormal="100" workbookViewId="0"/>
  </sheetViews>
  <sheetFormatPr defaultRowHeight="15"/>
  <sheetData>
    <row r="1" spans="1:26">
      <c r="A1" s="1" t="s">
        <v>709</v>
      </c>
      <c r="F1" t="s">
        <v>625</v>
      </c>
      <c r="J1" t="s">
        <v>12</v>
      </c>
      <c r="P1" t="s">
        <v>628</v>
      </c>
      <c r="X1" t="s">
        <v>629</v>
      </c>
    </row>
    <row r="3" spans="1:26" ht="15.75" thickBot="1">
      <c r="A3" s="9"/>
      <c r="B3" s="745" t="s">
        <v>392</v>
      </c>
      <c r="C3" s="746"/>
      <c r="D3" s="747"/>
      <c r="F3" s="383" t="e">
        <f t="array" aca="1" ref="F3:H29" ca="1">Anova2Std(A4:D14, 5)</f>
        <v>#NAME?</v>
      </c>
      <c r="G3" s="384" t="e">
        <f ca="1"/>
        <v>#NAME?</v>
      </c>
      <c r="H3" s="385" t="e">
        <f ca="1"/>
        <v>#NAME?</v>
      </c>
      <c r="J3" t="s">
        <v>626</v>
      </c>
      <c r="K3" t="str">
        <f ca="1">IF(COUNTIF(K5:M6,K5)=COUNT(K5:M6),"balanced","unbalanced")</f>
        <v>balanced</v>
      </c>
      <c r="P3" t="s">
        <v>210</v>
      </c>
      <c r="T3" s="382" t="s">
        <v>16</v>
      </c>
      <c r="U3" s="382">
        <v>0.05</v>
      </c>
      <c r="Y3" s="387" t="str">
        <f>A5</f>
        <v>Blend X</v>
      </c>
      <c r="Z3" s="387" t="str">
        <f>A10</f>
        <v>Blend Y</v>
      </c>
    </row>
    <row r="4" spans="1:26" ht="15.75" thickTop="1">
      <c r="A4" s="205" t="s">
        <v>393</v>
      </c>
      <c r="B4" s="198" t="s">
        <v>385</v>
      </c>
      <c r="C4" s="198" t="s">
        <v>386</v>
      </c>
      <c r="D4" s="198" t="s">
        <v>389</v>
      </c>
      <c r="F4" s="292" t="e">
        <f ca="1"/>
        <v>#NAME?</v>
      </c>
      <c r="G4" s="5" t="e">
        <f ca="1"/>
        <v>#NAME?</v>
      </c>
      <c r="H4" s="43" t="e">
        <f ca="1"/>
        <v>#NAME?</v>
      </c>
      <c r="K4" t="e">
        <f t="array" aca="1" ref="K4:M4" ca="1">TRANSPOSE(SortUnique(G3:G29))</f>
        <v>#NAME?</v>
      </c>
      <c r="L4" t="e">
        <f ca="1"/>
        <v>#NAME?</v>
      </c>
      <c r="M4" t="e">
        <f ca="1"/>
        <v>#NAME?</v>
      </c>
      <c r="P4" s="374"/>
      <c r="Q4" s="374" t="s">
        <v>137</v>
      </c>
      <c r="R4" s="374" t="s">
        <v>26</v>
      </c>
      <c r="S4" s="374" t="s">
        <v>156</v>
      </c>
      <c r="T4" s="374" t="s">
        <v>63</v>
      </c>
      <c r="U4" s="374" t="s">
        <v>30</v>
      </c>
      <c r="V4" s="374" t="s">
        <v>374</v>
      </c>
      <c r="X4" s="386" t="str">
        <f>B4</f>
        <v>Corn</v>
      </c>
      <c r="Y4" s="386">
        <f>IF(B5="","",B5)</f>
        <v>128</v>
      </c>
      <c r="Z4" s="386">
        <f>IF(B10="","",B10)</f>
        <v>175</v>
      </c>
    </row>
    <row r="5" spans="1:26">
      <c r="A5" s="212" t="s">
        <v>387</v>
      </c>
      <c r="B5" s="199">
        <v>128</v>
      </c>
      <c r="C5" s="199">
        <v>166</v>
      </c>
      <c r="D5" s="199">
        <v>151</v>
      </c>
      <c r="F5" s="292" t="e">
        <f ca="1"/>
        <v>#NAME?</v>
      </c>
      <c r="G5" s="5" t="e">
        <f ca="1"/>
        <v>#NAME?</v>
      </c>
      <c r="H5" s="43" t="e">
        <f ca="1"/>
        <v>#NAME?</v>
      </c>
      <c r="J5" t="e">
        <f t="array" aca="1" ref="J5:J6" ca="1">SortUnique(F3:F29)</f>
        <v>#NAME?</v>
      </c>
      <c r="K5" s="383">
        <f t="array" aca="1" ref="K5" ca="1">COUNTIFS($F$3:$F$29,$J5,$G$3:$G$29,K$4)</f>
        <v>27</v>
      </c>
      <c r="L5" s="384">
        <f t="array" aca="1" ref="L5" ca="1">COUNTIFS($F$3:$F$29,$J5,$G$3:$G$29,L$4)</f>
        <v>27</v>
      </c>
      <c r="M5" s="385">
        <f t="array" aca="1" ref="M5" ca="1">COUNTIFS($F$3:$F$29,$J5,$G$3:$G$29,M$4)</f>
        <v>27</v>
      </c>
      <c r="N5">
        <f t="array" aca="1" ref="N5" ca="1">SUM(K5:M5)</f>
        <v>81</v>
      </c>
      <c r="P5" t="s">
        <v>64</v>
      </c>
      <c r="Q5" t="e">
        <f t="array" aca="1" ref="Q5:Q8" ca="1">SSAnova2(F3:H29)</f>
        <v>#NAME?</v>
      </c>
      <c r="R5">
        <f ca="1">COUNT(N11:N12)-1</f>
        <v>-1</v>
      </c>
      <c r="S5" t="e">
        <f ca="1">Q5/R5</f>
        <v>#NAME?</v>
      </c>
      <c r="T5" t="e">
        <f ca="1">S5/S8</f>
        <v>#NAME?</v>
      </c>
      <c r="U5" t="e">
        <f ca="1">FDIST(T5,R5,R8)</f>
        <v>#NAME?</v>
      </c>
      <c r="V5" s="382" t="e">
        <f ca="1">IF(U5&lt;U3,"yes","no")</f>
        <v>#NAME?</v>
      </c>
      <c r="X5" s="337"/>
      <c r="Y5" s="337">
        <f>IF(B6="","",B6)</f>
        <v>150</v>
      </c>
      <c r="Z5" s="337">
        <f>IF(B11="","",B11)</f>
        <v>132</v>
      </c>
    </row>
    <row r="6" spans="1:26">
      <c r="A6" s="200"/>
      <c r="B6" s="200">
        <v>150</v>
      </c>
      <c r="C6" s="200">
        <v>178</v>
      </c>
      <c r="D6" s="200">
        <v>125</v>
      </c>
      <c r="F6" s="292" t="e">
        <f ca="1"/>
        <v>#NAME?</v>
      </c>
      <c r="G6" s="5" t="e">
        <f ca="1"/>
        <v>#NAME?</v>
      </c>
      <c r="H6" s="43" t="e">
        <f ca="1"/>
        <v>#NAME?</v>
      </c>
      <c r="J6" t="e">
        <f ca="1"/>
        <v>#NAME?</v>
      </c>
      <c r="K6" s="377">
        <f t="array" aca="1" ref="K6" ca="1">COUNTIFS($F$3:$F$29,$J6,$G$3:$G$29,K$4)</f>
        <v>27</v>
      </c>
      <c r="L6" s="378">
        <f t="array" aca="1" ref="L6" ca="1">COUNTIFS($F$3:$F$29,$J6,$G$3:$G$29,L$4)</f>
        <v>27</v>
      </c>
      <c r="M6" s="379">
        <f t="array" aca="1" ref="M6" ca="1">COUNTIFS($F$3:$F$29,$J6,$G$3:$G$29,M$4)</f>
        <v>27</v>
      </c>
      <c r="N6">
        <f t="array" aca="1" ref="N6" ca="1">SUM(K6:M6)</f>
        <v>81</v>
      </c>
      <c r="P6" t="s">
        <v>384</v>
      </c>
      <c r="Q6" t="e">
        <f ca="1"/>
        <v>#NAME?</v>
      </c>
      <c r="R6">
        <f ca="1">COUNT(K13:M13)-1</f>
        <v>-1</v>
      </c>
      <c r="S6" t="e">
        <f ca="1">Q6/R6</f>
        <v>#NAME?</v>
      </c>
      <c r="T6" t="e">
        <f ca="1">S6/S8</f>
        <v>#NAME?</v>
      </c>
      <c r="U6" t="e">
        <f ca="1">FDIST(T6,R6,R8)</f>
        <v>#NAME?</v>
      </c>
      <c r="V6" s="382" t="e">
        <f ca="1">IF(U6&lt;U3,"yes","no")</f>
        <v>#NAME?</v>
      </c>
      <c r="X6" s="337"/>
      <c r="Y6" s="337">
        <f>IF(B7="","",B7)</f>
        <v>174</v>
      </c>
      <c r="Z6" s="337">
        <f>IF(B12="","",B12)</f>
        <v>120</v>
      </c>
    </row>
    <row r="7" spans="1:26">
      <c r="A7" s="200"/>
      <c r="B7" s="200">
        <v>174</v>
      </c>
      <c r="C7" s="200">
        <v>187</v>
      </c>
      <c r="D7" s="200">
        <v>117</v>
      </c>
      <c r="F7" s="292" t="e">
        <f ca="1"/>
        <v>#NAME?</v>
      </c>
      <c r="G7" s="5" t="e">
        <f ca="1"/>
        <v>#NAME?</v>
      </c>
      <c r="H7" s="43" t="e">
        <f ca="1"/>
        <v>#NAME?</v>
      </c>
      <c r="K7">
        <f t="array" aca="1" ref="K7" ca="1">SUM(K5:K6)</f>
        <v>54</v>
      </c>
      <c r="L7">
        <f t="array" aca="1" ref="L7" ca="1">SUM(L5:L6)</f>
        <v>54</v>
      </c>
      <c r="M7">
        <f t="array" aca="1" ref="M7" ca="1">SUM(M5:M6)</f>
        <v>54</v>
      </c>
      <c r="N7">
        <f t="array" aca="1" ref="N7" ca="1">SUM(N5:N6)</f>
        <v>162</v>
      </c>
      <c r="P7" t="s">
        <v>530</v>
      </c>
      <c r="Q7" t="e">
        <f ca="1"/>
        <v>#NAME?</v>
      </c>
      <c r="R7">
        <f ca="1">R6*R5</f>
        <v>1</v>
      </c>
      <c r="S7" t="e">
        <f ca="1">Q7/R7</f>
        <v>#NAME?</v>
      </c>
      <c r="T7" t="e">
        <f ca="1">S7/S8</f>
        <v>#NAME?</v>
      </c>
      <c r="U7" t="e">
        <f ca="1">FDIST(T7,R7,R8)</f>
        <v>#NAME?</v>
      </c>
      <c r="V7" s="382" t="e">
        <f ca="1">IF(U7&lt;U3,"yes","no")</f>
        <v>#NAME?</v>
      </c>
      <c r="X7" s="337"/>
      <c r="Y7" s="337">
        <f>IF(B8="","",B8)</f>
        <v>116</v>
      </c>
      <c r="Z7" s="337">
        <f>IF(B13="","",B13)</f>
        <v>187</v>
      </c>
    </row>
    <row r="8" spans="1:26">
      <c r="A8" s="200"/>
      <c r="B8" s="200">
        <v>116</v>
      </c>
      <c r="C8" s="200">
        <v>153</v>
      </c>
      <c r="D8" s="200">
        <v>155</v>
      </c>
      <c r="F8" s="292" t="e">
        <f ca="1"/>
        <v>#NAME?</v>
      </c>
      <c r="G8" s="5" t="e">
        <f ca="1"/>
        <v>#NAME?</v>
      </c>
      <c r="H8" s="43" t="e">
        <f ca="1"/>
        <v>#NAME?</v>
      </c>
      <c r="P8" t="s">
        <v>391</v>
      </c>
      <c r="Q8" t="e">
        <f ca="1"/>
        <v>#NAME?</v>
      </c>
      <c r="R8">
        <f ca="1">R9-R5-R6-R7</f>
        <v>162</v>
      </c>
      <c r="S8" t="e">
        <f ca="1">Q8/R8</f>
        <v>#NAME?</v>
      </c>
      <c r="X8" s="375"/>
      <c r="Y8" s="375">
        <f>IF(B9="","",B9)</f>
        <v>109</v>
      </c>
      <c r="Z8" s="375">
        <f>IF(B14="","",B14)</f>
        <v>184</v>
      </c>
    </row>
    <row r="9" spans="1:26">
      <c r="A9" s="200"/>
      <c r="B9" s="21">
        <v>109</v>
      </c>
      <c r="C9" s="21"/>
      <c r="D9" s="21">
        <v>158</v>
      </c>
      <c r="F9" s="292" t="e">
        <f ca="1"/>
        <v>#NAME?</v>
      </c>
      <c r="G9" s="5" t="e">
        <f ca="1"/>
        <v>#NAME?</v>
      </c>
      <c r="H9" s="43" t="e">
        <f ca="1"/>
        <v>#NAME?</v>
      </c>
      <c r="J9" t="s">
        <v>396</v>
      </c>
      <c r="P9" s="380" t="s">
        <v>1</v>
      </c>
      <c r="Q9" s="380" t="e">
        <f ca="1">S9*R9</f>
        <v>#NAME?</v>
      </c>
      <c r="R9" s="380">
        <f ca="1">N7-1</f>
        <v>161</v>
      </c>
      <c r="S9" s="380" t="e">
        <f ca="1">N19</f>
        <v>#NAME?</v>
      </c>
      <c r="T9" s="380"/>
      <c r="U9" s="380"/>
      <c r="V9" s="380"/>
      <c r="X9" s="386" t="str">
        <f>C4</f>
        <v>Soy</v>
      </c>
      <c r="Y9" s="386">
        <f>IF(C5="","",C5)</f>
        <v>166</v>
      </c>
      <c r="Z9" s="386">
        <f>IF(C10="","",C10)</f>
        <v>140</v>
      </c>
    </row>
    <row r="10" spans="1:26">
      <c r="A10" s="212" t="s">
        <v>388</v>
      </c>
      <c r="B10" s="199">
        <v>175</v>
      </c>
      <c r="C10" s="199">
        <v>140</v>
      </c>
      <c r="D10" s="199">
        <v>167</v>
      </c>
      <c r="F10" s="292" t="e">
        <f ca="1"/>
        <v>#NAME?</v>
      </c>
      <c r="G10" s="5" t="e">
        <f ca="1"/>
        <v>#NAME?</v>
      </c>
      <c r="H10" s="43" t="e">
        <f ca="1"/>
        <v>#NAME?</v>
      </c>
      <c r="K10" t="e">
        <f t="array" aca="1" ref="K10:M10" ca="1">TRANSPOSE(SortUnique(G3:G29))</f>
        <v>#NAME?</v>
      </c>
      <c r="L10" t="e">
        <f ca="1"/>
        <v>#NAME?</v>
      </c>
      <c r="M10" t="e">
        <f ca="1"/>
        <v>#NAME?</v>
      </c>
      <c r="X10" s="337"/>
      <c r="Y10" s="337">
        <f>IF(C6="","",C6)</f>
        <v>178</v>
      </c>
      <c r="Z10" s="337">
        <f>IF(C11="","",C11)</f>
        <v>145</v>
      </c>
    </row>
    <row r="11" spans="1:26">
      <c r="A11" s="200"/>
      <c r="B11" s="200">
        <v>132</v>
      </c>
      <c r="C11" s="200">
        <v>145</v>
      </c>
      <c r="D11" s="200">
        <v>183</v>
      </c>
      <c r="F11" s="292" t="e">
        <f ca="1"/>
        <v>#NAME?</v>
      </c>
      <c r="G11" s="5" t="e">
        <f ca="1"/>
        <v>#NAME?</v>
      </c>
      <c r="H11" s="43" t="e">
        <f ca="1"/>
        <v>#NAME?</v>
      </c>
      <c r="J11" t="e">
        <f t="array" aca="1" ref="J11:J12" ca="1">SortUnique(F3:F29)</f>
        <v>#NAME?</v>
      </c>
      <c r="K11" s="383" t="e">
        <f t="array" aca="1" ref="K11" ca="1">AVERAGEIFS($H$3:$H$29,$F$3:$F$29,$J11,$G$3:$G$29,K$10)</f>
        <v>#NAME?</v>
      </c>
      <c r="L11" s="384" t="e">
        <f t="array" aca="1" ref="L11" ca="1">AVERAGEIFS($H$3:$H$29,$F$3:$F$29,$J11,$G$3:$G$29,L$10)</f>
        <v>#NAME?</v>
      </c>
      <c r="M11" s="385" t="e">
        <f t="array" aca="1" ref="M11" ca="1">AVERAGEIFS($H$3:$H$29,$F$3:$F$29,$J11,$G$3:$G$29,M$10)</f>
        <v>#NAME?</v>
      </c>
      <c r="N11" t="e">
        <f t="array" aca="1" ref="N11" ca="1">AVERAGE(K11:M11)</f>
        <v>#NAME?</v>
      </c>
      <c r="X11" s="337"/>
      <c r="Y11" s="337">
        <f>IF(C7="","",C7)</f>
        <v>187</v>
      </c>
      <c r="Z11" s="337">
        <f>IF(C12="","",C12)</f>
        <v>159</v>
      </c>
    </row>
    <row r="12" spans="1:26">
      <c r="A12" s="200"/>
      <c r="B12" s="200">
        <v>120</v>
      </c>
      <c r="C12" s="200">
        <v>159</v>
      </c>
      <c r="D12" s="200">
        <v>142</v>
      </c>
      <c r="F12" s="292" t="e">
        <f ca="1"/>
        <v>#NAME?</v>
      </c>
      <c r="G12" s="5" t="e">
        <f ca="1"/>
        <v>#NAME?</v>
      </c>
      <c r="H12" s="43" t="e">
        <f ca="1"/>
        <v>#NAME?</v>
      </c>
      <c r="J12" t="e">
        <f ca="1"/>
        <v>#NAME?</v>
      </c>
      <c r="K12" s="377" t="e">
        <f t="array" aca="1" ref="K12" ca="1">AVERAGEIFS($H$3:$H$29,$F$3:$F$29,$J12,$G$3:$G$29,K$10)</f>
        <v>#NAME?</v>
      </c>
      <c r="L12" s="378" t="e">
        <f t="array" aca="1" ref="L12" ca="1">AVERAGEIFS($H$3:$H$29,$F$3:$F$29,$J12,$G$3:$G$29,L$10)</f>
        <v>#NAME?</v>
      </c>
      <c r="M12" s="379" t="e">
        <f t="array" aca="1" ref="M12" ca="1">AVERAGEIFS($H$3:$H$29,$F$3:$F$29,$J12,$G$3:$G$29,M$10)</f>
        <v>#NAME?</v>
      </c>
      <c r="N12" t="e">
        <f t="array" aca="1" ref="N12" ca="1">AVERAGE(K12:M12)</f>
        <v>#NAME?</v>
      </c>
      <c r="X12" s="337"/>
      <c r="Y12" s="337">
        <f>IF(C8="","",C8)</f>
        <v>153</v>
      </c>
      <c r="Z12" s="337">
        <f>IF(C13="","",C13)</f>
        <v>131</v>
      </c>
    </row>
    <row r="13" spans="1:26">
      <c r="A13" s="200"/>
      <c r="B13" s="200">
        <v>187</v>
      </c>
      <c r="C13" s="200">
        <v>131</v>
      </c>
      <c r="D13" s="200">
        <v>167</v>
      </c>
      <c r="F13" s="292" t="e">
        <f ca="1"/>
        <v>#NAME?</v>
      </c>
      <c r="G13" s="5" t="e">
        <f ca="1"/>
        <v>#NAME?</v>
      </c>
      <c r="H13" s="43" t="e">
        <f ca="1"/>
        <v>#NAME?</v>
      </c>
      <c r="K13" t="e">
        <f t="array" aca="1" ref="K13" ca="1">AVERAGE(K11:K12)</f>
        <v>#NAME?</v>
      </c>
      <c r="L13" t="e">
        <f t="array" aca="1" ref="L13" ca="1">AVERAGE(L11:L12)</f>
        <v>#NAME?</v>
      </c>
      <c r="M13" t="e">
        <f t="array" aca="1" ref="M13" ca="1">AVERAGE(M11:M12)</f>
        <v>#NAME?</v>
      </c>
      <c r="N13" t="e">
        <f t="array" aca="1" ref="N13" ca="1">AVERAGE(N11:N12)</f>
        <v>#NAME?</v>
      </c>
      <c r="X13" s="375"/>
      <c r="Y13" s="375" t="str">
        <f>IF(C9="","",C9)</f>
        <v/>
      </c>
      <c r="Z13" s="375" t="str">
        <f>IF(C14="","",C14)</f>
        <v/>
      </c>
    </row>
    <row r="14" spans="1:26">
      <c r="A14" s="146"/>
      <c r="B14" s="21">
        <v>184</v>
      </c>
      <c r="C14" s="21"/>
      <c r="D14" s="21"/>
      <c r="F14" s="292" t="e">
        <f ca="1"/>
        <v>#NAME?</v>
      </c>
      <c r="G14" s="5" t="e">
        <f ca="1"/>
        <v>#NAME?</v>
      </c>
      <c r="H14" s="43" t="e">
        <f ca="1"/>
        <v>#NAME?</v>
      </c>
      <c r="X14" s="386" t="str">
        <f>D4</f>
        <v>Rice</v>
      </c>
      <c r="Y14" s="386">
        <f>IF(D5="","",D5)</f>
        <v>151</v>
      </c>
      <c r="Z14" s="386">
        <f>IF(D10="","",D10)</f>
        <v>167</v>
      </c>
    </row>
    <row r="15" spans="1:26">
      <c r="F15" s="292" t="e">
        <f ca="1"/>
        <v>#NAME?</v>
      </c>
      <c r="G15" s="5" t="e">
        <f ca="1"/>
        <v>#NAME?</v>
      </c>
      <c r="H15" s="43" t="e">
        <f ca="1"/>
        <v>#NAME?</v>
      </c>
      <c r="J15" t="s">
        <v>627</v>
      </c>
      <c r="X15" s="337"/>
      <c r="Y15" s="337">
        <f>IF(D6="","",D6)</f>
        <v>125</v>
      </c>
      <c r="Z15" s="337">
        <f>IF(D11="","",D11)</f>
        <v>183</v>
      </c>
    </row>
    <row r="16" spans="1:26">
      <c r="F16" s="292" t="e">
        <f ca="1"/>
        <v>#NAME?</v>
      </c>
      <c r="G16" s="5" t="e">
        <f ca="1"/>
        <v>#NAME?</v>
      </c>
      <c r="H16" s="43" t="e">
        <f ca="1"/>
        <v>#NAME?</v>
      </c>
      <c r="K16" t="e">
        <f t="array" aca="1" ref="K16:M16" ca="1">TRANSPOSE(SortUnique(G3:G29))</f>
        <v>#NAME?</v>
      </c>
      <c r="L16" t="e">
        <f ca="1"/>
        <v>#NAME?</v>
      </c>
      <c r="M16" t="e">
        <f ca="1"/>
        <v>#NAME?</v>
      </c>
      <c r="X16" s="337"/>
      <c r="Y16" s="337">
        <f>IF(D7="","",D7)</f>
        <v>117</v>
      </c>
      <c r="Z16" s="337">
        <f>IF(D12="","",D12)</f>
        <v>142</v>
      </c>
    </row>
    <row r="17" spans="6:26">
      <c r="F17" s="292" t="e">
        <f ca="1"/>
        <v>#NAME?</v>
      </c>
      <c r="G17" s="5" t="e">
        <f ca="1"/>
        <v>#NAME?</v>
      </c>
      <c r="H17" s="43" t="e">
        <f ca="1"/>
        <v>#NAME?</v>
      </c>
      <c r="J17" t="e">
        <f t="array" aca="1" ref="J17:J18" ca="1">SortUnique(F3:F29)</f>
        <v>#NAME?</v>
      </c>
      <c r="K17" s="383" t="e">
        <f t="array" aca="1" ref="K17" ca="1">VAR(IF(($F$3:$F$29=$J17)*($G$3:$G$29=K$16),$H$3:$H$29))</f>
        <v>#NAME?</v>
      </c>
      <c r="L17" s="384" t="e">
        <f t="array" aca="1" ref="L17" ca="1">VAR(IF(($F$3:$F$29=$J17)*($G$3:$G$29=L$16),$H$3:$H$29))</f>
        <v>#NAME?</v>
      </c>
      <c r="M17" s="385" t="e">
        <f t="array" aca="1" ref="M17" ca="1">VAR(IF(($F$3:$F$29=$J17)*($G$3:$G$29=M$16),$H$3:$H$29))</f>
        <v>#NAME?</v>
      </c>
      <c r="N17" t="e">
        <f t="array" aca="1" ref="N17" ca="1">VAR(IF($F$3:$F$29=$J17,$H$3:$H$29))</f>
        <v>#NAME?</v>
      </c>
      <c r="X17" s="337"/>
      <c r="Y17" s="337">
        <f>IF(D8="","",D8)</f>
        <v>155</v>
      </c>
      <c r="Z17" s="337">
        <f>IF(D13="","",D13)</f>
        <v>167</v>
      </c>
    </row>
    <row r="18" spans="6:26">
      <c r="F18" s="292" t="e">
        <f ca="1"/>
        <v>#NAME?</v>
      </c>
      <c r="G18" s="5" t="e">
        <f ca="1"/>
        <v>#NAME?</v>
      </c>
      <c r="H18" s="43" t="e">
        <f ca="1"/>
        <v>#NAME?</v>
      </c>
      <c r="J18" t="e">
        <f ca="1"/>
        <v>#NAME?</v>
      </c>
      <c r="K18" s="377" t="e">
        <f t="array" aca="1" ref="K18" ca="1">VAR(IF(($F$3:$F$29=$J18)*($G$3:$G$29=K$16),$H$3:$H$29))</f>
        <v>#NAME?</v>
      </c>
      <c r="L18" s="378" t="e">
        <f t="array" aca="1" ref="L18" ca="1">VAR(IF(($F$3:$F$29=$J18)*($G$3:$G$29=L$16),$H$3:$H$29))</f>
        <v>#NAME?</v>
      </c>
      <c r="M18" s="379" t="e">
        <f t="array" aca="1" ref="M18" ca="1">VAR(IF(($F$3:$F$29=$J18)*($G$3:$G$29=M$16),$H$3:$H$29))</f>
        <v>#NAME?</v>
      </c>
      <c r="N18" t="e">
        <f t="array" aca="1" ref="N18" ca="1">VAR(IF($F$3:$F$29=$J18,$H$3:$H$29))</f>
        <v>#NAME?</v>
      </c>
      <c r="X18" s="375"/>
      <c r="Y18" s="375">
        <f>IF(D9="","",D9)</f>
        <v>158</v>
      </c>
      <c r="Z18" s="375" t="str">
        <f>IF(D14="","",D14)</f>
        <v/>
      </c>
    </row>
    <row r="19" spans="6:26">
      <c r="F19" s="292" t="e">
        <f ca="1"/>
        <v>#NAME?</v>
      </c>
      <c r="G19" s="5" t="e">
        <f ca="1"/>
        <v>#NAME?</v>
      </c>
      <c r="H19" s="43" t="e">
        <f ca="1"/>
        <v>#NAME?</v>
      </c>
      <c r="K19" t="e">
        <f t="array" aca="1" ref="K19" ca="1">VAR(IF($G$3:$G$29=K$16,$H$3:$H$29))</f>
        <v>#NAME?</v>
      </c>
      <c r="L19" t="e">
        <f t="array" aca="1" ref="L19" ca="1">VAR(IF($G$3:$G$29=L$16,$H$3:$H$29))</f>
        <v>#NAME?</v>
      </c>
      <c r="M19" t="e">
        <f t="array" aca="1" ref="M19" ca="1">VAR(IF($G$3:$G$29=M$16,$H$3:$H$29))</f>
        <v>#NAME?</v>
      </c>
      <c r="N19" t="e">
        <f ca="1">VAR(H3:H29)</f>
        <v>#NAME?</v>
      </c>
    </row>
    <row r="20" spans="6:26">
      <c r="F20" s="292" t="e">
        <f ca="1"/>
        <v>#NAME?</v>
      </c>
      <c r="G20" s="5" t="e">
        <f ca="1"/>
        <v>#NAME?</v>
      </c>
      <c r="H20" s="43" t="e">
        <f ca="1"/>
        <v>#NAME?</v>
      </c>
    </row>
    <row r="21" spans="6:26">
      <c r="F21" s="292" t="e">
        <f ca="1"/>
        <v>#NAME?</v>
      </c>
      <c r="G21" s="5" t="e">
        <f ca="1"/>
        <v>#NAME?</v>
      </c>
      <c r="H21" s="43" t="e">
        <f ca="1"/>
        <v>#NAME?</v>
      </c>
    </row>
    <row r="22" spans="6:26">
      <c r="F22" s="292" t="e">
        <f ca="1"/>
        <v>#NAME?</v>
      </c>
      <c r="G22" s="5" t="e">
        <f ca="1"/>
        <v>#NAME?</v>
      </c>
      <c r="H22" s="43" t="e">
        <f ca="1"/>
        <v>#NAME?</v>
      </c>
    </row>
    <row r="23" spans="6:26">
      <c r="F23" s="292" t="e">
        <f ca="1"/>
        <v>#NAME?</v>
      </c>
      <c r="G23" s="5" t="e">
        <f ca="1"/>
        <v>#NAME?</v>
      </c>
      <c r="H23" s="43" t="e">
        <f ca="1"/>
        <v>#NAME?</v>
      </c>
    </row>
    <row r="24" spans="6:26">
      <c r="F24" s="292" t="e">
        <f ca="1"/>
        <v>#NAME?</v>
      </c>
      <c r="G24" s="5" t="e">
        <f ca="1"/>
        <v>#NAME?</v>
      </c>
      <c r="H24" s="43" t="e">
        <f ca="1"/>
        <v>#NAME?</v>
      </c>
    </row>
    <row r="25" spans="6:26">
      <c r="F25" s="292" t="e">
        <f ca="1"/>
        <v>#NAME?</v>
      </c>
      <c r="G25" s="5" t="e">
        <f ca="1"/>
        <v>#NAME?</v>
      </c>
      <c r="H25" s="43" t="e">
        <f ca="1"/>
        <v>#NAME?</v>
      </c>
    </row>
    <row r="26" spans="6:26">
      <c r="F26" s="292" t="e">
        <f ca="1"/>
        <v>#NAME?</v>
      </c>
      <c r="G26" s="5" t="e">
        <f ca="1"/>
        <v>#NAME?</v>
      </c>
      <c r="H26" s="43" t="e">
        <f ca="1"/>
        <v>#NAME?</v>
      </c>
    </row>
    <row r="27" spans="6:26">
      <c r="F27" s="292" t="e">
        <f ca="1"/>
        <v>#NAME?</v>
      </c>
      <c r="G27" s="5" t="e">
        <f ca="1"/>
        <v>#NAME?</v>
      </c>
      <c r="H27" s="43" t="e">
        <f ca="1"/>
        <v>#NAME?</v>
      </c>
    </row>
    <row r="28" spans="6:26">
      <c r="F28" s="292" t="e">
        <f ca="1"/>
        <v>#NAME?</v>
      </c>
      <c r="G28" s="5" t="e">
        <f ca="1"/>
        <v>#NAME?</v>
      </c>
      <c r="H28" s="43" t="e">
        <f ca="1"/>
        <v>#NAME?</v>
      </c>
    </row>
    <row r="29" spans="6:26">
      <c r="F29" s="377" t="e">
        <f ca="1"/>
        <v>#NAME?</v>
      </c>
      <c r="G29" s="378" t="e">
        <f ca="1"/>
        <v>#NAME?</v>
      </c>
      <c r="H29" s="379" t="e">
        <f ca="1"/>
        <v>#NAME?</v>
      </c>
    </row>
  </sheetData>
  <mergeCells count="1">
    <mergeCell ref="B3:D3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264"/>
  <dimension ref="A1:CB98"/>
  <sheetViews>
    <sheetView zoomScale="95" zoomScaleNormal="95" workbookViewId="0"/>
  </sheetViews>
  <sheetFormatPr defaultRowHeight="15"/>
  <cols>
    <col min="4" max="15" width="4.42578125" customWidth="1"/>
    <col min="46" max="48" width="8.140625" customWidth="1"/>
    <col min="49" max="60" width="4.140625" customWidth="1"/>
    <col min="61" max="61" width="8.42578125" customWidth="1"/>
    <col min="62" max="64" width="6.7109375" customWidth="1"/>
    <col min="65" max="65" width="3.7109375" customWidth="1"/>
    <col min="66" max="66" width="5.7109375" customWidth="1"/>
    <col min="67" max="69" width="6.7109375" customWidth="1"/>
    <col min="70" max="70" width="3.7109375" customWidth="1"/>
    <col min="71" max="71" width="5.7109375" customWidth="1"/>
    <col min="72" max="74" width="6.7109375" customWidth="1"/>
    <col min="75" max="75" width="3.7109375" customWidth="1"/>
    <col min="76" max="76" width="5.7109375" customWidth="1"/>
    <col min="77" max="79" width="6.7109375" customWidth="1"/>
    <col min="80" max="80" width="3.7109375" customWidth="1"/>
  </cols>
  <sheetData>
    <row r="1" spans="1:80">
      <c r="A1" s="1" t="s">
        <v>635</v>
      </c>
      <c r="Q1" t="s">
        <v>630</v>
      </c>
      <c r="V1" t="s">
        <v>12</v>
      </c>
      <c r="AB1" t="s">
        <v>631</v>
      </c>
      <c r="AT1" t="s">
        <v>636</v>
      </c>
      <c r="BJ1" t="s">
        <v>630</v>
      </c>
    </row>
    <row r="3" spans="1:80" ht="15.75" thickBot="1">
      <c r="A3" s="204" t="s">
        <v>398</v>
      </c>
      <c r="B3" s="205" t="s">
        <v>404</v>
      </c>
      <c r="C3" s="206" t="s">
        <v>407</v>
      </c>
      <c r="D3" s="745" t="s">
        <v>399</v>
      </c>
      <c r="E3" s="746"/>
      <c r="F3" s="746"/>
      <c r="G3" s="746"/>
      <c r="H3" s="746"/>
      <c r="I3" s="746"/>
      <c r="J3" s="746"/>
      <c r="K3" s="746"/>
      <c r="L3" s="746"/>
      <c r="M3" s="746"/>
      <c r="N3" s="746"/>
      <c r="O3" s="747"/>
      <c r="Q3" s="390" t="e">
        <f t="array" aca="1" ref="Q3:T98" ca="1">Anova3Cols(A4:O11)</f>
        <v>#NAME?</v>
      </c>
      <c r="R3" s="391" t="e">
        <f ca="1"/>
        <v>#NAME?</v>
      </c>
      <c r="S3" s="391" t="e">
        <f ca="1"/>
        <v>#NAME?</v>
      </c>
      <c r="T3" s="392" t="e">
        <f ca="1"/>
        <v>#NAME?</v>
      </c>
      <c r="Y3" s="11" t="s">
        <v>11</v>
      </c>
      <c r="Z3" s="11" t="s">
        <v>8</v>
      </c>
      <c r="AB3" t="s">
        <v>210</v>
      </c>
      <c r="AF3" s="388" t="s">
        <v>16</v>
      </c>
      <c r="AG3" s="388">
        <v>0.05</v>
      </c>
      <c r="AT3" s="204" t="s">
        <v>398</v>
      </c>
      <c r="AU3" s="205" t="s">
        <v>404</v>
      </c>
      <c r="AV3" s="206" t="s">
        <v>407</v>
      </c>
      <c r="AW3" s="748" t="s">
        <v>399</v>
      </c>
      <c r="AX3" s="749"/>
      <c r="AY3" s="749"/>
      <c r="AZ3" s="749"/>
      <c r="BA3" s="749"/>
      <c r="BB3" s="749"/>
      <c r="BC3" s="749"/>
      <c r="BD3" s="749"/>
      <c r="BE3" s="749"/>
      <c r="BF3" s="749"/>
      <c r="BG3" s="749"/>
      <c r="BH3" s="750"/>
      <c r="BJ3" s="390" t="s">
        <v>59</v>
      </c>
      <c r="BK3" s="391" t="s">
        <v>405</v>
      </c>
      <c r="BL3" s="391" t="s">
        <v>408</v>
      </c>
      <c r="BM3" s="392">
        <v>23</v>
      </c>
      <c r="BO3" s="292" t="s">
        <v>59</v>
      </c>
      <c r="BP3" s="5" t="s">
        <v>406</v>
      </c>
      <c r="BQ3" s="5" t="s">
        <v>408</v>
      </c>
      <c r="BR3" s="43">
        <v>16</v>
      </c>
      <c r="BT3" s="292" t="s">
        <v>54</v>
      </c>
      <c r="BU3" s="5" t="s">
        <v>405</v>
      </c>
      <c r="BV3" s="5" t="s">
        <v>408</v>
      </c>
      <c r="BW3" s="43">
        <v>19</v>
      </c>
      <c r="BY3" s="292" t="s">
        <v>54</v>
      </c>
      <c r="BZ3" s="5" t="s">
        <v>406</v>
      </c>
      <c r="CA3" s="5" t="s">
        <v>408</v>
      </c>
      <c r="CB3" s="43">
        <v>28</v>
      </c>
    </row>
    <row r="4" spans="1:80" ht="15.75" thickTop="1">
      <c r="A4" s="201" t="s">
        <v>59</v>
      </c>
      <c r="B4" s="200" t="s">
        <v>405</v>
      </c>
      <c r="C4" s="6" t="s">
        <v>408</v>
      </c>
      <c r="D4" s="207">
        <v>23</v>
      </c>
      <c r="E4" s="207">
        <v>18</v>
      </c>
      <c r="F4" s="207">
        <v>26</v>
      </c>
      <c r="G4" s="207">
        <v>32</v>
      </c>
      <c r="H4" s="207">
        <v>13</v>
      </c>
      <c r="I4" s="207">
        <v>31</v>
      </c>
      <c r="J4" s="207">
        <v>26</v>
      </c>
      <c r="K4" s="207">
        <v>34</v>
      </c>
      <c r="L4" s="207">
        <v>17</v>
      </c>
      <c r="M4" s="207">
        <v>23</v>
      </c>
      <c r="N4" s="207">
        <v>28</v>
      </c>
      <c r="O4" s="208">
        <v>26</v>
      </c>
      <c r="Q4" s="292" t="e">
        <f ca="1"/>
        <v>#NAME?</v>
      </c>
      <c r="R4" s="5" t="e">
        <f ca="1"/>
        <v>#NAME?</v>
      </c>
      <c r="S4" s="5" t="e">
        <f ca="1"/>
        <v>#NAME?</v>
      </c>
      <c r="T4" s="43" t="e">
        <f ca="1"/>
        <v>#NAME?</v>
      </c>
      <c r="V4" s="390" t="e">
        <f t="array" aca="1" ref="V4:V5" ca="1">SortUnique(Q3:Q98)</f>
        <v>#NAME?</v>
      </c>
      <c r="W4" s="391"/>
      <c r="X4" s="392"/>
      <c r="Y4" s="390">
        <f ca="1">SUMIF($V$22:$V$29,V4,$Y$22:$Y$29)</f>
        <v>768</v>
      </c>
      <c r="Z4" s="392" t="e">
        <f ca="1">IF(Y4=0,"",AVERAGEIF($V$22:$V$29,V4,$Z$22:$Z$29))</f>
        <v>#NAME?</v>
      </c>
      <c r="AB4" s="374"/>
      <c r="AC4" s="374" t="s">
        <v>137</v>
      </c>
      <c r="AD4" s="374" t="s">
        <v>26</v>
      </c>
      <c r="AE4" s="374" t="s">
        <v>156</v>
      </c>
      <c r="AF4" s="374" t="s">
        <v>63</v>
      </c>
      <c r="AG4" s="374" t="s">
        <v>30</v>
      </c>
      <c r="AH4" s="374" t="s">
        <v>374</v>
      </c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201" t="s">
        <v>59</v>
      </c>
      <c r="AU4" s="200" t="s">
        <v>405</v>
      </c>
      <c r="AV4" s="6" t="s">
        <v>408</v>
      </c>
      <c r="AW4" s="207">
        <v>23</v>
      </c>
      <c r="AX4" s="207">
        <v>18</v>
      </c>
      <c r="AY4" s="207">
        <v>26</v>
      </c>
      <c r="AZ4" s="207">
        <v>32</v>
      </c>
      <c r="BA4" s="207">
        <v>13</v>
      </c>
      <c r="BB4" s="207">
        <v>31</v>
      </c>
      <c r="BC4" s="207">
        <v>26</v>
      </c>
      <c r="BD4" s="207">
        <v>34</v>
      </c>
      <c r="BE4" s="207">
        <v>17</v>
      </c>
      <c r="BF4" s="207">
        <v>23</v>
      </c>
      <c r="BG4" s="207">
        <v>28</v>
      </c>
      <c r="BH4" s="208">
        <v>26</v>
      </c>
      <c r="BJ4" s="292" t="s">
        <v>59</v>
      </c>
      <c r="BK4" s="5" t="s">
        <v>405</v>
      </c>
      <c r="BL4" s="5" t="s">
        <v>408</v>
      </c>
      <c r="BM4" s="43">
        <v>18</v>
      </c>
      <c r="BO4" s="292" t="s">
        <v>59</v>
      </c>
      <c r="BP4" s="5" t="s">
        <v>406</v>
      </c>
      <c r="BQ4" s="5" t="s">
        <v>408</v>
      </c>
      <c r="BR4" s="43">
        <v>31</v>
      </c>
      <c r="BT4" s="292" t="s">
        <v>54</v>
      </c>
      <c r="BU4" s="5" t="s">
        <v>405</v>
      </c>
      <c r="BV4" s="5" t="s">
        <v>408</v>
      </c>
      <c r="BW4" s="43">
        <v>28</v>
      </c>
      <c r="BY4" s="292" t="s">
        <v>54</v>
      </c>
      <c r="BZ4" s="5" t="s">
        <v>406</v>
      </c>
      <c r="CA4" s="5" t="s">
        <v>408</v>
      </c>
      <c r="CB4" s="43">
        <v>37</v>
      </c>
    </row>
    <row r="5" spans="1:80">
      <c r="A5" s="201" t="s">
        <v>59</v>
      </c>
      <c r="B5" s="200" t="s">
        <v>405</v>
      </c>
      <c r="C5" s="6" t="s">
        <v>409</v>
      </c>
      <c r="D5" s="5">
        <v>24</v>
      </c>
      <c r="E5" s="5">
        <v>25</v>
      </c>
      <c r="F5" s="5">
        <v>14</v>
      </c>
      <c r="G5" s="5">
        <v>17</v>
      </c>
      <c r="H5" s="5">
        <v>30</v>
      </c>
      <c r="I5" s="5">
        <v>18</v>
      </c>
      <c r="J5" s="5">
        <v>11</v>
      </c>
      <c r="K5" s="5">
        <v>16</v>
      </c>
      <c r="L5" s="5">
        <v>25</v>
      </c>
      <c r="M5" s="5">
        <v>18</v>
      </c>
      <c r="N5" s="5">
        <v>14</v>
      </c>
      <c r="O5" s="6">
        <v>25</v>
      </c>
      <c r="Q5" s="292" t="e">
        <f ca="1"/>
        <v>#NAME?</v>
      </c>
      <c r="R5" s="5" t="e">
        <f ca="1"/>
        <v>#NAME?</v>
      </c>
      <c r="S5" s="5" t="e">
        <f ca="1"/>
        <v>#NAME?</v>
      </c>
      <c r="T5" s="43" t="e">
        <f ca="1"/>
        <v>#NAME?</v>
      </c>
      <c r="V5" s="292" t="e">
        <f ca="1"/>
        <v>#NAME?</v>
      </c>
      <c r="W5" s="5"/>
      <c r="X5" s="43"/>
      <c r="Y5" s="292">
        <f ca="1">SUMIF($V$22:$V$29,V5,$Y$22:$Y$29)</f>
        <v>768</v>
      </c>
      <c r="Z5" s="43" t="e">
        <f ca="1">IF(Y5=0,"",AVERAGEIF($V$22:$V$29,V5,$Z$22:$Z$29))</f>
        <v>#NAME?</v>
      </c>
      <c r="AB5" t="s">
        <v>133</v>
      </c>
      <c r="AC5" t="e">
        <f t="array" aca="1" ref="AC5:AC12" ca="1">SSAnova3(Q3:T98)</f>
        <v>#NAME?</v>
      </c>
      <c r="AD5">
        <f ca="1">COUNT(Z4:Z5)-1</f>
        <v>-1</v>
      </c>
      <c r="AE5" t="e">
        <f t="shared" ref="AE5:AE13" ca="1" si="0">AC5/AD5</f>
        <v>#NAME?</v>
      </c>
      <c r="AF5" t="e">
        <f ca="1">AE5/AE12</f>
        <v>#NAME?</v>
      </c>
      <c r="AG5" t="e">
        <f ca="1">FDIST(AF5,AD5,AD12)</f>
        <v>#NAME?</v>
      </c>
      <c r="AH5" s="388" t="e">
        <f ca="1">IF(AG5&lt;AG3,"yes","no")</f>
        <v>#NAME?</v>
      </c>
      <c r="AI5" s="388"/>
      <c r="AJ5" s="388"/>
      <c r="AK5" s="388"/>
      <c r="AL5" s="388"/>
      <c r="AM5" s="388"/>
      <c r="AN5" s="388"/>
      <c r="AO5" s="388"/>
      <c r="AP5" s="388"/>
      <c r="AQ5" s="388"/>
      <c r="AR5" s="388"/>
      <c r="AS5" s="388"/>
      <c r="AT5" s="201" t="s">
        <v>59</v>
      </c>
      <c r="AU5" s="200" t="s">
        <v>405</v>
      </c>
      <c r="AV5" s="6" t="s">
        <v>409</v>
      </c>
      <c r="AW5" s="5">
        <v>24</v>
      </c>
      <c r="AX5" s="5">
        <v>25</v>
      </c>
      <c r="AY5" s="5">
        <v>14</v>
      </c>
      <c r="AZ5" s="5">
        <v>17</v>
      </c>
      <c r="BA5" s="5">
        <v>30</v>
      </c>
      <c r="BB5" s="5">
        <v>18</v>
      </c>
      <c r="BC5" s="5">
        <v>11</v>
      </c>
      <c r="BD5" s="5">
        <v>16</v>
      </c>
      <c r="BE5" s="5">
        <v>25</v>
      </c>
      <c r="BF5" s="5">
        <v>18</v>
      </c>
      <c r="BG5" s="5">
        <v>14</v>
      </c>
      <c r="BH5" s="6">
        <v>25</v>
      </c>
      <c r="BJ5" s="292" t="s">
        <v>59</v>
      </c>
      <c r="BK5" s="5" t="s">
        <v>405</v>
      </c>
      <c r="BL5" s="5" t="s">
        <v>408</v>
      </c>
      <c r="BM5" s="43">
        <v>26</v>
      </c>
      <c r="BO5" s="292" t="s">
        <v>59</v>
      </c>
      <c r="BP5" s="5" t="s">
        <v>406</v>
      </c>
      <c r="BQ5" s="5" t="s">
        <v>408</v>
      </c>
      <c r="BR5" s="43">
        <v>17</v>
      </c>
      <c r="BT5" s="292" t="s">
        <v>54</v>
      </c>
      <c r="BU5" s="5" t="s">
        <v>405</v>
      </c>
      <c r="BV5" s="5" t="s">
        <v>408</v>
      </c>
      <c r="BW5" s="43">
        <v>31</v>
      </c>
      <c r="BY5" s="292" t="s">
        <v>54</v>
      </c>
      <c r="BZ5" s="5" t="s">
        <v>406</v>
      </c>
      <c r="CA5" s="5" t="s">
        <v>408</v>
      </c>
      <c r="CB5" s="43">
        <v>22</v>
      </c>
    </row>
    <row r="6" spans="1:80">
      <c r="A6" s="201" t="s">
        <v>59</v>
      </c>
      <c r="B6" s="200" t="s">
        <v>406</v>
      </c>
      <c r="C6" s="6" t="s">
        <v>408</v>
      </c>
      <c r="D6" s="5">
        <v>16</v>
      </c>
      <c r="E6" s="5">
        <v>31</v>
      </c>
      <c r="F6" s="5">
        <v>17</v>
      </c>
      <c r="G6" s="5">
        <v>11</v>
      </c>
      <c r="H6" s="5">
        <v>34</v>
      </c>
      <c r="I6" s="5">
        <v>24</v>
      </c>
      <c r="J6" s="5">
        <v>24</v>
      </c>
      <c r="K6" s="5">
        <v>19</v>
      </c>
      <c r="L6" s="5">
        <v>31</v>
      </c>
      <c r="M6" s="5">
        <v>16</v>
      </c>
      <c r="N6" s="5">
        <v>11</v>
      </c>
      <c r="O6" s="6">
        <v>19</v>
      </c>
      <c r="Q6" s="292" t="e">
        <f ca="1"/>
        <v>#NAME?</v>
      </c>
      <c r="R6" s="5" t="e">
        <f ca="1"/>
        <v>#NAME?</v>
      </c>
      <c r="S6" s="5" t="e">
        <f ca="1"/>
        <v>#NAME?</v>
      </c>
      <c r="T6" s="43" t="e">
        <f ca="1"/>
        <v>#NAME?</v>
      </c>
      <c r="V6" s="292"/>
      <c r="W6" s="5" t="e">
        <f t="array" aca="1" ref="W6:W7" ca="1">SortUnique(R3:R98)</f>
        <v>#NAME?</v>
      </c>
      <c r="X6" s="43"/>
      <c r="Y6" s="292">
        <f ca="1">SUMIF($W$22:$W$29,W6,$Y$22:$Y$29)</f>
        <v>768</v>
      </c>
      <c r="Z6" s="43" t="e">
        <f ca="1">IF(Y6=0,"",AVERAGEIF($W$22:$W$29,W6,$Z$22:$Z$29))</f>
        <v>#NAME?</v>
      </c>
      <c r="AB6" t="s">
        <v>60</v>
      </c>
      <c r="AC6" t="e">
        <f ca="1"/>
        <v>#NAME?</v>
      </c>
      <c r="AD6">
        <f ca="1">COUNT(Z6:Z7)-1</f>
        <v>-1</v>
      </c>
      <c r="AE6" t="e">
        <f t="shared" ca="1" si="0"/>
        <v>#NAME?</v>
      </c>
      <c r="AF6" t="e">
        <f ca="1">AE6/AE12</f>
        <v>#NAME?</v>
      </c>
      <c r="AG6" t="e">
        <f ca="1">FDIST(AF6,AD6,AD12)</f>
        <v>#NAME?</v>
      </c>
      <c r="AH6" s="388" t="e">
        <f ca="1">IF(AG6&lt;AG3,"yes","no")</f>
        <v>#NAME?</v>
      </c>
      <c r="AI6" s="388"/>
      <c r="AJ6" s="388"/>
      <c r="AK6" s="388"/>
      <c r="AL6" s="388"/>
      <c r="AM6" s="388"/>
      <c r="AN6" s="388"/>
      <c r="AO6" s="388"/>
      <c r="AP6" s="388"/>
      <c r="AQ6" s="388"/>
      <c r="AR6" s="388"/>
      <c r="AS6" s="388"/>
      <c r="AT6" s="201" t="s">
        <v>59</v>
      </c>
      <c r="AU6" s="200" t="s">
        <v>406</v>
      </c>
      <c r="AV6" s="6" t="s">
        <v>408</v>
      </c>
      <c r="AW6" s="5">
        <v>16</v>
      </c>
      <c r="AX6" s="5">
        <v>31</v>
      </c>
      <c r="AY6" s="5">
        <v>17</v>
      </c>
      <c r="AZ6" s="5">
        <v>11</v>
      </c>
      <c r="BA6" s="5">
        <v>34</v>
      </c>
      <c r="BB6" s="5">
        <v>24</v>
      </c>
      <c r="BC6" s="5">
        <v>24</v>
      </c>
      <c r="BD6" s="5">
        <v>19</v>
      </c>
      <c r="BE6" s="5">
        <v>31</v>
      </c>
      <c r="BF6" s="5">
        <v>16</v>
      </c>
      <c r="BG6" s="5">
        <v>11</v>
      </c>
      <c r="BH6" s="6">
        <v>19</v>
      </c>
      <c r="BJ6" s="292" t="s">
        <v>59</v>
      </c>
      <c r="BK6" s="5" t="s">
        <v>405</v>
      </c>
      <c r="BL6" s="5" t="s">
        <v>408</v>
      </c>
      <c r="BM6" s="43">
        <v>32</v>
      </c>
      <c r="BO6" s="292" t="s">
        <v>59</v>
      </c>
      <c r="BP6" s="5" t="s">
        <v>406</v>
      </c>
      <c r="BQ6" s="5" t="s">
        <v>408</v>
      </c>
      <c r="BR6" s="43">
        <v>11</v>
      </c>
      <c r="BT6" s="292" t="s">
        <v>54</v>
      </c>
      <c r="BU6" s="5" t="s">
        <v>405</v>
      </c>
      <c r="BV6" s="5" t="s">
        <v>408</v>
      </c>
      <c r="BW6" s="43">
        <v>23</v>
      </c>
      <c r="BY6" s="292" t="s">
        <v>54</v>
      </c>
      <c r="BZ6" s="5" t="s">
        <v>406</v>
      </c>
      <c r="CA6" s="5" t="s">
        <v>408</v>
      </c>
      <c r="CB6" s="43">
        <v>44</v>
      </c>
    </row>
    <row r="7" spans="1:80">
      <c r="A7" s="201" t="s">
        <v>59</v>
      </c>
      <c r="B7" s="200" t="s">
        <v>406</v>
      </c>
      <c r="C7" s="6" t="s">
        <v>409</v>
      </c>
      <c r="D7" s="5">
        <v>31</v>
      </c>
      <c r="E7" s="5">
        <v>29</v>
      </c>
      <c r="F7" s="5">
        <v>40</v>
      </c>
      <c r="G7" s="5">
        <v>31</v>
      </c>
      <c r="H7" s="5">
        <v>35</v>
      </c>
      <c r="I7" s="5">
        <v>25</v>
      </c>
      <c r="J7" s="5">
        <v>18</v>
      </c>
      <c r="K7" s="5">
        <v>29</v>
      </c>
      <c r="L7" s="5">
        <v>36</v>
      </c>
      <c r="M7" s="5">
        <v>42</v>
      </c>
      <c r="N7" s="5">
        <v>40</v>
      </c>
      <c r="O7" s="6">
        <v>36</v>
      </c>
      <c r="Q7" s="292" t="e">
        <f ca="1"/>
        <v>#NAME?</v>
      </c>
      <c r="R7" s="5" t="e">
        <f ca="1"/>
        <v>#NAME?</v>
      </c>
      <c r="S7" s="5" t="e">
        <f ca="1"/>
        <v>#NAME?</v>
      </c>
      <c r="T7" s="43" t="e">
        <f ca="1"/>
        <v>#NAME?</v>
      </c>
      <c r="V7" s="292"/>
      <c r="W7" s="5" t="e">
        <f ca="1"/>
        <v>#NAME?</v>
      </c>
      <c r="X7" s="43"/>
      <c r="Y7" s="292">
        <f ca="1">SUMIF($W$22:$W$29,W7,$Y$22:$Y$29)</f>
        <v>768</v>
      </c>
      <c r="Z7" s="43" t="e">
        <f ca="1">IF(Y7=0,"",AVERAGEIF($W$22:$W$29,W7,$Z$22:$Z$29))</f>
        <v>#NAME?</v>
      </c>
      <c r="AB7" t="s">
        <v>61</v>
      </c>
      <c r="AC7" t="e">
        <f ca="1"/>
        <v>#NAME?</v>
      </c>
      <c r="AD7">
        <f ca="1">COUNT(Z8:Z9)-1</f>
        <v>-1</v>
      </c>
      <c r="AE7" t="e">
        <f t="shared" ca="1" si="0"/>
        <v>#NAME?</v>
      </c>
      <c r="AF7" t="e">
        <f ca="1">AE7/AE12</f>
        <v>#NAME?</v>
      </c>
      <c r="AG7" t="e">
        <f ca="1">FDIST(AF7,AD7,AD12)</f>
        <v>#NAME?</v>
      </c>
      <c r="AH7" s="388" t="e">
        <f ca="1">IF(AG7&lt;AG3,"yes","no")</f>
        <v>#NAME?</v>
      </c>
      <c r="AI7" s="388"/>
      <c r="AJ7" s="388"/>
      <c r="AK7" s="388"/>
      <c r="AL7" s="388"/>
      <c r="AM7" s="388"/>
      <c r="AN7" s="388"/>
      <c r="AO7" s="388"/>
      <c r="AP7" s="388"/>
      <c r="AQ7" s="388"/>
      <c r="AR7" s="388"/>
      <c r="AS7" s="388"/>
      <c r="AT7" s="201" t="s">
        <v>59</v>
      </c>
      <c r="AU7" s="200" t="s">
        <v>406</v>
      </c>
      <c r="AV7" s="6" t="s">
        <v>409</v>
      </c>
      <c r="AW7" s="5">
        <v>31</v>
      </c>
      <c r="AX7" s="5">
        <v>29</v>
      </c>
      <c r="AY7" s="5">
        <v>40</v>
      </c>
      <c r="AZ7" s="5">
        <v>31</v>
      </c>
      <c r="BA7" s="5">
        <v>35</v>
      </c>
      <c r="BB7" s="5">
        <v>25</v>
      </c>
      <c r="BC7" s="5">
        <v>18</v>
      </c>
      <c r="BD7" s="5">
        <v>29</v>
      </c>
      <c r="BE7" s="5">
        <v>36</v>
      </c>
      <c r="BF7" s="5">
        <v>42</v>
      </c>
      <c r="BG7" s="5">
        <v>40</v>
      </c>
      <c r="BH7" s="6">
        <v>36</v>
      </c>
      <c r="BJ7" s="292" t="s">
        <v>59</v>
      </c>
      <c r="BK7" s="5" t="s">
        <v>405</v>
      </c>
      <c r="BL7" s="5" t="s">
        <v>408</v>
      </c>
      <c r="BM7" s="43">
        <v>13</v>
      </c>
      <c r="BO7" s="292" t="s">
        <v>59</v>
      </c>
      <c r="BP7" s="5" t="s">
        <v>406</v>
      </c>
      <c r="BQ7" s="5" t="s">
        <v>408</v>
      </c>
      <c r="BR7" s="43">
        <v>34</v>
      </c>
      <c r="BT7" s="292" t="s">
        <v>54</v>
      </c>
      <c r="BU7" s="5" t="s">
        <v>405</v>
      </c>
      <c r="BV7" s="5" t="s">
        <v>408</v>
      </c>
      <c r="BW7" s="43">
        <v>19</v>
      </c>
      <c r="BY7" s="292" t="s">
        <v>54</v>
      </c>
      <c r="BZ7" s="5" t="s">
        <v>406</v>
      </c>
      <c r="CA7" s="5" t="s">
        <v>408</v>
      </c>
      <c r="CB7" s="43">
        <v>37</v>
      </c>
    </row>
    <row r="8" spans="1:80">
      <c r="A8" s="201" t="s">
        <v>54</v>
      </c>
      <c r="B8" s="200" t="s">
        <v>405</v>
      </c>
      <c r="C8" s="6" t="s">
        <v>408</v>
      </c>
      <c r="D8" s="5">
        <v>19</v>
      </c>
      <c r="E8" s="5">
        <v>28</v>
      </c>
      <c r="F8" s="5">
        <v>31</v>
      </c>
      <c r="G8" s="5">
        <v>23</v>
      </c>
      <c r="H8" s="5">
        <v>19</v>
      </c>
      <c r="I8" s="5">
        <v>14</v>
      </c>
      <c r="J8" s="5">
        <v>4</v>
      </c>
      <c r="K8" s="5">
        <v>29</v>
      </c>
      <c r="L8" s="5">
        <v>18</v>
      </c>
      <c r="M8" s="5">
        <v>22</v>
      </c>
      <c r="N8" s="5">
        <v>18</v>
      </c>
      <c r="O8" s="6">
        <v>24</v>
      </c>
      <c r="Q8" s="292" t="e">
        <f ca="1"/>
        <v>#NAME?</v>
      </c>
      <c r="R8" s="5" t="e">
        <f ca="1"/>
        <v>#NAME?</v>
      </c>
      <c r="S8" s="5" t="e">
        <f ca="1"/>
        <v>#NAME?</v>
      </c>
      <c r="T8" s="43" t="e">
        <f ca="1"/>
        <v>#NAME?</v>
      </c>
      <c r="V8" s="292"/>
      <c r="W8" s="5"/>
      <c r="X8" s="43" t="e">
        <f t="array" aca="1" ref="X8:X9" ca="1">SortUnique(S3:S98)</f>
        <v>#NAME?</v>
      </c>
      <c r="Y8" s="292">
        <f ca="1">SUMIF($X$22:$X$29,X8,$Y$22:$Y$29)</f>
        <v>768</v>
      </c>
      <c r="Z8" s="43" t="e">
        <f ca="1">IF(Y8=0,"",AVERAGEIF($X$22:$X$29,X8,$Z$22:$Z$29))</f>
        <v>#NAME?</v>
      </c>
      <c r="AB8" t="s">
        <v>400</v>
      </c>
      <c r="AC8" t="e">
        <f ca="1"/>
        <v>#NAME?</v>
      </c>
      <c r="AD8">
        <f ca="1">AD6*AD5</f>
        <v>1</v>
      </c>
      <c r="AE8" t="e">
        <f t="shared" ca="1" si="0"/>
        <v>#NAME?</v>
      </c>
      <c r="AF8" t="e">
        <f ca="1">AE8/AE12</f>
        <v>#NAME?</v>
      </c>
      <c r="AG8" t="e">
        <f ca="1">FDIST(AF8,AD8,AD12)</f>
        <v>#NAME?</v>
      </c>
      <c r="AH8" s="388" t="e">
        <f ca="1">IF(AG8&lt;AG3,"yes","no")</f>
        <v>#NAME?</v>
      </c>
      <c r="AI8" s="388"/>
      <c r="AJ8" s="388"/>
      <c r="AK8" s="388"/>
      <c r="AL8" s="388"/>
      <c r="AM8" s="388"/>
      <c r="AN8" s="388"/>
      <c r="AO8" s="388"/>
      <c r="AP8" s="388"/>
      <c r="AQ8" s="388"/>
      <c r="AR8" s="388"/>
      <c r="AS8" s="388"/>
      <c r="AT8" s="201" t="s">
        <v>54</v>
      </c>
      <c r="AU8" s="200" t="s">
        <v>405</v>
      </c>
      <c r="AV8" s="6" t="s">
        <v>408</v>
      </c>
      <c r="AW8" s="5">
        <v>19</v>
      </c>
      <c r="AX8" s="5">
        <v>28</v>
      </c>
      <c r="AY8" s="5">
        <v>31</v>
      </c>
      <c r="AZ8" s="5">
        <v>23</v>
      </c>
      <c r="BA8" s="5">
        <v>19</v>
      </c>
      <c r="BB8" s="5">
        <v>14</v>
      </c>
      <c r="BC8" s="5">
        <v>4</v>
      </c>
      <c r="BD8" s="5">
        <v>29</v>
      </c>
      <c r="BE8" s="5">
        <v>18</v>
      </c>
      <c r="BF8" s="5">
        <v>22</v>
      </c>
      <c r="BG8" s="5">
        <v>18</v>
      </c>
      <c r="BH8" s="6">
        <v>24</v>
      </c>
      <c r="BJ8" s="292" t="s">
        <v>59</v>
      </c>
      <c r="BK8" s="5" t="s">
        <v>405</v>
      </c>
      <c r="BL8" s="5" t="s">
        <v>408</v>
      </c>
      <c r="BM8" s="43">
        <v>31</v>
      </c>
      <c r="BO8" s="292" t="s">
        <v>59</v>
      </c>
      <c r="BP8" s="5" t="s">
        <v>406</v>
      </c>
      <c r="BQ8" s="5" t="s">
        <v>408</v>
      </c>
      <c r="BR8" s="43">
        <v>24</v>
      </c>
      <c r="BT8" s="292" t="s">
        <v>54</v>
      </c>
      <c r="BU8" s="5" t="s">
        <v>405</v>
      </c>
      <c r="BV8" s="5" t="s">
        <v>408</v>
      </c>
      <c r="BW8" s="43">
        <v>14</v>
      </c>
      <c r="BY8" s="292" t="s">
        <v>54</v>
      </c>
      <c r="BZ8" s="5" t="s">
        <v>406</v>
      </c>
      <c r="CA8" s="5" t="s">
        <v>408</v>
      </c>
      <c r="CB8" s="43">
        <v>42</v>
      </c>
    </row>
    <row r="9" spans="1:80">
      <c r="A9" s="201" t="s">
        <v>54</v>
      </c>
      <c r="B9" s="200" t="s">
        <v>405</v>
      </c>
      <c r="C9" s="6" t="s">
        <v>409</v>
      </c>
      <c r="D9" s="5">
        <v>29</v>
      </c>
      <c r="E9" s="5">
        <v>25</v>
      </c>
      <c r="F9" s="5">
        <v>17</v>
      </c>
      <c r="G9" s="5">
        <v>12</v>
      </c>
      <c r="H9" s="5">
        <v>26</v>
      </c>
      <c r="I9" s="5">
        <v>35</v>
      </c>
      <c r="J9" s="5">
        <v>10</v>
      </c>
      <c r="K9" s="5">
        <v>23</v>
      </c>
      <c r="L9" s="5">
        <v>26</v>
      </c>
      <c r="M9" s="5">
        <v>18</v>
      </c>
      <c r="N9" s="5">
        <v>24</v>
      </c>
      <c r="O9" s="6">
        <v>16</v>
      </c>
      <c r="Q9" s="292" t="e">
        <f ca="1"/>
        <v>#NAME?</v>
      </c>
      <c r="R9" s="5" t="e">
        <f ca="1"/>
        <v>#NAME?</v>
      </c>
      <c r="S9" s="5" t="e">
        <f ca="1"/>
        <v>#NAME?</v>
      </c>
      <c r="T9" s="43" t="e">
        <f ca="1"/>
        <v>#NAME?</v>
      </c>
      <c r="V9" s="377"/>
      <c r="W9" s="378"/>
      <c r="X9" s="379" t="e">
        <f ca="1"/>
        <v>#NAME?</v>
      </c>
      <c r="Y9" s="377">
        <f ca="1">SUMIF($X$22:$X$29,X9,$Y$22:$Y$29)</f>
        <v>768</v>
      </c>
      <c r="Z9" s="379" t="e">
        <f ca="1">IF(Y9=0,"",AVERAGEIF($X$22:$X$29,X9,$Z$22:$Z$29))</f>
        <v>#NAME?</v>
      </c>
      <c r="AB9" t="s">
        <v>401</v>
      </c>
      <c r="AC9" t="e">
        <f ca="1"/>
        <v>#NAME?</v>
      </c>
      <c r="AD9">
        <f ca="1">AD7*AD5</f>
        <v>1</v>
      </c>
      <c r="AE9" t="e">
        <f t="shared" ca="1" si="0"/>
        <v>#NAME?</v>
      </c>
      <c r="AF9" t="e">
        <f ca="1">AE9/AE12</f>
        <v>#NAME?</v>
      </c>
      <c r="AG9" t="e">
        <f ca="1">FDIST(AF9,AD8,AD12)</f>
        <v>#NAME?</v>
      </c>
      <c r="AH9" s="388" t="e">
        <f ca="1">IF(AG9&lt;AG3,"yes","no")</f>
        <v>#NAME?</v>
      </c>
      <c r="AI9" s="388"/>
      <c r="AJ9" s="388"/>
      <c r="AK9" s="388"/>
      <c r="AL9" s="388"/>
      <c r="AM9" s="388"/>
      <c r="AN9" s="388"/>
      <c r="AO9" s="388"/>
      <c r="AP9" s="388"/>
      <c r="AQ9" s="388"/>
      <c r="AR9" s="388"/>
      <c r="AS9" s="388"/>
      <c r="AT9" s="201" t="s">
        <v>54</v>
      </c>
      <c r="AU9" s="200" t="s">
        <v>405</v>
      </c>
      <c r="AV9" s="6" t="s">
        <v>409</v>
      </c>
      <c r="AW9" s="5">
        <v>29</v>
      </c>
      <c r="AX9" s="5">
        <v>25</v>
      </c>
      <c r="AY9" s="5">
        <v>17</v>
      </c>
      <c r="AZ9" s="5">
        <v>12</v>
      </c>
      <c r="BA9" s="5">
        <v>26</v>
      </c>
      <c r="BB9" s="5">
        <v>35</v>
      </c>
      <c r="BC9" s="5">
        <v>10</v>
      </c>
      <c r="BD9" s="5">
        <v>23</v>
      </c>
      <c r="BE9" s="5">
        <v>26</v>
      </c>
      <c r="BF9" s="5">
        <v>18</v>
      </c>
      <c r="BG9" s="5">
        <v>24</v>
      </c>
      <c r="BH9" s="6">
        <v>16</v>
      </c>
      <c r="BJ9" s="292" t="s">
        <v>59</v>
      </c>
      <c r="BK9" s="5" t="s">
        <v>405</v>
      </c>
      <c r="BL9" s="5" t="s">
        <v>408</v>
      </c>
      <c r="BM9" s="43">
        <v>26</v>
      </c>
      <c r="BO9" s="292" t="s">
        <v>59</v>
      </c>
      <c r="BP9" s="5" t="s">
        <v>406</v>
      </c>
      <c r="BQ9" s="5" t="s">
        <v>408</v>
      </c>
      <c r="BR9" s="43">
        <v>24</v>
      </c>
      <c r="BT9" s="292" t="s">
        <v>54</v>
      </c>
      <c r="BU9" s="5" t="s">
        <v>405</v>
      </c>
      <c r="BV9" s="5" t="s">
        <v>408</v>
      </c>
      <c r="BW9" s="43">
        <v>4</v>
      </c>
      <c r="BY9" s="292" t="s">
        <v>54</v>
      </c>
      <c r="BZ9" s="5" t="s">
        <v>406</v>
      </c>
      <c r="CA9" s="5" t="s">
        <v>408</v>
      </c>
      <c r="CB9" s="43">
        <v>30</v>
      </c>
    </row>
    <row r="10" spans="1:80">
      <c r="A10" s="201" t="s">
        <v>54</v>
      </c>
      <c r="B10" s="200" t="s">
        <v>406</v>
      </c>
      <c r="C10" s="6" t="s">
        <v>408</v>
      </c>
      <c r="D10" s="5">
        <v>28</v>
      </c>
      <c r="E10" s="5">
        <v>37</v>
      </c>
      <c r="F10" s="5">
        <v>22</v>
      </c>
      <c r="G10" s="5">
        <v>44</v>
      </c>
      <c r="H10" s="5">
        <v>37</v>
      </c>
      <c r="I10" s="5">
        <v>42</v>
      </c>
      <c r="J10" s="5">
        <v>30</v>
      </c>
      <c r="K10" s="5">
        <v>37</v>
      </c>
      <c r="L10" s="5">
        <v>25</v>
      </c>
      <c r="M10" s="5">
        <v>38</v>
      </c>
      <c r="N10" s="5">
        <v>41</v>
      </c>
      <c r="O10" s="6">
        <v>28</v>
      </c>
      <c r="Q10" s="292" t="e">
        <f ca="1"/>
        <v>#NAME?</v>
      </c>
      <c r="R10" s="5" t="e">
        <f ca="1"/>
        <v>#NAME?</v>
      </c>
      <c r="S10" s="5" t="e">
        <f ca="1"/>
        <v>#NAME?</v>
      </c>
      <c r="T10" s="43" t="e">
        <f ca="1"/>
        <v>#NAME?</v>
      </c>
      <c r="V10" s="390" t="e">
        <f ca="1">$V$4</f>
        <v>#NAME?</v>
      </c>
      <c r="W10" s="391" t="e">
        <f ca="1">$W6</f>
        <v>#NAME?</v>
      </c>
      <c r="X10" s="392"/>
      <c r="Y10" s="390">
        <f ca="1">SUMIFS($Y$22:$Y$29,$V$22:$V$29,V10,$W$22:$W$29,W10)</f>
        <v>768</v>
      </c>
      <c r="Z10" s="392" t="e">
        <f ca="1">IF(Y10=0,"",AVERAGEIFS($Z$22:$Z$29,$V$22:$V$29,V10,$W$22:$W$29,W10))</f>
        <v>#NAME?</v>
      </c>
      <c r="AB10" t="s">
        <v>402</v>
      </c>
      <c r="AC10" t="e">
        <f ca="1"/>
        <v>#NAME?</v>
      </c>
      <c r="AD10">
        <f ca="1">AD7*AD6</f>
        <v>1</v>
      </c>
      <c r="AE10" t="e">
        <f t="shared" ca="1" si="0"/>
        <v>#NAME?</v>
      </c>
      <c r="AF10" t="e">
        <f ca="1">AE10/AE12</f>
        <v>#NAME?</v>
      </c>
      <c r="AG10" t="e">
        <f ca="1">FDIST(AF10,AD10,AD12)</f>
        <v>#NAME?</v>
      </c>
      <c r="AH10" s="388" t="e">
        <f ca="1">IF(AG10&lt;AG3,"yes","no")</f>
        <v>#NAME?</v>
      </c>
      <c r="AI10" s="388"/>
      <c r="AJ10" s="388"/>
      <c r="AK10" s="388"/>
      <c r="AL10" s="388"/>
      <c r="AM10" s="388"/>
      <c r="AN10" s="388"/>
      <c r="AO10" s="388"/>
      <c r="AP10" s="388"/>
      <c r="AQ10" s="388"/>
      <c r="AR10" s="388"/>
      <c r="AS10" s="388"/>
      <c r="AT10" s="201" t="s">
        <v>54</v>
      </c>
      <c r="AU10" s="200" t="s">
        <v>406</v>
      </c>
      <c r="AV10" s="6" t="s">
        <v>408</v>
      </c>
      <c r="AW10" s="5">
        <v>28</v>
      </c>
      <c r="AX10" s="5">
        <v>37</v>
      </c>
      <c r="AY10" s="5">
        <v>22</v>
      </c>
      <c r="AZ10" s="5">
        <v>44</v>
      </c>
      <c r="BA10" s="5">
        <v>37</v>
      </c>
      <c r="BB10" s="5">
        <v>42</v>
      </c>
      <c r="BC10" s="5">
        <v>30</v>
      </c>
      <c r="BD10" s="5">
        <v>37</v>
      </c>
      <c r="BE10" s="5">
        <v>25</v>
      </c>
      <c r="BF10" s="5">
        <v>38</v>
      </c>
      <c r="BG10" s="5">
        <v>41</v>
      </c>
      <c r="BH10" s="6">
        <v>28</v>
      </c>
      <c r="BJ10" s="292" t="s">
        <v>59</v>
      </c>
      <c r="BK10" s="5" t="s">
        <v>405</v>
      </c>
      <c r="BL10" s="5" t="s">
        <v>408</v>
      </c>
      <c r="BM10" s="43">
        <v>34</v>
      </c>
      <c r="BO10" s="292" t="s">
        <v>59</v>
      </c>
      <c r="BP10" s="5" t="s">
        <v>406</v>
      </c>
      <c r="BQ10" s="5" t="s">
        <v>408</v>
      </c>
      <c r="BR10" s="43">
        <v>19</v>
      </c>
      <c r="BT10" s="292" t="s">
        <v>54</v>
      </c>
      <c r="BU10" s="5" t="s">
        <v>405</v>
      </c>
      <c r="BV10" s="5" t="s">
        <v>408</v>
      </c>
      <c r="BW10" s="43">
        <v>29</v>
      </c>
      <c r="BY10" s="292" t="s">
        <v>54</v>
      </c>
      <c r="BZ10" s="5" t="s">
        <v>406</v>
      </c>
      <c r="CA10" s="5" t="s">
        <v>408</v>
      </c>
      <c r="CB10" s="43">
        <v>37</v>
      </c>
    </row>
    <row r="11" spans="1:80">
      <c r="A11" s="7" t="s">
        <v>54</v>
      </c>
      <c r="B11" s="146" t="s">
        <v>406</v>
      </c>
      <c r="C11" s="9" t="s">
        <v>409</v>
      </c>
      <c r="D11" s="8">
        <v>35</v>
      </c>
      <c r="E11" s="8">
        <v>23</v>
      </c>
      <c r="F11" s="8">
        <v>24</v>
      </c>
      <c r="G11" s="8">
        <v>11</v>
      </c>
      <c r="H11" s="8">
        <v>23</v>
      </c>
      <c r="I11" s="8">
        <v>30</v>
      </c>
      <c r="J11" s="8">
        <v>26</v>
      </c>
      <c r="K11" s="8">
        <v>16</v>
      </c>
      <c r="L11" s="8">
        <v>23</v>
      </c>
      <c r="M11" s="8">
        <v>14</v>
      </c>
      <c r="N11" s="8">
        <v>19</v>
      </c>
      <c r="O11" s="9">
        <v>25</v>
      </c>
      <c r="Q11" s="292" t="e">
        <f ca="1"/>
        <v>#NAME?</v>
      </c>
      <c r="R11" s="5" t="e">
        <f ca="1"/>
        <v>#NAME?</v>
      </c>
      <c r="S11" s="5" t="e">
        <f ca="1"/>
        <v>#NAME?</v>
      </c>
      <c r="T11" s="43" t="e">
        <f ca="1"/>
        <v>#NAME?</v>
      </c>
      <c r="V11" s="292" t="e">
        <f ca="1">$V$4</f>
        <v>#NAME?</v>
      </c>
      <c r="W11" s="5" t="e">
        <f ca="1">$W7</f>
        <v>#NAME?</v>
      </c>
      <c r="X11" s="43"/>
      <c r="Y11" s="292">
        <f ca="1">SUMIFS($Y$22:$Y$29,$V$22:$V$29,V11,$W$22:$W$29,W11)</f>
        <v>768</v>
      </c>
      <c r="Z11" s="43" t="e">
        <f ca="1">IF(Y11=0,"",AVERAGEIFS($Z$22:$Z$29,$V$22:$V$29,V11,$W$22:$W$29,W11))</f>
        <v>#NAME?</v>
      </c>
      <c r="AB11" t="s">
        <v>403</v>
      </c>
      <c r="AC11" t="e">
        <f ca="1"/>
        <v>#NAME?</v>
      </c>
      <c r="AD11">
        <f ca="1">AD7*AD6*AD5</f>
        <v>-1</v>
      </c>
      <c r="AE11" t="e">
        <f t="shared" ca="1" si="0"/>
        <v>#NAME?</v>
      </c>
      <c r="AF11" t="e">
        <f ca="1">AE11/AE12</f>
        <v>#NAME?</v>
      </c>
      <c r="AG11" t="e">
        <f ca="1">FDIST(AF11,AD11,AD12)</f>
        <v>#NAME?</v>
      </c>
      <c r="AH11" s="388" t="e">
        <f ca="1">IF(AG11&lt;AG3,"yes","no")</f>
        <v>#NAME?</v>
      </c>
      <c r="AI11" s="388"/>
      <c r="AJ11" s="388"/>
      <c r="AK11" s="388"/>
      <c r="AL11" s="388"/>
      <c r="AM11" s="388"/>
      <c r="AN11" s="388"/>
      <c r="AO11" s="388"/>
      <c r="AP11" s="388"/>
      <c r="AQ11" s="388"/>
      <c r="AR11" s="388"/>
      <c r="AS11" s="388"/>
      <c r="AT11" s="7" t="s">
        <v>54</v>
      </c>
      <c r="AU11" s="146" t="s">
        <v>406</v>
      </c>
      <c r="AV11" s="9" t="s">
        <v>409</v>
      </c>
      <c r="AW11" s="8">
        <v>35</v>
      </c>
      <c r="AX11" s="8">
        <v>23</v>
      </c>
      <c r="AY11" s="8">
        <v>24</v>
      </c>
      <c r="AZ11" s="8">
        <v>11</v>
      </c>
      <c r="BA11" s="8">
        <v>23</v>
      </c>
      <c r="BB11" s="8">
        <v>30</v>
      </c>
      <c r="BC11" s="8">
        <v>26</v>
      </c>
      <c r="BD11" s="8">
        <v>16</v>
      </c>
      <c r="BE11" s="8">
        <v>23</v>
      </c>
      <c r="BF11" s="8">
        <v>14</v>
      </c>
      <c r="BG11" s="8">
        <v>19</v>
      </c>
      <c r="BH11" s="9">
        <v>25</v>
      </c>
      <c r="BJ11" s="292" t="s">
        <v>59</v>
      </c>
      <c r="BK11" s="5" t="s">
        <v>405</v>
      </c>
      <c r="BL11" s="5" t="s">
        <v>408</v>
      </c>
      <c r="BM11" s="43">
        <v>17</v>
      </c>
      <c r="BO11" s="292" t="s">
        <v>59</v>
      </c>
      <c r="BP11" s="5" t="s">
        <v>406</v>
      </c>
      <c r="BQ11" s="5" t="s">
        <v>408</v>
      </c>
      <c r="BR11" s="43">
        <v>31</v>
      </c>
      <c r="BT11" s="292" t="s">
        <v>54</v>
      </c>
      <c r="BU11" s="5" t="s">
        <v>405</v>
      </c>
      <c r="BV11" s="5" t="s">
        <v>408</v>
      </c>
      <c r="BW11" s="43">
        <v>18</v>
      </c>
      <c r="BY11" s="292" t="s">
        <v>54</v>
      </c>
      <c r="BZ11" s="5" t="s">
        <v>406</v>
      </c>
      <c r="CA11" s="5" t="s">
        <v>408</v>
      </c>
      <c r="CB11" s="43">
        <v>25</v>
      </c>
    </row>
    <row r="12" spans="1:80">
      <c r="Q12" s="292" t="e">
        <f ca="1"/>
        <v>#NAME?</v>
      </c>
      <c r="R12" s="5" t="e">
        <f ca="1"/>
        <v>#NAME?</v>
      </c>
      <c r="S12" s="5" t="e">
        <f ca="1"/>
        <v>#NAME?</v>
      </c>
      <c r="T12" s="43" t="e">
        <f ca="1"/>
        <v>#NAME?</v>
      </c>
      <c r="V12" s="292" t="e">
        <f ca="1">$V$5</f>
        <v>#NAME?</v>
      </c>
      <c r="W12" s="5" t="e">
        <f ca="1">$W6</f>
        <v>#NAME?</v>
      </c>
      <c r="X12" s="43"/>
      <c r="Y12" s="292">
        <f ca="1">SUMIFS($Y$22:$Y$29,$V$22:$V$29,V12,$W$22:$W$29,W12)</f>
        <v>768</v>
      </c>
      <c r="Z12" s="43" t="e">
        <f ca="1">IF(Y12=0,"",AVERAGEIFS($Z$22:$Z$29,$V$22:$V$29,V12,$W$22:$W$29,W12))</f>
        <v>#NAME?</v>
      </c>
      <c r="AB12" t="s">
        <v>391</v>
      </c>
      <c r="AC12" t="e">
        <f ca="1"/>
        <v>#NAME?</v>
      </c>
      <c r="AD12">
        <f ca="1">Y30-(AD5+1)*(AD6+1)*(AD7+1)</f>
        <v>768</v>
      </c>
      <c r="AE12" t="e">
        <f t="shared" ca="1" si="0"/>
        <v>#NAME?</v>
      </c>
      <c r="BJ12" s="292" t="s">
        <v>59</v>
      </c>
      <c r="BK12" s="5" t="s">
        <v>405</v>
      </c>
      <c r="BL12" s="5" t="s">
        <v>408</v>
      </c>
      <c r="BM12" s="43">
        <v>23</v>
      </c>
      <c r="BO12" s="292" t="s">
        <v>59</v>
      </c>
      <c r="BP12" s="5" t="s">
        <v>406</v>
      </c>
      <c r="BQ12" s="5" t="s">
        <v>408</v>
      </c>
      <c r="BR12" s="43">
        <v>16</v>
      </c>
      <c r="BT12" s="292" t="s">
        <v>54</v>
      </c>
      <c r="BU12" s="5" t="s">
        <v>405</v>
      </c>
      <c r="BV12" s="5" t="s">
        <v>408</v>
      </c>
      <c r="BW12" s="43">
        <v>22</v>
      </c>
      <c r="BY12" s="292" t="s">
        <v>54</v>
      </c>
      <c r="BZ12" s="5" t="s">
        <v>406</v>
      </c>
      <c r="CA12" s="5" t="s">
        <v>408</v>
      </c>
      <c r="CB12" s="43">
        <v>38</v>
      </c>
    </row>
    <row r="13" spans="1:80">
      <c r="Q13" s="292" t="e">
        <f ca="1"/>
        <v>#NAME?</v>
      </c>
      <c r="R13" s="5" t="e">
        <f ca="1"/>
        <v>#NAME?</v>
      </c>
      <c r="S13" s="5" t="e">
        <f ca="1"/>
        <v>#NAME?</v>
      </c>
      <c r="T13" s="43" t="e">
        <f ca="1"/>
        <v>#NAME?</v>
      </c>
      <c r="V13" s="377" t="e">
        <f ca="1">$V$5</f>
        <v>#NAME?</v>
      </c>
      <c r="W13" s="378" t="e">
        <f ca="1">$W7</f>
        <v>#NAME?</v>
      </c>
      <c r="X13" s="379"/>
      <c r="Y13" s="377">
        <f ca="1">SUMIFS($Y$22:$Y$29,$V$22:$V$29,V13,$W$22:$W$29,W13)</f>
        <v>768</v>
      </c>
      <c r="Z13" s="379" t="e">
        <f ca="1">IF(Y13=0,"",AVERAGEIFS($Z$22:$Z$29,$V$22:$V$29,V13,$W$22:$W$29,W13))</f>
        <v>#NAME?</v>
      </c>
      <c r="AB13" s="380" t="s">
        <v>1</v>
      </c>
      <c r="AC13" s="380" t="e">
        <f ca="1">Z31</f>
        <v>#NAME?</v>
      </c>
      <c r="AD13" s="380">
        <f ca="1">Y30-1</f>
        <v>767</v>
      </c>
      <c r="AE13" s="380" t="e">
        <f t="shared" ca="1" si="0"/>
        <v>#NAME?</v>
      </c>
      <c r="AF13" s="380"/>
      <c r="AG13" s="380"/>
      <c r="AH13" s="380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BJ13" s="292" t="s">
        <v>59</v>
      </c>
      <c r="BK13" s="5" t="s">
        <v>405</v>
      </c>
      <c r="BL13" s="5" t="s">
        <v>408</v>
      </c>
      <c r="BM13" s="43">
        <v>28</v>
      </c>
      <c r="BO13" s="292" t="s">
        <v>59</v>
      </c>
      <c r="BP13" s="5" t="s">
        <v>406</v>
      </c>
      <c r="BQ13" s="5" t="s">
        <v>408</v>
      </c>
      <c r="BR13" s="43">
        <v>11</v>
      </c>
      <c r="BT13" s="292" t="s">
        <v>54</v>
      </c>
      <c r="BU13" s="5" t="s">
        <v>405</v>
      </c>
      <c r="BV13" s="5" t="s">
        <v>408</v>
      </c>
      <c r="BW13" s="43">
        <v>18</v>
      </c>
      <c r="BY13" s="292" t="s">
        <v>54</v>
      </c>
      <c r="BZ13" s="5" t="s">
        <v>406</v>
      </c>
      <c r="CA13" s="5" t="s">
        <v>408</v>
      </c>
      <c r="CB13" s="43">
        <v>41</v>
      </c>
    </row>
    <row r="14" spans="1:80">
      <c r="Q14" s="292" t="e">
        <f ca="1"/>
        <v>#NAME?</v>
      </c>
      <c r="R14" s="5" t="e">
        <f ca="1"/>
        <v>#NAME?</v>
      </c>
      <c r="S14" s="5" t="e">
        <f ca="1"/>
        <v>#NAME?</v>
      </c>
      <c r="T14" s="43" t="e">
        <f ca="1"/>
        <v>#NAME?</v>
      </c>
      <c r="V14" s="390" t="e">
        <f ca="1">$V$4</f>
        <v>#NAME?</v>
      </c>
      <c r="W14" s="391"/>
      <c r="X14" s="392" t="e">
        <f ca="1">$X8</f>
        <v>#NAME?</v>
      </c>
      <c r="Y14" s="390">
        <f ca="1">SUMIFS($Y$22:$Y$29,$V$22:$V$29,V14,$X$22:$X$29,X14)</f>
        <v>768</v>
      </c>
      <c r="Z14" s="392" t="e">
        <f ca="1">IF(Y14=0,"",AVERAGEIFS($Z$22:$Z$29,$V$22:$V$29,V14,$X$22:$X$29,X14))</f>
        <v>#NAME?</v>
      </c>
      <c r="BJ14" s="292" t="s">
        <v>59</v>
      </c>
      <c r="BK14" s="5" t="s">
        <v>405</v>
      </c>
      <c r="BL14" s="5" t="s">
        <v>408</v>
      </c>
      <c r="BM14" s="43">
        <v>26</v>
      </c>
      <c r="BO14" s="292" t="s">
        <v>59</v>
      </c>
      <c r="BP14" s="5" t="s">
        <v>406</v>
      </c>
      <c r="BQ14" s="5" t="s">
        <v>408</v>
      </c>
      <c r="BR14" s="43">
        <v>19</v>
      </c>
      <c r="BT14" s="292" t="s">
        <v>54</v>
      </c>
      <c r="BU14" s="5" t="s">
        <v>405</v>
      </c>
      <c r="BV14" s="5" t="s">
        <v>408</v>
      </c>
      <c r="BW14" s="43">
        <v>24</v>
      </c>
      <c r="BY14" s="292" t="s">
        <v>54</v>
      </c>
      <c r="BZ14" s="5" t="s">
        <v>406</v>
      </c>
      <c r="CA14" s="5" t="s">
        <v>408</v>
      </c>
      <c r="CB14" s="43">
        <v>28</v>
      </c>
    </row>
    <row r="15" spans="1:80">
      <c r="Q15" s="292" t="e">
        <f ca="1"/>
        <v>#NAME?</v>
      </c>
      <c r="R15" s="5" t="e">
        <f ca="1"/>
        <v>#NAME?</v>
      </c>
      <c r="S15" s="5" t="e">
        <f ca="1"/>
        <v>#NAME?</v>
      </c>
      <c r="T15" s="43" t="e">
        <f ca="1"/>
        <v>#NAME?</v>
      </c>
      <c r="V15" s="292" t="e">
        <f ca="1">$V$4</f>
        <v>#NAME?</v>
      </c>
      <c r="W15" s="5"/>
      <c r="X15" s="43" t="e">
        <f ca="1">$X9</f>
        <v>#NAME?</v>
      </c>
      <c r="Y15" s="292">
        <f ca="1">SUMIFS($Y$22:$Y$29,$V$22:$V$29,V15,$X$22:$X$29,X15)</f>
        <v>768</v>
      </c>
      <c r="Z15" s="43" t="e">
        <f ca="1">IF(Y15=0,"",AVERAGEIFS($Z$22:$Z$29,$V$22:$V$29,V15,$X$22:$X$29,X15))</f>
        <v>#NAME?</v>
      </c>
      <c r="BJ15" s="292" t="s">
        <v>59</v>
      </c>
      <c r="BK15" s="5" t="s">
        <v>405</v>
      </c>
      <c r="BL15" s="5" t="s">
        <v>409</v>
      </c>
      <c r="BM15" s="43">
        <v>24</v>
      </c>
      <c r="BO15" s="292" t="s">
        <v>59</v>
      </c>
      <c r="BP15" s="5" t="s">
        <v>406</v>
      </c>
      <c r="BQ15" s="5" t="s">
        <v>409</v>
      </c>
      <c r="BR15" s="43">
        <v>31</v>
      </c>
      <c r="BT15" s="292" t="s">
        <v>54</v>
      </c>
      <c r="BU15" s="5" t="s">
        <v>405</v>
      </c>
      <c r="BV15" s="5" t="s">
        <v>409</v>
      </c>
      <c r="BW15" s="43">
        <v>29</v>
      </c>
      <c r="BY15" s="292" t="s">
        <v>54</v>
      </c>
      <c r="BZ15" s="5" t="s">
        <v>406</v>
      </c>
      <c r="CA15" s="5" t="s">
        <v>409</v>
      </c>
      <c r="CB15" s="43">
        <v>35</v>
      </c>
    </row>
    <row r="16" spans="1:80">
      <c r="Q16" s="292" t="e">
        <f ca="1"/>
        <v>#NAME?</v>
      </c>
      <c r="R16" s="5" t="e">
        <f ca="1"/>
        <v>#NAME?</v>
      </c>
      <c r="S16" s="5" t="e">
        <f ca="1"/>
        <v>#NAME?</v>
      </c>
      <c r="T16" s="43" t="e">
        <f ca="1"/>
        <v>#NAME?</v>
      </c>
      <c r="V16" s="292" t="e">
        <f ca="1">$V$5</f>
        <v>#NAME?</v>
      </c>
      <c r="W16" s="5"/>
      <c r="X16" s="43" t="e">
        <f ca="1">$X8</f>
        <v>#NAME?</v>
      </c>
      <c r="Y16" s="292">
        <f ca="1">SUMIFS($Y$22:$Y$29,$V$22:$V$29,V16,$X$22:$X$29,X16)</f>
        <v>768</v>
      </c>
      <c r="Z16" s="43" t="e">
        <f ca="1">IF(Y16=0,"",AVERAGEIFS($Z$22:$Z$29,$V$22:$V$29,V16,$X$22:$X$29,X16))</f>
        <v>#NAME?</v>
      </c>
      <c r="BJ16" s="292" t="s">
        <v>59</v>
      </c>
      <c r="BK16" s="5" t="s">
        <v>405</v>
      </c>
      <c r="BL16" s="5" t="s">
        <v>409</v>
      </c>
      <c r="BM16" s="43">
        <v>25</v>
      </c>
      <c r="BO16" s="292" t="s">
        <v>59</v>
      </c>
      <c r="BP16" s="5" t="s">
        <v>406</v>
      </c>
      <c r="BQ16" s="5" t="s">
        <v>409</v>
      </c>
      <c r="BR16" s="43">
        <v>29</v>
      </c>
      <c r="BT16" s="292" t="s">
        <v>54</v>
      </c>
      <c r="BU16" s="5" t="s">
        <v>405</v>
      </c>
      <c r="BV16" s="5" t="s">
        <v>409</v>
      </c>
      <c r="BW16" s="43">
        <v>25</v>
      </c>
      <c r="BY16" s="292" t="s">
        <v>54</v>
      </c>
      <c r="BZ16" s="5" t="s">
        <v>406</v>
      </c>
      <c r="CA16" s="5" t="s">
        <v>409</v>
      </c>
      <c r="CB16" s="43">
        <v>23</v>
      </c>
    </row>
    <row r="17" spans="17:80">
      <c r="Q17" s="292" t="e">
        <f ca="1"/>
        <v>#NAME?</v>
      </c>
      <c r="R17" s="5" t="e">
        <f ca="1"/>
        <v>#NAME?</v>
      </c>
      <c r="S17" s="5" t="e">
        <f ca="1"/>
        <v>#NAME?</v>
      </c>
      <c r="T17" s="43" t="e">
        <f ca="1"/>
        <v>#NAME?</v>
      </c>
      <c r="V17" s="377" t="e">
        <f ca="1">$V$5</f>
        <v>#NAME?</v>
      </c>
      <c r="W17" s="378"/>
      <c r="X17" s="379" t="e">
        <f ca="1">$X9</f>
        <v>#NAME?</v>
      </c>
      <c r="Y17" s="377">
        <f ca="1">SUMIFS($Y$22:$Y$29,$V$22:$V$29,V17,$X$22:$X$29,X17)</f>
        <v>768</v>
      </c>
      <c r="Z17" s="379" t="e">
        <f ca="1">IF(Y17=0,"",AVERAGEIFS($Z$22:$Z$29,$V$22:$V$29,V17,$X$22:$X$29,X17))</f>
        <v>#NAME?</v>
      </c>
      <c r="BJ17" s="292" t="s">
        <v>59</v>
      </c>
      <c r="BK17" s="5" t="s">
        <v>405</v>
      </c>
      <c r="BL17" s="5" t="s">
        <v>409</v>
      </c>
      <c r="BM17" s="43">
        <v>14</v>
      </c>
      <c r="BO17" s="292" t="s">
        <v>59</v>
      </c>
      <c r="BP17" s="5" t="s">
        <v>406</v>
      </c>
      <c r="BQ17" s="5" t="s">
        <v>409</v>
      </c>
      <c r="BR17" s="43">
        <v>40</v>
      </c>
      <c r="BT17" s="292" t="s">
        <v>54</v>
      </c>
      <c r="BU17" s="5" t="s">
        <v>405</v>
      </c>
      <c r="BV17" s="5" t="s">
        <v>409</v>
      </c>
      <c r="BW17" s="43">
        <v>17</v>
      </c>
      <c r="BY17" s="292" t="s">
        <v>54</v>
      </c>
      <c r="BZ17" s="5" t="s">
        <v>406</v>
      </c>
      <c r="CA17" s="5" t="s">
        <v>409</v>
      </c>
      <c r="CB17" s="43">
        <v>24</v>
      </c>
    </row>
    <row r="18" spans="17:80">
      <c r="Q18" s="292" t="e">
        <f ca="1"/>
        <v>#NAME?</v>
      </c>
      <c r="R18" s="5" t="e">
        <f ca="1"/>
        <v>#NAME?</v>
      </c>
      <c r="S18" s="5" t="e">
        <f ca="1"/>
        <v>#NAME?</v>
      </c>
      <c r="T18" s="43" t="e">
        <f ca="1"/>
        <v>#NAME?</v>
      </c>
      <c r="V18" s="390"/>
      <c r="W18" s="391" t="e">
        <f ca="1">$W$6</f>
        <v>#NAME?</v>
      </c>
      <c r="X18" s="392" t="e">
        <f ca="1">$X8</f>
        <v>#NAME?</v>
      </c>
      <c r="Y18" s="390">
        <f ca="1">SUMIFS($Y$22:$Y$29,$W$22:$W$29,W18,$X$22:$X$29,X18)</f>
        <v>768</v>
      </c>
      <c r="Z18" s="392" t="e">
        <f ca="1">IF(Y18=0,"",AVERAGEIFS($Z$22:$Z$29,$W$22:$W$29,W18,$X$22:$X$29,X18))</f>
        <v>#NAME?</v>
      </c>
      <c r="BJ18" s="292" t="s">
        <v>59</v>
      </c>
      <c r="BK18" s="5" t="s">
        <v>405</v>
      </c>
      <c r="BL18" s="5" t="s">
        <v>409</v>
      </c>
      <c r="BM18" s="43">
        <v>17</v>
      </c>
      <c r="BO18" s="292" t="s">
        <v>59</v>
      </c>
      <c r="BP18" s="5" t="s">
        <v>406</v>
      </c>
      <c r="BQ18" s="5" t="s">
        <v>409</v>
      </c>
      <c r="BR18" s="43">
        <v>31</v>
      </c>
      <c r="BT18" s="292" t="s">
        <v>54</v>
      </c>
      <c r="BU18" s="5" t="s">
        <v>405</v>
      </c>
      <c r="BV18" s="5" t="s">
        <v>409</v>
      </c>
      <c r="BW18" s="43">
        <v>12</v>
      </c>
      <c r="BY18" s="292" t="s">
        <v>54</v>
      </c>
      <c r="BZ18" s="5" t="s">
        <v>406</v>
      </c>
      <c r="CA18" s="5" t="s">
        <v>409</v>
      </c>
      <c r="CB18" s="43">
        <v>11</v>
      </c>
    </row>
    <row r="19" spans="17:80">
      <c r="Q19" s="292" t="e">
        <f ca="1"/>
        <v>#NAME?</v>
      </c>
      <c r="R19" s="5" t="e">
        <f ca="1"/>
        <v>#NAME?</v>
      </c>
      <c r="S19" s="5" t="e">
        <f ca="1"/>
        <v>#NAME?</v>
      </c>
      <c r="T19" s="43" t="e">
        <f ca="1"/>
        <v>#NAME?</v>
      </c>
      <c r="V19" s="292"/>
      <c r="W19" s="5" t="e">
        <f ca="1">$W$6</f>
        <v>#NAME?</v>
      </c>
      <c r="X19" s="43" t="e">
        <f ca="1">$X9</f>
        <v>#NAME?</v>
      </c>
      <c r="Y19" s="292">
        <f ca="1">SUMIFS($Y$22:$Y$29,$W$22:$W$29,W19,$X$22:$X$29,X19)</f>
        <v>768</v>
      </c>
      <c r="Z19" s="43" t="e">
        <f ca="1">IF(Y19=0,"",AVERAGEIFS($Z$22:$Z$29,$W$22:$W$29,W19,$X$22:$X$29,X19))</f>
        <v>#NAME?</v>
      </c>
      <c r="BJ19" s="292" t="s">
        <v>59</v>
      </c>
      <c r="BK19" s="5" t="s">
        <v>405</v>
      </c>
      <c r="BL19" s="5" t="s">
        <v>409</v>
      </c>
      <c r="BM19" s="43">
        <v>30</v>
      </c>
      <c r="BO19" s="292" t="s">
        <v>59</v>
      </c>
      <c r="BP19" s="5" t="s">
        <v>406</v>
      </c>
      <c r="BQ19" s="5" t="s">
        <v>409</v>
      </c>
      <c r="BR19" s="43">
        <v>35</v>
      </c>
      <c r="BT19" s="292" t="s">
        <v>54</v>
      </c>
      <c r="BU19" s="5" t="s">
        <v>405</v>
      </c>
      <c r="BV19" s="5" t="s">
        <v>409</v>
      </c>
      <c r="BW19" s="43">
        <v>26</v>
      </c>
      <c r="BY19" s="292" t="s">
        <v>54</v>
      </c>
      <c r="BZ19" s="5" t="s">
        <v>406</v>
      </c>
      <c r="CA19" s="5" t="s">
        <v>409</v>
      </c>
      <c r="CB19" s="43">
        <v>23</v>
      </c>
    </row>
    <row r="20" spans="17:80">
      <c r="Q20" s="292" t="e">
        <f ca="1"/>
        <v>#NAME?</v>
      </c>
      <c r="R20" s="5" t="e">
        <f ca="1"/>
        <v>#NAME?</v>
      </c>
      <c r="S20" s="5" t="e">
        <f ca="1"/>
        <v>#NAME?</v>
      </c>
      <c r="T20" s="43" t="e">
        <f ca="1"/>
        <v>#NAME?</v>
      </c>
      <c r="V20" s="292"/>
      <c r="W20" s="5" t="e">
        <f ca="1">$W$7</f>
        <v>#NAME?</v>
      </c>
      <c r="X20" s="43" t="e">
        <f ca="1">$X8</f>
        <v>#NAME?</v>
      </c>
      <c r="Y20" s="292">
        <f ca="1">SUMIFS($Y$22:$Y$29,$W$22:$W$29,W20,$X$22:$X$29,X20)</f>
        <v>768</v>
      </c>
      <c r="Z20" s="43" t="e">
        <f ca="1">IF(Y20=0,"",AVERAGEIFS($Z$22:$Z$29,$W$22:$W$29,W20,$X$22:$X$29,X20))</f>
        <v>#NAME?</v>
      </c>
      <c r="BJ20" s="292" t="s">
        <v>59</v>
      </c>
      <c r="BK20" s="5" t="s">
        <v>405</v>
      </c>
      <c r="BL20" s="5" t="s">
        <v>409</v>
      </c>
      <c r="BM20" s="43">
        <v>18</v>
      </c>
      <c r="BO20" s="292" t="s">
        <v>59</v>
      </c>
      <c r="BP20" s="5" t="s">
        <v>406</v>
      </c>
      <c r="BQ20" s="5" t="s">
        <v>409</v>
      </c>
      <c r="BR20" s="43">
        <v>25</v>
      </c>
      <c r="BT20" s="292" t="s">
        <v>54</v>
      </c>
      <c r="BU20" s="5" t="s">
        <v>405</v>
      </c>
      <c r="BV20" s="5" t="s">
        <v>409</v>
      </c>
      <c r="BW20" s="43">
        <v>35</v>
      </c>
      <c r="BY20" s="292" t="s">
        <v>54</v>
      </c>
      <c r="BZ20" s="5" t="s">
        <v>406</v>
      </c>
      <c r="CA20" s="5" t="s">
        <v>409</v>
      </c>
      <c r="CB20" s="43">
        <v>30</v>
      </c>
    </row>
    <row r="21" spans="17:80">
      <c r="Q21" s="292" t="e">
        <f ca="1"/>
        <v>#NAME?</v>
      </c>
      <c r="R21" s="5" t="e">
        <f ca="1"/>
        <v>#NAME?</v>
      </c>
      <c r="S21" s="5" t="e">
        <f ca="1"/>
        <v>#NAME?</v>
      </c>
      <c r="T21" s="43" t="e">
        <f ca="1"/>
        <v>#NAME?</v>
      </c>
      <c r="V21" s="377"/>
      <c r="W21" s="378" t="e">
        <f ca="1">$W$7</f>
        <v>#NAME?</v>
      </c>
      <c r="X21" s="379" t="e">
        <f ca="1">$X9</f>
        <v>#NAME?</v>
      </c>
      <c r="Y21" s="377">
        <f ca="1">SUMIFS($Y$22:$Y$29,$W$22:$W$29,W21,$X$22:$X$29,X21)</f>
        <v>768</v>
      </c>
      <c r="Z21" s="379" t="e">
        <f ca="1">IF(Y21=0,"",AVERAGEIFS($Z$22:$Z$29,$W$22:$W$29,W21,$X$22:$X$29,X21))</f>
        <v>#NAME?</v>
      </c>
      <c r="BJ21" s="292" t="s">
        <v>59</v>
      </c>
      <c r="BK21" s="5" t="s">
        <v>405</v>
      </c>
      <c r="BL21" s="5" t="s">
        <v>409</v>
      </c>
      <c r="BM21" s="43">
        <v>11</v>
      </c>
      <c r="BO21" s="292" t="s">
        <v>59</v>
      </c>
      <c r="BP21" s="5" t="s">
        <v>406</v>
      </c>
      <c r="BQ21" s="5" t="s">
        <v>409</v>
      </c>
      <c r="BR21" s="43">
        <v>18</v>
      </c>
      <c r="BT21" s="292" t="s">
        <v>54</v>
      </c>
      <c r="BU21" s="5" t="s">
        <v>405</v>
      </c>
      <c r="BV21" s="5" t="s">
        <v>409</v>
      </c>
      <c r="BW21" s="43">
        <v>10</v>
      </c>
      <c r="BY21" s="292" t="s">
        <v>54</v>
      </c>
      <c r="BZ21" s="5" t="s">
        <v>406</v>
      </c>
      <c r="CA21" s="5" t="s">
        <v>409</v>
      </c>
      <c r="CB21" s="43">
        <v>26</v>
      </c>
    </row>
    <row r="22" spans="17:80">
      <c r="Q22" s="292" t="e">
        <f ca="1"/>
        <v>#NAME?</v>
      </c>
      <c r="R22" s="5" t="e">
        <f ca="1"/>
        <v>#NAME?</v>
      </c>
      <c r="S22" s="5" t="e">
        <f ca="1"/>
        <v>#NAME?</v>
      </c>
      <c r="T22" s="43" t="e">
        <f ca="1"/>
        <v>#NAME?</v>
      </c>
      <c r="V22" s="390" t="e">
        <f ca="1">$V$4</f>
        <v>#NAME?</v>
      </c>
      <c r="W22" s="391" t="e">
        <f t="shared" ref="W22:X29" ca="1" si="1">W18</f>
        <v>#NAME?</v>
      </c>
      <c r="X22" s="392" t="e">
        <f t="shared" ca="1" si="1"/>
        <v>#NAME?</v>
      </c>
      <c r="Y22" s="390">
        <f ca="1">COUNTIFS($Q$3:$Q$98,$V22,$R$3:$R$98,$W22,$S$3:$S$98,$X22)</f>
        <v>96</v>
      </c>
      <c r="Z22" s="392" t="e">
        <f ca="1">IF(Y22=0,"",AVERAGEIFS($T$3:$T$98,$Q$3:$Q$98,$V22,$R$3:$R$98,$W22,$S$3:$S$98,$X22))</f>
        <v>#NAME?</v>
      </c>
      <c r="BJ22" s="292" t="s">
        <v>59</v>
      </c>
      <c r="BK22" s="5" t="s">
        <v>405</v>
      </c>
      <c r="BL22" s="5" t="s">
        <v>409</v>
      </c>
      <c r="BM22" s="43">
        <v>16</v>
      </c>
      <c r="BO22" s="292" t="s">
        <v>59</v>
      </c>
      <c r="BP22" s="5" t="s">
        <v>406</v>
      </c>
      <c r="BQ22" s="5" t="s">
        <v>409</v>
      </c>
      <c r="BR22" s="43">
        <v>29</v>
      </c>
      <c r="BT22" s="292" t="s">
        <v>54</v>
      </c>
      <c r="BU22" s="5" t="s">
        <v>405</v>
      </c>
      <c r="BV22" s="5" t="s">
        <v>409</v>
      </c>
      <c r="BW22" s="43">
        <v>23</v>
      </c>
      <c r="BY22" s="292" t="s">
        <v>54</v>
      </c>
      <c r="BZ22" s="5" t="s">
        <v>406</v>
      </c>
      <c r="CA22" s="5" t="s">
        <v>409</v>
      </c>
      <c r="CB22" s="43">
        <v>16</v>
      </c>
    </row>
    <row r="23" spans="17:80">
      <c r="Q23" s="292" t="e">
        <f ca="1"/>
        <v>#NAME?</v>
      </c>
      <c r="R23" s="5" t="e">
        <f ca="1"/>
        <v>#NAME?</v>
      </c>
      <c r="S23" s="5" t="e">
        <f ca="1"/>
        <v>#NAME?</v>
      </c>
      <c r="T23" s="43" t="e">
        <f ca="1"/>
        <v>#NAME?</v>
      </c>
      <c r="V23" s="292" t="e">
        <f ca="1">$V$4</f>
        <v>#NAME?</v>
      </c>
      <c r="W23" s="5" t="e">
        <f t="shared" ca="1" si="1"/>
        <v>#NAME?</v>
      </c>
      <c r="X23" s="43" t="e">
        <f t="shared" ca="1" si="1"/>
        <v>#NAME?</v>
      </c>
      <c r="Y23" s="292">
        <f t="shared" ref="Y23:Y29" ca="1" si="2">COUNTIFS($Q$3:$Q$98,$V23,$R$3:$R$98,$W23,$S$3:$S$98,$X23)</f>
        <v>96</v>
      </c>
      <c r="Z23" s="43" t="e">
        <f t="shared" ref="Z23:Z29" ca="1" si="3">IF(Y23=0,"",AVERAGEIFS($T$3:$T$98,$Q$3:$Q$98,$V23,$R$3:$R$98,$W23,$S$3:$S$98,$X23))</f>
        <v>#NAME?</v>
      </c>
      <c r="BJ23" s="292" t="s">
        <v>59</v>
      </c>
      <c r="BK23" s="5" t="s">
        <v>405</v>
      </c>
      <c r="BL23" s="5" t="s">
        <v>409</v>
      </c>
      <c r="BM23" s="43">
        <v>25</v>
      </c>
      <c r="BO23" s="292" t="s">
        <v>59</v>
      </c>
      <c r="BP23" s="5" t="s">
        <v>406</v>
      </c>
      <c r="BQ23" s="5" t="s">
        <v>409</v>
      </c>
      <c r="BR23" s="43">
        <v>36</v>
      </c>
      <c r="BT23" s="292" t="s">
        <v>54</v>
      </c>
      <c r="BU23" s="5" t="s">
        <v>405</v>
      </c>
      <c r="BV23" s="5" t="s">
        <v>409</v>
      </c>
      <c r="BW23" s="43">
        <v>26</v>
      </c>
      <c r="BY23" s="292" t="s">
        <v>54</v>
      </c>
      <c r="BZ23" s="5" t="s">
        <v>406</v>
      </c>
      <c r="CA23" s="5" t="s">
        <v>409</v>
      </c>
      <c r="CB23" s="43">
        <v>23</v>
      </c>
    </row>
    <row r="24" spans="17:80">
      <c r="Q24" s="292" t="e">
        <f ca="1"/>
        <v>#NAME?</v>
      </c>
      <c r="R24" s="5" t="e">
        <f ca="1"/>
        <v>#NAME?</v>
      </c>
      <c r="S24" s="5" t="e">
        <f ca="1"/>
        <v>#NAME?</v>
      </c>
      <c r="T24" s="43" t="e">
        <f ca="1"/>
        <v>#NAME?</v>
      </c>
      <c r="V24" s="292" t="e">
        <f ca="1">$V$4</f>
        <v>#NAME?</v>
      </c>
      <c r="W24" s="5" t="e">
        <f t="shared" ca="1" si="1"/>
        <v>#NAME?</v>
      </c>
      <c r="X24" s="43" t="e">
        <f t="shared" ca="1" si="1"/>
        <v>#NAME?</v>
      </c>
      <c r="Y24" s="292">
        <f t="shared" ca="1" si="2"/>
        <v>96</v>
      </c>
      <c r="Z24" s="43" t="e">
        <f t="shared" ca="1" si="3"/>
        <v>#NAME?</v>
      </c>
      <c r="BJ24" s="292" t="s">
        <v>59</v>
      </c>
      <c r="BK24" s="5" t="s">
        <v>405</v>
      </c>
      <c r="BL24" s="5" t="s">
        <v>409</v>
      </c>
      <c r="BM24" s="43">
        <v>18</v>
      </c>
      <c r="BO24" s="292" t="s">
        <v>59</v>
      </c>
      <c r="BP24" s="5" t="s">
        <v>406</v>
      </c>
      <c r="BQ24" s="5" t="s">
        <v>409</v>
      </c>
      <c r="BR24" s="43">
        <v>42</v>
      </c>
      <c r="BT24" s="292" t="s">
        <v>54</v>
      </c>
      <c r="BU24" s="5" t="s">
        <v>405</v>
      </c>
      <c r="BV24" s="5" t="s">
        <v>409</v>
      </c>
      <c r="BW24" s="43">
        <v>18</v>
      </c>
      <c r="BY24" s="292" t="s">
        <v>54</v>
      </c>
      <c r="BZ24" s="5" t="s">
        <v>406</v>
      </c>
      <c r="CA24" s="5" t="s">
        <v>409</v>
      </c>
      <c r="CB24" s="43">
        <v>14</v>
      </c>
    </row>
    <row r="25" spans="17:80">
      <c r="Q25" s="292" t="e">
        <f ca="1"/>
        <v>#NAME?</v>
      </c>
      <c r="R25" s="5" t="e">
        <f ca="1"/>
        <v>#NAME?</v>
      </c>
      <c r="S25" s="5" t="e">
        <f ca="1"/>
        <v>#NAME?</v>
      </c>
      <c r="T25" s="43" t="e">
        <f ca="1"/>
        <v>#NAME?</v>
      </c>
      <c r="V25" s="292" t="e">
        <f ca="1">$V$4</f>
        <v>#NAME?</v>
      </c>
      <c r="W25" s="5" t="e">
        <f t="shared" ca="1" si="1"/>
        <v>#NAME?</v>
      </c>
      <c r="X25" s="43" t="e">
        <f t="shared" ca="1" si="1"/>
        <v>#NAME?</v>
      </c>
      <c r="Y25" s="292">
        <f t="shared" ca="1" si="2"/>
        <v>96</v>
      </c>
      <c r="Z25" s="43" t="e">
        <f t="shared" ca="1" si="3"/>
        <v>#NAME?</v>
      </c>
      <c r="BJ25" s="292" t="s">
        <v>59</v>
      </c>
      <c r="BK25" s="5" t="s">
        <v>405</v>
      </c>
      <c r="BL25" s="5" t="s">
        <v>409</v>
      </c>
      <c r="BM25" s="43">
        <v>14</v>
      </c>
      <c r="BO25" s="292" t="s">
        <v>59</v>
      </c>
      <c r="BP25" s="5" t="s">
        <v>406</v>
      </c>
      <c r="BQ25" s="5" t="s">
        <v>409</v>
      </c>
      <c r="BR25" s="43">
        <v>40</v>
      </c>
      <c r="BT25" s="292" t="s">
        <v>54</v>
      </c>
      <c r="BU25" s="5" t="s">
        <v>405</v>
      </c>
      <c r="BV25" s="5" t="s">
        <v>409</v>
      </c>
      <c r="BW25" s="43">
        <v>24</v>
      </c>
      <c r="BY25" s="292" t="s">
        <v>54</v>
      </c>
      <c r="BZ25" s="5" t="s">
        <v>406</v>
      </c>
      <c r="CA25" s="5" t="s">
        <v>409</v>
      </c>
      <c r="CB25" s="43">
        <v>19</v>
      </c>
    </row>
    <row r="26" spans="17:80">
      <c r="Q26" s="292" t="e">
        <f ca="1"/>
        <v>#NAME?</v>
      </c>
      <c r="R26" s="5" t="e">
        <f ca="1"/>
        <v>#NAME?</v>
      </c>
      <c r="S26" s="5" t="e">
        <f ca="1"/>
        <v>#NAME?</v>
      </c>
      <c r="T26" s="43" t="e">
        <f ca="1"/>
        <v>#NAME?</v>
      </c>
      <c r="V26" s="292" t="e">
        <f ca="1">$V$5</f>
        <v>#NAME?</v>
      </c>
      <c r="W26" s="5" t="e">
        <f t="shared" ca="1" si="1"/>
        <v>#NAME?</v>
      </c>
      <c r="X26" s="43" t="e">
        <f t="shared" ca="1" si="1"/>
        <v>#NAME?</v>
      </c>
      <c r="Y26" s="292">
        <f t="shared" ca="1" si="2"/>
        <v>96</v>
      </c>
      <c r="Z26" s="43" t="e">
        <f t="shared" ca="1" si="3"/>
        <v>#NAME?</v>
      </c>
      <c r="BJ26" s="292" t="s">
        <v>59</v>
      </c>
      <c r="BK26" s="5" t="s">
        <v>405</v>
      </c>
      <c r="BL26" s="5" t="s">
        <v>409</v>
      </c>
      <c r="BM26" s="43">
        <v>25</v>
      </c>
      <c r="BO26" s="292" t="s">
        <v>59</v>
      </c>
      <c r="BP26" s="5" t="s">
        <v>406</v>
      </c>
      <c r="BQ26" s="5" t="s">
        <v>409</v>
      </c>
      <c r="BR26" s="43">
        <v>36</v>
      </c>
      <c r="BT26" s="292" t="s">
        <v>54</v>
      </c>
      <c r="BU26" s="5" t="s">
        <v>405</v>
      </c>
      <c r="BV26" s="5" t="s">
        <v>409</v>
      </c>
      <c r="BW26" s="43">
        <v>16</v>
      </c>
      <c r="BY26" s="377" t="s">
        <v>54</v>
      </c>
      <c r="BZ26" s="378" t="s">
        <v>406</v>
      </c>
      <c r="CA26" s="378" t="s">
        <v>409</v>
      </c>
      <c r="CB26" s="379">
        <v>25</v>
      </c>
    </row>
    <row r="27" spans="17:80">
      <c r="Q27" s="292" t="e">
        <f ca="1"/>
        <v>#NAME?</v>
      </c>
      <c r="R27" s="5" t="e">
        <f ca="1"/>
        <v>#NAME?</v>
      </c>
      <c r="S27" s="5" t="e">
        <f ca="1"/>
        <v>#NAME?</v>
      </c>
      <c r="T27" s="43" t="e">
        <f ca="1"/>
        <v>#NAME?</v>
      </c>
      <c r="V27" s="292" t="e">
        <f ca="1">$V$5</f>
        <v>#NAME?</v>
      </c>
      <c r="W27" s="5" t="e">
        <f t="shared" ca="1" si="1"/>
        <v>#NAME?</v>
      </c>
      <c r="X27" s="43" t="e">
        <f t="shared" ca="1" si="1"/>
        <v>#NAME?</v>
      </c>
      <c r="Y27" s="292">
        <f t="shared" ca="1" si="2"/>
        <v>96</v>
      </c>
      <c r="Z27" s="43" t="e">
        <f t="shared" ca="1" si="3"/>
        <v>#NAME?</v>
      </c>
    </row>
    <row r="28" spans="17:80">
      <c r="Q28" s="292" t="e">
        <f ca="1"/>
        <v>#NAME?</v>
      </c>
      <c r="R28" s="5" t="e">
        <f ca="1"/>
        <v>#NAME?</v>
      </c>
      <c r="S28" s="5" t="e">
        <f ca="1"/>
        <v>#NAME?</v>
      </c>
      <c r="T28" s="43" t="e">
        <f ca="1"/>
        <v>#NAME?</v>
      </c>
      <c r="V28" s="292" t="e">
        <f ca="1">$V$5</f>
        <v>#NAME?</v>
      </c>
      <c r="W28" s="5" t="e">
        <f t="shared" ca="1" si="1"/>
        <v>#NAME?</v>
      </c>
      <c r="X28" s="43" t="e">
        <f t="shared" ca="1" si="1"/>
        <v>#NAME?</v>
      </c>
      <c r="Y28" s="292">
        <f t="shared" ca="1" si="2"/>
        <v>96</v>
      </c>
      <c r="Z28" s="43" t="e">
        <f t="shared" ca="1" si="3"/>
        <v>#NAME?</v>
      </c>
    </row>
    <row r="29" spans="17:80">
      <c r="Q29" s="292" t="e">
        <f ca="1"/>
        <v>#NAME?</v>
      </c>
      <c r="R29" s="5" t="e">
        <f ca="1"/>
        <v>#NAME?</v>
      </c>
      <c r="S29" s="5" t="e">
        <f ca="1"/>
        <v>#NAME?</v>
      </c>
      <c r="T29" s="43" t="e">
        <f ca="1"/>
        <v>#NAME?</v>
      </c>
      <c r="V29" s="377" t="e">
        <f ca="1">$V$5</f>
        <v>#NAME?</v>
      </c>
      <c r="W29" s="378" t="e">
        <f t="shared" ca="1" si="1"/>
        <v>#NAME?</v>
      </c>
      <c r="X29" s="379" t="e">
        <f t="shared" ca="1" si="1"/>
        <v>#NAME?</v>
      </c>
      <c r="Y29" s="377">
        <f t="shared" ca="1" si="2"/>
        <v>96</v>
      </c>
      <c r="Z29" s="379" t="e">
        <f t="shared" ca="1" si="3"/>
        <v>#NAME?</v>
      </c>
    </row>
    <row r="30" spans="17:80">
      <c r="Q30" s="292" t="e">
        <f ca="1"/>
        <v>#NAME?</v>
      </c>
      <c r="R30" s="5" t="e">
        <f ca="1"/>
        <v>#NAME?</v>
      </c>
      <c r="S30" s="5" t="e">
        <f ca="1"/>
        <v>#NAME?</v>
      </c>
      <c r="T30" s="43" t="e">
        <f ca="1"/>
        <v>#NAME?</v>
      </c>
      <c r="Y30">
        <f ca="1">SUM(Y22:Y29)</f>
        <v>768</v>
      </c>
      <c r="Z30" t="e">
        <f ca="1">AVERAGE(Z22:Z29)</f>
        <v>#NAME?</v>
      </c>
    </row>
    <row r="31" spans="17:80">
      <c r="Q31" s="292" t="e">
        <f ca="1"/>
        <v>#NAME?</v>
      </c>
      <c r="R31" s="5" t="e">
        <f ca="1"/>
        <v>#NAME?</v>
      </c>
      <c r="S31" s="5" t="e">
        <f ca="1"/>
        <v>#NAME?</v>
      </c>
      <c r="T31" s="43" t="e">
        <f ca="1"/>
        <v>#NAME?</v>
      </c>
      <c r="Y31" s="11" t="s">
        <v>397</v>
      </c>
      <c r="Z31" s="393" t="e">
        <f ca="1">DEVSQ(T3:T98)</f>
        <v>#NAME?</v>
      </c>
    </row>
    <row r="32" spans="17:80">
      <c r="Q32" s="292" t="e">
        <f ca="1"/>
        <v>#NAME?</v>
      </c>
      <c r="R32" s="5" t="e">
        <f ca="1"/>
        <v>#NAME?</v>
      </c>
      <c r="S32" s="5" t="e">
        <f ca="1"/>
        <v>#NAME?</v>
      </c>
      <c r="T32" s="43" t="e">
        <f ca="1"/>
        <v>#NAME?</v>
      </c>
    </row>
    <row r="33" spans="17:20">
      <c r="Q33" s="292" t="e">
        <f ca="1"/>
        <v>#NAME?</v>
      </c>
      <c r="R33" s="5" t="e">
        <f ca="1"/>
        <v>#NAME?</v>
      </c>
      <c r="S33" s="5" t="e">
        <f ca="1"/>
        <v>#NAME?</v>
      </c>
      <c r="T33" s="43" t="e">
        <f ca="1"/>
        <v>#NAME?</v>
      </c>
    </row>
    <row r="34" spans="17:20">
      <c r="Q34" s="292" t="e">
        <f ca="1"/>
        <v>#NAME?</v>
      </c>
      <c r="R34" s="5" t="e">
        <f ca="1"/>
        <v>#NAME?</v>
      </c>
      <c r="S34" s="5" t="e">
        <f ca="1"/>
        <v>#NAME?</v>
      </c>
      <c r="T34" s="43" t="e">
        <f ca="1"/>
        <v>#NAME?</v>
      </c>
    </row>
    <row r="35" spans="17:20">
      <c r="Q35" s="292" t="e">
        <f ca="1"/>
        <v>#NAME?</v>
      </c>
      <c r="R35" s="5" t="e">
        <f ca="1"/>
        <v>#NAME?</v>
      </c>
      <c r="S35" s="5" t="e">
        <f ca="1"/>
        <v>#NAME?</v>
      </c>
      <c r="T35" s="43" t="e">
        <f ca="1"/>
        <v>#NAME?</v>
      </c>
    </row>
    <row r="36" spans="17:20">
      <c r="Q36" s="292" t="e">
        <f ca="1"/>
        <v>#NAME?</v>
      </c>
      <c r="R36" s="5" t="e">
        <f ca="1"/>
        <v>#NAME?</v>
      </c>
      <c r="S36" s="5" t="e">
        <f ca="1"/>
        <v>#NAME?</v>
      </c>
      <c r="T36" s="43" t="e">
        <f ca="1"/>
        <v>#NAME?</v>
      </c>
    </row>
    <row r="37" spans="17:20">
      <c r="Q37" s="292" t="e">
        <f ca="1"/>
        <v>#NAME?</v>
      </c>
      <c r="R37" s="5" t="e">
        <f ca="1"/>
        <v>#NAME?</v>
      </c>
      <c r="S37" s="5" t="e">
        <f ca="1"/>
        <v>#NAME?</v>
      </c>
      <c r="T37" s="43" t="e">
        <f ca="1"/>
        <v>#NAME?</v>
      </c>
    </row>
    <row r="38" spans="17:20">
      <c r="Q38" s="292" t="e">
        <f ca="1"/>
        <v>#NAME?</v>
      </c>
      <c r="R38" s="5" t="e">
        <f ca="1"/>
        <v>#NAME?</v>
      </c>
      <c r="S38" s="5" t="e">
        <f ca="1"/>
        <v>#NAME?</v>
      </c>
      <c r="T38" s="43" t="e">
        <f ca="1"/>
        <v>#NAME?</v>
      </c>
    </row>
    <row r="39" spans="17:20">
      <c r="Q39" s="292" t="e">
        <f ca="1"/>
        <v>#NAME?</v>
      </c>
      <c r="R39" s="5" t="e">
        <f ca="1"/>
        <v>#NAME?</v>
      </c>
      <c r="S39" s="5" t="e">
        <f ca="1"/>
        <v>#NAME?</v>
      </c>
      <c r="T39" s="43" t="e">
        <f ca="1"/>
        <v>#NAME?</v>
      </c>
    </row>
    <row r="40" spans="17:20">
      <c r="Q40" s="292" t="e">
        <f ca="1"/>
        <v>#NAME?</v>
      </c>
      <c r="R40" s="5" t="e">
        <f ca="1"/>
        <v>#NAME?</v>
      </c>
      <c r="S40" s="5" t="e">
        <f ca="1"/>
        <v>#NAME?</v>
      </c>
      <c r="T40" s="43" t="e">
        <f ca="1"/>
        <v>#NAME?</v>
      </c>
    </row>
    <row r="41" spans="17:20">
      <c r="Q41" s="292" t="e">
        <f ca="1"/>
        <v>#NAME?</v>
      </c>
      <c r="R41" s="5" t="e">
        <f ca="1"/>
        <v>#NAME?</v>
      </c>
      <c r="S41" s="5" t="e">
        <f ca="1"/>
        <v>#NAME?</v>
      </c>
      <c r="T41" s="43" t="e">
        <f ca="1"/>
        <v>#NAME?</v>
      </c>
    </row>
    <row r="42" spans="17:20">
      <c r="Q42" s="292" t="e">
        <f ca="1"/>
        <v>#NAME?</v>
      </c>
      <c r="R42" s="5" t="e">
        <f ca="1"/>
        <v>#NAME?</v>
      </c>
      <c r="S42" s="5" t="e">
        <f ca="1"/>
        <v>#NAME?</v>
      </c>
      <c r="T42" s="43" t="e">
        <f ca="1"/>
        <v>#NAME?</v>
      </c>
    </row>
    <row r="43" spans="17:20">
      <c r="Q43" s="292" t="e">
        <f ca="1"/>
        <v>#NAME?</v>
      </c>
      <c r="R43" s="5" t="e">
        <f ca="1"/>
        <v>#NAME?</v>
      </c>
      <c r="S43" s="5" t="e">
        <f ca="1"/>
        <v>#NAME?</v>
      </c>
      <c r="T43" s="43" t="e">
        <f ca="1"/>
        <v>#NAME?</v>
      </c>
    </row>
    <row r="44" spans="17:20">
      <c r="Q44" s="292" t="e">
        <f ca="1"/>
        <v>#NAME?</v>
      </c>
      <c r="R44" s="5" t="e">
        <f ca="1"/>
        <v>#NAME?</v>
      </c>
      <c r="S44" s="5" t="e">
        <f ca="1"/>
        <v>#NAME?</v>
      </c>
      <c r="T44" s="43" t="e">
        <f ca="1"/>
        <v>#NAME?</v>
      </c>
    </row>
    <row r="45" spans="17:20">
      <c r="Q45" s="292" t="e">
        <f ca="1"/>
        <v>#NAME?</v>
      </c>
      <c r="R45" s="5" t="e">
        <f ca="1"/>
        <v>#NAME?</v>
      </c>
      <c r="S45" s="5" t="e">
        <f ca="1"/>
        <v>#NAME?</v>
      </c>
      <c r="T45" s="43" t="e">
        <f ca="1"/>
        <v>#NAME?</v>
      </c>
    </row>
    <row r="46" spans="17:20">
      <c r="Q46" s="292" t="e">
        <f ca="1"/>
        <v>#NAME?</v>
      </c>
      <c r="R46" s="5" t="e">
        <f ca="1"/>
        <v>#NAME?</v>
      </c>
      <c r="S46" s="5" t="e">
        <f ca="1"/>
        <v>#NAME?</v>
      </c>
      <c r="T46" s="43" t="e">
        <f ca="1"/>
        <v>#NAME?</v>
      </c>
    </row>
    <row r="47" spans="17:20">
      <c r="Q47" s="292" t="e">
        <f ca="1"/>
        <v>#NAME?</v>
      </c>
      <c r="R47" s="5" t="e">
        <f ca="1"/>
        <v>#NAME?</v>
      </c>
      <c r="S47" s="5" t="e">
        <f ca="1"/>
        <v>#NAME?</v>
      </c>
      <c r="T47" s="43" t="e">
        <f ca="1"/>
        <v>#NAME?</v>
      </c>
    </row>
    <row r="48" spans="17:20">
      <c r="Q48" s="292" t="e">
        <f ca="1"/>
        <v>#NAME?</v>
      </c>
      <c r="R48" s="5" t="e">
        <f ca="1"/>
        <v>#NAME?</v>
      </c>
      <c r="S48" s="5" t="e">
        <f ca="1"/>
        <v>#NAME?</v>
      </c>
      <c r="T48" s="43" t="e">
        <f ca="1"/>
        <v>#NAME?</v>
      </c>
    </row>
    <row r="49" spans="17:20">
      <c r="Q49" s="292" t="e">
        <f ca="1"/>
        <v>#NAME?</v>
      </c>
      <c r="R49" s="5" t="e">
        <f ca="1"/>
        <v>#NAME?</v>
      </c>
      <c r="S49" s="5" t="e">
        <f ca="1"/>
        <v>#NAME?</v>
      </c>
      <c r="T49" s="43" t="e">
        <f ca="1"/>
        <v>#NAME?</v>
      </c>
    </row>
    <row r="50" spans="17:20">
      <c r="Q50" s="292" t="e">
        <f ca="1"/>
        <v>#NAME?</v>
      </c>
      <c r="R50" s="5" t="e">
        <f ca="1"/>
        <v>#NAME?</v>
      </c>
      <c r="S50" s="5" t="e">
        <f ca="1"/>
        <v>#NAME?</v>
      </c>
      <c r="T50" s="43" t="e">
        <f ca="1"/>
        <v>#NAME?</v>
      </c>
    </row>
    <row r="51" spans="17:20">
      <c r="Q51" s="292" t="e">
        <f ca="1"/>
        <v>#NAME?</v>
      </c>
      <c r="R51" s="5" t="e">
        <f ca="1"/>
        <v>#NAME?</v>
      </c>
      <c r="S51" s="5" t="e">
        <f ca="1"/>
        <v>#NAME?</v>
      </c>
      <c r="T51" s="43" t="e">
        <f ca="1"/>
        <v>#NAME?</v>
      </c>
    </row>
    <row r="52" spans="17:20">
      <c r="Q52" s="292" t="e">
        <f ca="1"/>
        <v>#NAME?</v>
      </c>
      <c r="R52" s="5" t="e">
        <f ca="1"/>
        <v>#NAME?</v>
      </c>
      <c r="S52" s="5" t="e">
        <f ca="1"/>
        <v>#NAME?</v>
      </c>
      <c r="T52" s="43" t="e">
        <f ca="1"/>
        <v>#NAME?</v>
      </c>
    </row>
    <row r="53" spans="17:20">
      <c r="Q53" s="292" t="e">
        <f ca="1"/>
        <v>#NAME?</v>
      </c>
      <c r="R53" s="5" t="e">
        <f ca="1"/>
        <v>#NAME?</v>
      </c>
      <c r="S53" s="5" t="e">
        <f ca="1"/>
        <v>#NAME?</v>
      </c>
      <c r="T53" s="43" t="e">
        <f ca="1"/>
        <v>#NAME?</v>
      </c>
    </row>
    <row r="54" spans="17:20">
      <c r="Q54" s="292" t="e">
        <f ca="1"/>
        <v>#NAME?</v>
      </c>
      <c r="R54" s="5" t="e">
        <f ca="1"/>
        <v>#NAME?</v>
      </c>
      <c r="S54" s="5" t="e">
        <f ca="1"/>
        <v>#NAME?</v>
      </c>
      <c r="T54" s="43" t="e">
        <f ca="1"/>
        <v>#NAME?</v>
      </c>
    </row>
    <row r="55" spans="17:20">
      <c r="Q55" s="292" t="e">
        <f ca="1"/>
        <v>#NAME?</v>
      </c>
      <c r="R55" s="5" t="e">
        <f ca="1"/>
        <v>#NAME?</v>
      </c>
      <c r="S55" s="5" t="e">
        <f ca="1"/>
        <v>#NAME?</v>
      </c>
      <c r="T55" s="43" t="e">
        <f ca="1"/>
        <v>#NAME?</v>
      </c>
    </row>
    <row r="56" spans="17:20">
      <c r="Q56" s="292" t="e">
        <f ca="1"/>
        <v>#NAME?</v>
      </c>
      <c r="R56" s="5" t="e">
        <f ca="1"/>
        <v>#NAME?</v>
      </c>
      <c r="S56" s="5" t="e">
        <f ca="1"/>
        <v>#NAME?</v>
      </c>
      <c r="T56" s="43" t="e">
        <f ca="1"/>
        <v>#NAME?</v>
      </c>
    </row>
    <row r="57" spans="17:20">
      <c r="Q57" s="292" t="e">
        <f ca="1"/>
        <v>#NAME?</v>
      </c>
      <c r="R57" s="5" t="e">
        <f ca="1"/>
        <v>#NAME?</v>
      </c>
      <c r="S57" s="5" t="e">
        <f ca="1"/>
        <v>#NAME?</v>
      </c>
      <c r="T57" s="43" t="e">
        <f ca="1"/>
        <v>#NAME?</v>
      </c>
    </row>
    <row r="58" spans="17:20">
      <c r="Q58" s="292" t="e">
        <f ca="1"/>
        <v>#NAME?</v>
      </c>
      <c r="R58" s="5" t="e">
        <f ca="1"/>
        <v>#NAME?</v>
      </c>
      <c r="S58" s="5" t="e">
        <f ca="1"/>
        <v>#NAME?</v>
      </c>
      <c r="T58" s="43" t="e">
        <f ca="1"/>
        <v>#NAME?</v>
      </c>
    </row>
    <row r="59" spans="17:20">
      <c r="Q59" s="292" t="e">
        <f ca="1"/>
        <v>#NAME?</v>
      </c>
      <c r="R59" s="5" t="e">
        <f ca="1"/>
        <v>#NAME?</v>
      </c>
      <c r="S59" s="5" t="e">
        <f ca="1"/>
        <v>#NAME?</v>
      </c>
      <c r="T59" s="43" t="e">
        <f ca="1"/>
        <v>#NAME?</v>
      </c>
    </row>
    <row r="60" spans="17:20">
      <c r="Q60" s="292" t="e">
        <f ca="1"/>
        <v>#NAME?</v>
      </c>
      <c r="R60" s="5" t="e">
        <f ca="1"/>
        <v>#NAME?</v>
      </c>
      <c r="S60" s="5" t="e">
        <f ca="1"/>
        <v>#NAME?</v>
      </c>
      <c r="T60" s="43" t="e">
        <f ca="1"/>
        <v>#NAME?</v>
      </c>
    </row>
    <row r="61" spans="17:20">
      <c r="Q61" s="292" t="e">
        <f ca="1"/>
        <v>#NAME?</v>
      </c>
      <c r="R61" s="5" t="e">
        <f ca="1"/>
        <v>#NAME?</v>
      </c>
      <c r="S61" s="5" t="e">
        <f ca="1"/>
        <v>#NAME?</v>
      </c>
      <c r="T61" s="43" t="e">
        <f ca="1"/>
        <v>#NAME?</v>
      </c>
    </row>
    <row r="62" spans="17:20">
      <c r="Q62" s="292" t="e">
        <f ca="1"/>
        <v>#NAME?</v>
      </c>
      <c r="R62" s="5" t="e">
        <f ca="1"/>
        <v>#NAME?</v>
      </c>
      <c r="S62" s="5" t="e">
        <f ca="1"/>
        <v>#NAME?</v>
      </c>
      <c r="T62" s="43" t="e">
        <f ca="1"/>
        <v>#NAME?</v>
      </c>
    </row>
    <row r="63" spans="17:20">
      <c r="Q63" s="292" t="e">
        <f ca="1"/>
        <v>#NAME?</v>
      </c>
      <c r="R63" s="5" t="e">
        <f ca="1"/>
        <v>#NAME?</v>
      </c>
      <c r="S63" s="5" t="e">
        <f ca="1"/>
        <v>#NAME?</v>
      </c>
      <c r="T63" s="43" t="e">
        <f ca="1"/>
        <v>#NAME?</v>
      </c>
    </row>
    <row r="64" spans="17:20">
      <c r="Q64" s="292" t="e">
        <f ca="1"/>
        <v>#NAME?</v>
      </c>
      <c r="R64" s="5" t="e">
        <f ca="1"/>
        <v>#NAME?</v>
      </c>
      <c r="S64" s="5" t="e">
        <f ca="1"/>
        <v>#NAME?</v>
      </c>
      <c r="T64" s="43" t="e">
        <f ca="1"/>
        <v>#NAME?</v>
      </c>
    </row>
    <row r="65" spans="17:20">
      <c r="Q65" s="292" t="e">
        <f ca="1"/>
        <v>#NAME?</v>
      </c>
      <c r="R65" s="5" t="e">
        <f ca="1"/>
        <v>#NAME?</v>
      </c>
      <c r="S65" s="5" t="e">
        <f ca="1"/>
        <v>#NAME?</v>
      </c>
      <c r="T65" s="43" t="e">
        <f ca="1"/>
        <v>#NAME?</v>
      </c>
    </row>
    <row r="66" spans="17:20">
      <c r="Q66" s="292" t="e">
        <f ca="1"/>
        <v>#NAME?</v>
      </c>
      <c r="R66" s="5" t="e">
        <f ca="1"/>
        <v>#NAME?</v>
      </c>
      <c r="S66" s="5" t="e">
        <f ca="1"/>
        <v>#NAME?</v>
      </c>
      <c r="T66" s="43" t="e">
        <f ca="1"/>
        <v>#NAME?</v>
      </c>
    </row>
    <row r="67" spans="17:20">
      <c r="Q67" s="292" t="e">
        <f ca="1"/>
        <v>#NAME?</v>
      </c>
      <c r="R67" s="5" t="e">
        <f ca="1"/>
        <v>#NAME?</v>
      </c>
      <c r="S67" s="5" t="e">
        <f ca="1"/>
        <v>#NAME?</v>
      </c>
      <c r="T67" s="43" t="e">
        <f ca="1"/>
        <v>#NAME?</v>
      </c>
    </row>
    <row r="68" spans="17:20">
      <c r="Q68" s="292" t="e">
        <f ca="1"/>
        <v>#NAME?</v>
      </c>
      <c r="R68" s="5" t="e">
        <f ca="1"/>
        <v>#NAME?</v>
      </c>
      <c r="S68" s="5" t="e">
        <f ca="1"/>
        <v>#NAME?</v>
      </c>
      <c r="T68" s="43" t="e">
        <f ca="1"/>
        <v>#NAME?</v>
      </c>
    </row>
    <row r="69" spans="17:20">
      <c r="Q69" s="292" t="e">
        <f ca="1"/>
        <v>#NAME?</v>
      </c>
      <c r="R69" s="5" t="e">
        <f ca="1"/>
        <v>#NAME?</v>
      </c>
      <c r="S69" s="5" t="e">
        <f ca="1"/>
        <v>#NAME?</v>
      </c>
      <c r="T69" s="43" t="e">
        <f ca="1"/>
        <v>#NAME?</v>
      </c>
    </row>
    <row r="70" spans="17:20">
      <c r="Q70" s="292" t="e">
        <f ca="1"/>
        <v>#NAME?</v>
      </c>
      <c r="R70" s="5" t="e">
        <f ca="1"/>
        <v>#NAME?</v>
      </c>
      <c r="S70" s="5" t="e">
        <f ca="1"/>
        <v>#NAME?</v>
      </c>
      <c r="T70" s="43" t="e">
        <f ca="1"/>
        <v>#NAME?</v>
      </c>
    </row>
    <row r="71" spans="17:20">
      <c r="Q71" s="292" t="e">
        <f ca="1"/>
        <v>#NAME?</v>
      </c>
      <c r="R71" s="5" t="e">
        <f ca="1"/>
        <v>#NAME?</v>
      </c>
      <c r="S71" s="5" t="e">
        <f ca="1"/>
        <v>#NAME?</v>
      </c>
      <c r="T71" s="43" t="e">
        <f ca="1"/>
        <v>#NAME?</v>
      </c>
    </row>
    <row r="72" spans="17:20">
      <c r="Q72" s="292" t="e">
        <f ca="1"/>
        <v>#NAME?</v>
      </c>
      <c r="R72" s="5" t="e">
        <f ca="1"/>
        <v>#NAME?</v>
      </c>
      <c r="S72" s="5" t="e">
        <f ca="1"/>
        <v>#NAME?</v>
      </c>
      <c r="T72" s="43" t="e">
        <f ca="1"/>
        <v>#NAME?</v>
      </c>
    </row>
    <row r="73" spans="17:20">
      <c r="Q73" s="292" t="e">
        <f ca="1"/>
        <v>#NAME?</v>
      </c>
      <c r="R73" s="5" t="e">
        <f ca="1"/>
        <v>#NAME?</v>
      </c>
      <c r="S73" s="5" t="e">
        <f ca="1"/>
        <v>#NAME?</v>
      </c>
      <c r="T73" s="43" t="e">
        <f ca="1"/>
        <v>#NAME?</v>
      </c>
    </row>
    <row r="74" spans="17:20">
      <c r="Q74" s="292" t="e">
        <f ca="1"/>
        <v>#NAME?</v>
      </c>
      <c r="R74" s="5" t="e">
        <f ca="1"/>
        <v>#NAME?</v>
      </c>
      <c r="S74" s="5" t="e">
        <f ca="1"/>
        <v>#NAME?</v>
      </c>
      <c r="T74" s="43" t="e">
        <f ca="1"/>
        <v>#NAME?</v>
      </c>
    </row>
    <row r="75" spans="17:20">
      <c r="Q75" s="292" t="e">
        <f ca="1"/>
        <v>#NAME?</v>
      </c>
      <c r="R75" s="5" t="e">
        <f ca="1"/>
        <v>#NAME?</v>
      </c>
      <c r="S75" s="5" t="e">
        <f ca="1"/>
        <v>#NAME?</v>
      </c>
      <c r="T75" s="43" t="e">
        <f ca="1"/>
        <v>#NAME?</v>
      </c>
    </row>
    <row r="76" spans="17:20">
      <c r="Q76" s="292" t="e">
        <f ca="1"/>
        <v>#NAME?</v>
      </c>
      <c r="R76" s="5" t="e">
        <f ca="1"/>
        <v>#NAME?</v>
      </c>
      <c r="S76" s="5" t="e">
        <f ca="1"/>
        <v>#NAME?</v>
      </c>
      <c r="T76" s="43" t="e">
        <f ca="1"/>
        <v>#NAME?</v>
      </c>
    </row>
    <row r="77" spans="17:20">
      <c r="Q77" s="292" t="e">
        <f ca="1"/>
        <v>#NAME?</v>
      </c>
      <c r="R77" s="5" t="e">
        <f ca="1"/>
        <v>#NAME?</v>
      </c>
      <c r="S77" s="5" t="e">
        <f ca="1"/>
        <v>#NAME?</v>
      </c>
      <c r="T77" s="43" t="e">
        <f ca="1"/>
        <v>#NAME?</v>
      </c>
    </row>
    <row r="78" spans="17:20">
      <c r="Q78" s="292" t="e">
        <f ca="1"/>
        <v>#NAME?</v>
      </c>
      <c r="R78" s="5" t="e">
        <f ca="1"/>
        <v>#NAME?</v>
      </c>
      <c r="S78" s="5" t="e">
        <f ca="1"/>
        <v>#NAME?</v>
      </c>
      <c r="T78" s="43" t="e">
        <f ca="1"/>
        <v>#NAME?</v>
      </c>
    </row>
    <row r="79" spans="17:20">
      <c r="Q79" s="292" t="e">
        <f ca="1"/>
        <v>#NAME?</v>
      </c>
      <c r="R79" s="5" t="e">
        <f ca="1"/>
        <v>#NAME?</v>
      </c>
      <c r="S79" s="5" t="e">
        <f ca="1"/>
        <v>#NAME?</v>
      </c>
      <c r="T79" s="43" t="e">
        <f ca="1"/>
        <v>#NAME?</v>
      </c>
    </row>
    <row r="80" spans="17:20">
      <c r="Q80" s="292" t="e">
        <f ca="1"/>
        <v>#NAME?</v>
      </c>
      <c r="R80" s="5" t="e">
        <f ca="1"/>
        <v>#NAME?</v>
      </c>
      <c r="S80" s="5" t="e">
        <f ca="1"/>
        <v>#NAME?</v>
      </c>
      <c r="T80" s="43" t="e">
        <f ca="1"/>
        <v>#NAME?</v>
      </c>
    </row>
    <row r="81" spans="17:20">
      <c r="Q81" s="292" t="e">
        <f ca="1"/>
        <v>#NAME?</v>
      </c>
      <c r="R81" s="5" t="e">
        <f ca="1"/>
        <v>#NAME?</v>
      </c>
      <c r="S81" s="5" t="e">
        <f ca="1"/>
        <v>#NAME?</v>
      </c>
      <c r="T81" s="43" t="e">
        <f ca="1"/>
        <v>#NAME?</v>
      </c>
    </row>
    <row r="82" spans="17:20">
      <c r="Q82" s="292" t="e">
        <f ca="1"/>
        <v>#NAME?</v>
      </c>
      <c r="R82" s="5" t="e">
        <f ca="1"/>
        <v>#NAME?</v>
      </c>
      <c r="S82" s="5" t="e">
        <f ca="1"/>
        <v>#NAME?</v>
      </c>
      <c r="T82" s="43" t="e">
        <f ca="1"/>
        <v>#NAME?</v>
      </c>
    </row>
    <row r="83" spans="17:20">
      <c r="Q83" s="292" t="e">
        <f ca="1"/>
        <v>#NAME?</v>
      </c>
      <c r="R83" s="5" t="e">
        <f ca="1"/>
        <v>#NAME?</v>
      </c>
      <c r="S83" s="5" t="e">
        <f ca="1"/>
        <v>#NAME?</v>
      </c>
      <c r="T83" s="43" t="e">
        <f ca="1"/>
        <v>#NAME?</v>
      </c>
    </row>
    <row r="84" spans="17:20">
      <c r="Q84" s="292" t="e">
        <f ca="1"/>
        <v>#NAME?</v>
      </c>
      <c r="R84" s="5" t="e">
        <f ca="1"/>
        <v>#NAME?</v>
      </c>
      <c r="S84" s="5" t="e">
        <f ca="1"/>
        <v>#NAME?</v>
      </c>
      <c r="T84" s="43" t="e">
        <f ca="1"/>
        <v>#NAME?</v>
      </c>
    </row>
    <row r="85" spans="17:20">
      <c r="Q85" s="292" t="e">
        <f ca="1"/>
        <v>#NAME?</v>
      </c>
      <c r="R85" s="5" t="e">
        <f ca="1"/>
        <v>#NAME?</v>
      </c>
      <c r="S85" s="5" t="e">
        <f ca="1"/>
        <v>#NAME?</v>
      </c>
      <c r="T85" s="43" t="e">
        <f ca="1"/>
        <v>#NAME?</v>
      </c>
    </row>
    <row r="86" spans="17:20">
      <c r="Q86" s="292" t="e">
        <f ca="1"/>
        <v>#NAME?</v>
      </c>
      <c r="R86" s="5" t="e">
        <f ca="1"/>
        <v>#NAME?</v>
      </c>
      <c r="S86" s="5" t="e">
        <f ca="1"/>
        <v>#NAME?</v>
      </c>
      <c r="T86" s="43" t="e">
        <f ca="1"/>
        <v>#NAME?</v>
      </c>
    </row>
    <row r="87" spans="17:20">
      <c r="Q87" s="292" t="e">
        <f ca="1"/>
        <v>#NAME?</v>
      </c>
      <c r="R87" s="5" t="e">
        <f ca="1"/>
        <v>#NAME?</v>
      </c>
      <c r="S87" s="5" t="e">
        <f ca="1"/>
        <v>#NAME?</v>
      </c>
      <c r="T87" s="43" t="e">
        <f ca="1"/>
        <v>#NAME?</v>
      </c>
    </row>
    <row r="88" spans="17:20">
      <c r="Q88" s="292" t="e">
        <f ca="1"/>
        <v>#NAME?</v>
      </c>
      <c r="R88" s="5" t="e">
        <f ca="1"/>
        <v>#NAME?</v>
      </c>
      <c r="S88" s="5" t="e">
        <f ca="1"/>
        <v>#NAME?</v>
      </c>
      <c r="T88" s="43" t="e">
        <f ca="1"/>
        <v>#NAME?</v>
      </c>
    </row>
    <row r="89" spans="17:20">
      <c r="Q89" s="292" t="e">
        <f ca="1"/>
        <v>#NAME?</v>
      </c>
      <c r="R89" s="5" t="e">
        <f ca="1"/>
        <v>#NAME?</v>
      </c>
      <c r="S89" s="5" t="e">
        <f ca="1"/>
        <v>#NAME?</v>
      </c>
      <c r="T89" s="43" t="e">
        <f ca="1"/>
        <v>#NAME?</v>
      </c>
    </row>
    <row r="90" spans="17:20">
      <c r="Q90" s="292" t="e">
        <f ca="1"/>
        <v>#NAME?</v>
      </c>
      <c r="R90" s="5" t="e">
        <f ca="1"/>
        <v>#NAME?</v>
      </c>
      <c r="S90" s="5" t="e">
        <f ca="1"/>
        <v>#NAME?</v>
      </c>
      <c r="T90" s="43" t="e">
        <f ca="1"/>
        <v>#NAME?</v>
      </c>
    </row>
    <row r="91" spans="17:20">
      <c r="Q91" s="292" t="e">
        <f ca="1"/>
        <v>#NAME?</v>
      </c>
      <c r="R91" s="5" t="e">
        <f ca="1"/>
        <v>#NAME?</v>
      </c>
      <c r="S91" s="5" t="e">
        <f ca="1"/>
        <v>#NAME?</v>
      </c>
      <c r="T91" s="43" t="e">
        <f ca="1"/>
        <v>#NAME?</v>
      </c>
    </row>
    <row r="92" spans="17:20">
      <c r="Q92" s="292" t="e">
        <f ca="1"/>
        <v>#NAME?</v>
      </c>
      <c r="R92" s="5" t="e">
        <f ca="1"/>
        <v>#NAME?</v>
      </c>
      <c r="S92" s="5" t="e">
        <f ca="1"/>
        <v>#NAME?</v>
      </c>
      <c r="T92" s="43" t="e">
        <f ca="1"/>
        <v>#NAME?</v>
      </c>
    </row>
    <row r="93" spans="17:20">
      <c r="Q93" s="292" t="e">
        <f ca="1"/>
        <v>#NAME?</v>
      </c>
      <c r="R93" s="5" t="e">
        <f ca="1"/>
        <v>#NAME?</v>
      </c>
      <c r="S93" s="5" t="e">
        <f ca="1"/>
        <v>#NAME?</v>
      </c>
      <c r="T93" s="43" t="e">
        <f ca="1"/>
        <v>#NAME?</v>
      </c>
    </row>
    <row r="94" spans="17:20">
      <c r="Q94" s="292" t="e">
        <f ca="1"/>
        <v>#NAME?</v>
      </c>
      <c r="R94" s="5" t="e">
        <f ca="1"/>
        <v>#NAME?</v>
      </c>
      <c r="S94" s="5" t="e">
        <f ca="1"/>
        <v>#NAME?</v>
      </c>
      <c r="T94" s="43" t="e">
        <f ca="1"/>
        <v>#NAME?</v>
      </c>
    </row>
    <row r="95" spans="17:20">
      <c r="Q95" s="292" t="e">
        <f ca="1"/>
        <v>#NAME?</v>
      </c>
      <c r="R95" s="5" t="e">
        <f ca="1"/>
        <v>#NAME?</v>
      </c>
      <c r="S95" s="5" t="e">
        <f ca="1"/>
        <v>#NAME?</v>
      </c>
      <c r="T95" s="43" t="e">
        <f ca="1"/>
        <v>#NAME?</v>
      </c>
    </row>
    <row r="96" spans="17:20">
      <c r="Q96" s="292" t="e">
        <f ca="1"/>
        <v>#NAME?</v>
      </c>
      <c r="R96" s="5" t="e">
        <f ca="1"/>
        <v>#NAME?</v>
      </c>
      <c r="S96" s="5" t="e">
        <f ca="1"/>
        <v>#NAME?</v>
      </c>
      <c r="T96" s="43" t="e">
        <f ca="1"/>
        <v>#NAME?</v>
      </c>
    </row>
    <row r="97" spans="17:20">
      <c r="Q97" s="292" t="e">
        <f ca="1"/>
        <v>#NAME?</v>
      </c>
      <c r="R97" s="5" t="e">
        <f ca="1"/>
        <v>#NAME?</v>
      </c>
      <c r="S97" s="5" t="e">
        <f ca="1"/>
        <v>#NAME?</v>
      </c>
      <c r="T97" s="43" t="e">
        <f ca="1"/>
        <v>#NAME?</v>
      </c>
    </row>
    <row r="98" spans="17:20">
      <c r="Q98" s="377" t="e">
        <f ca="1"/>
        <v>#NAME?</v>
      </c>
      <c r="R98" s="378" t="e">
        <f ca="1"/>
        <v>#NAME?</v>
      </c>
      <c r="S98" s="378" t="e">
        <f ca="1"/>
        <v>#NAME?</v>
      </c>
      <c r="T98" s="379" t="e">
        <f ca="1"/>
        <v>#NAME?</v>
      </c>
    </row>
  </sheetData>
  <mergeCells count="2">
    <mergeCell ref="D3:O3"/>
    <mergeCell ref="AW3:BH3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259"/>
  <dimension ref="A1:AH91"/>
  <sheetViews>
    <sheetView zoomScaleNormal="100" workbookViewId="0"/>
  </sheetViews>
  <sheetFormatPr defaultRowHeight="15"/>
  <cols>
    <col min="3" max="3" width="9.140625" customWidth="1"/>
    <col min="4" max="15" width="4.42578125" customWidth="1"/>
    <col min="16" max="16" width="9.140625" customWidth="1"/>
    <col min="19" max="21" width="9.140625" customWidth="1"/>
    <col min="24" max="25" width="9.140625" customWidth="1"/>
    <col min="27" max="28" width="9.140625" customWidth="1"/>
    <col min="30" max="30" width="9.140625" customWidth="1"/>
    <col min="34" max="34" width="9.140625" customWidth="1"/>
  </cols>
  <sheetData>
    <row r="1" spans="1:34">
      <c r="A1" s="1" t="s">
        <v>912</v>
      </c>
      <c r="Q1" t="s">
        <v>630</v>
      </c>
      <c r="V1" t="s">
        <v>12</v>
      </c>
      <c r="AB1" t="s">
        <v>631</v>
      </c>
    </row>
    <row r="3" spans="1:34" ht="15.75" thickBot="1">
      <c r="A3" s="204" t="s">
        <v>398</v>
      </c>
      <c r="B3" s="205" t="s">
        <v>404</v>
      </c>
      <c r="C3" s="206" t="s">
        <v>407</v>
      </c>
      <c r="D3" s="745" t="s">
        <v>399</v>
      </c>
      <c r="E3" s="746"/>
      <c r="F3" s="746"/>
      <c r="G3" s="746"/>
      <c r="H3" s="746"/>
      <c r="I3" s="746"/>
      <c r="J3" s="746"/>
      <c r="K3" s="746"/>
      <c r="L3" s="746"/>
      <c r="M3" s="746"/>
      <c r="N3" s="746"/>
      <c r="O3" s="747"/>
      <c r="Q3" s="394" t="e">
        <f t="array" aca="1" ref="Q3:T91" ca="1">Anova3Cols(A4:O11)</f>
        <v>#NAME?</v>
      </c>
      <c r="R3" s="395" t="e">
        <f ca="1"/>
        <v>#NAME?</v>
      </c>
      <c r="S3" s="395" t="e">
        <f ca="1"/>
        <v>#NAME?</v>
      </c>
      <c r="T3" s="396" t="e">
        <f ca="1"/>
        <v>#NAME?</v>
      </c>
      <c r="Y3" s="11" t="s">
        <v>11</v>
      </c>
      <c r="Z3" s="11" t="s">
        <v>8</v>
      </c>
      <c r="AB3" t="s">
        <v>210</v>
      </c>
      <c r="AF3" s="389" t="s">
        <v>16</v>
      </c>
      <c r="AG3" s="389">
        <v>0.05</v>
      </c>
    </row>
    <row r="4" spans="1:34" ht="15.75" thickTop="1">
      <c r="A4" s="201" t="s">
        <v>59</v>
      </c>
      <c r="B4" s="200" t="s">
        <v>405</v>
      </c>
      <c r="C4" s="6" t="s">
        <v>408</v>
      </c>
      <c r="D4" s="207">
        <v>23</v>
      </c>
      <c r="E4" s="207">
        <v>18</v>
      </c>
      <c r="F4" s="207">
        <v>26</v>
      </c>
      <c r="G4" s="207">
        <v>32</v>
      </c>
      <c r="H4" s="207">
        <v>13</v>
      </c>
      <c r="I4" s="207">
        <v>31</v>
      </c>
      <c r="J4" s="207">
        <v>26</v>
      </c>
      <c r="K4" s="207">
        <v>34</v>
      </c>
      <c r="L4" s="207">
        <v>17</v>
      </c>
      <c r="M4" s="207">
        <v>23</v>
      </c>
      <c r="N4" s="207">
        <v>28</v>
      </c>
      <c r="O4" s="208">
        <v>26</v>
      </c>
      <c r="Q4" s="292" t="e">
        <f ca="1"/>
        <v>#NAME?</v>
      </c>
      <c r="R4" s="5" t="e">
        <f ca="1"/>
        <v>#NAME?</v>
      </c>
      <c r="S4" s="5" t="e">
        <f ca="1"/>
        <v>#NAME?</v>
      </c>
      <c r="T4" s="43" t="e">
        <f ca="1"/>
        <v>#NAME?</v>
      </c>
      <c r="V4" s="394" t="e">
        <f t="array" aca="1" ref="V4:V5" ca="1">SortUnique(Q3:Q91)</f>
        <v>#NAME?</v>
      </c>
      <c r="W4" s="395"/>
      <c r="X4" s="396"/>
      <c r="Y4" s="394">
        <f ca="1">SUMIF($V$22:$V$29,V4,$Y$22:$Y$29)</f>
        <v>712</v>
      </c>
      <c r="Z4" s="396" t="e">
        <f ca="1">IF(Y4=0,"",AVERAGEIF($V$22:$V$29,V4,$Z$22:$Z$29))</f>
        <v>#NAME?</v>
      </c>
      <c r="AB4" s="374"/>
      <c r="AC4" s="374" t="s">
        <v>137</v>
      </c>
      <c r="AD4" s="374" t="s">
        <v>26</v>
      </c>
      <c r="AE4" s="374" t="s">
        <v>156</v>
      </c>
      <c r="AF4" s="374" t="s">
        <v>63</v>
      </c>
      <c r="AG4" s="374" t="s">
        <v>30</v>
      </c>
      <c r="AH4" s="374" t="s">
        <v>374</v>
      </c>
    </row>
    <row r="5" spans="1:34">
      <c r="A5" s="201" t="s">
        <v>59</v>
      </c>
      <c r="B5" s="200" t="s">
        <v>405</v>
      </c>
      <c r="C5" s="6" t="s">
        <v>409</v>
      </c>
      <c r="D5" s="5">
        <v>24</v>
      </c>
      <c r="E5" s="5">
        <v>25</v>
      </c>
      <c r="F5" s="5">
        <v>14</v>
      </c>
      <c r="G5" s="5">
        <v>17</v>
      </c>
      <c r="H5" s="5">
        <v>30</v>
      </c>
      <c r="I5" s="5">
        <v>18</v>
      </c>
      <c r="J5" s="5">
        <v>11</v>
      </c>
      <c r="K5" s="5">
        <v>16</v>
      </c>
      <c r="L5" s="5">
        <v>25</v>
      </c>
      <c r="M5" s="5"/>
      <c r="N5" s="5"/>
      <c r="O5" s="6"/>
      <c r="Q5" s="292" t="e">
        <f ca="1"/>
        <v>#NAME?</v>
      </c>
      <c r="R5" s="5" t="e">
        <f ca="1"/>
        <v>#NAME?</v>
      </c>
      <c r="S5" s="5" t="e">
        <f ca="1"/>
        <v>#NAME?</v>
      </c>
      <c r="T5" s="43" t="e">
        <f ca="1"/>
        <v>#NAME?</v>
      </c>
      <c r="V5" s="292" t="e">
        <f ca="1"/>
        <v>#NAME?</v>
      </c>
      <c r="W5" s="5"/>
      <c r="X5" s="43"/>
      <c r="Y5" s="292">
        <f ca="1">SUMIF($V$22:$V$29,V5,$Y$22:$Y$29)</f>
        <v>712</v>
      </c>
      <c r="Z5" s="43" t="e">
        <f ca="1">IF(Y5=0,"",AVERAGEIF($V$22:$V$29,V5,$Z$22:$Z$29))</f>
        <v>#NAME?</v>
      </c>
      <c r="AB5" t="s">
        <v>133</v>
      </c>
      <c r="AC5" t="e">
        <f t="array" aca="1" ref="AC5:AC12" ca="1">SSAnova3(Q3:T91)</f>
        <v>#NAME?</v>
      </c>
      <c r="AD5">
        <f ca="1">COUNT(Z4:Z5)-1</f>
        <v>-1</v>
      </c>
      <c r="AE5" t="e">
        <f t="shared" ref="AE5:AE13" ca="1" si="0">AC5/AD5</f>
        <v>#NAME?</v>
      </c>
      <c r="AF5" t="e">
        <f ca="1">AE5/AE12</f>
        <v>#NAME?</v>
      </c>
      <c r="AG5" t="e">
        <f ca="1">FDIST(AF5,AD5,AD12)</f>
        <v>#NAME?</v>
      </c>
      <c r="AH5" s="389" t="e">
        <f ca="1">IF(AG5&lt;AG3,"yes","no")</f>
        <v>#NAME?</v>
      </c>
    </row>
    <row r="6" spans="1:34">
      <c r="A6" s="201" t="s">
        <v>59</v>
      </c>
      <c r="B6" s="200" t="s">
        <v>406</v>
      </c>
      <c r="C6" s="6" t="s">
        <v>408</v>
      </c>
      <c r="D6" s="5">
        <v>16</v>
      </c>
      <c r="E6" s="5">
        <v>31</v>
      </c>
      <c r="F6" s="5">
        <v>17</v>
      </c>
      <c r="G6" s="5">
        <v>11</v>
      </c>
      <c r="H6" s="5">
        <v>34</v>
      </c>
      <c r="I6" s="5">
        <v>24</v>
      </c>
      <c r="J6" s="5">
        <v>24</v>
      </c>
      <c r="K6" s="5">
        <v>19</v>
      </c>
      <c r="L6" s="5">
        <v>31</v>
      </c>
      <c r="M6" s="5">
        <v>16</v>
      </c>
      <c r="N6" s="5">
        <v>11</v>
      </c>
      <c r="O6" s="6"/>
      <c r="Q6" s="292" t="e">
        <f ca="1"/>
        <v>#NAME?</v>
      </c>
      <c r="R6" s="5" t="e">
        <f ca="1"/>
        <v>#NAME?</v>
      </c>
      <c r="S6" s="5" t="e">
        <f ca="1"/>
        <v>#NAME?</v>
      </c>
      <c r="T6" s="43" t="e">
        <f ca="1"/>
        <v>#NAME?</v>
      </c>
      <c r="V6" s="292"/>
      <c r="W6" s="5" t="e">
        <f t="array" aca="1" ref="W6:W7" ca="1">SortUnique(R3:R91)</f>
        <v>#NAME?</v>
      </c>
      <c r="X6" s="43"/>
      <c r="Y6" s="292">
        <f ca="1">SUMIF($W$22:$W$29,W6,$Y$22:$Y$29)</f>
        <v>712</v>
      </c>
      <c r="Z6" s="43" t="e">
        <f ca="1">IF(Y6=0,"",AVERAGEIF($W$22:$W$29,W6,$Z$22:$Z$29))</f>
        <v>#NAME?</v>
      </c>
      <c r="AB6" t="s">
        <v>60</v>
      </c>
      <c r="AC6" t="e">
        <f ca="1"/>
        <v>#NAME?</v>
      </c>
      <c r="AD6">
        <f ca="1">COUNT(Z6:Z7)-1</f>
        <v>-1</v>
      </c>
      <c r="AE6" t="e">
        <f t="shared" ca="1" si="0"/>
        <v>#NAME?</v>
      </c>
      <c r="AF6" t="e">
        <f ca="1">AE6/AE12</f>
        <v>#NAME?</v>
      </c>
      <c r="AG6" t="e">
        <f ca="1">FDIST(AF6,AD6,AD12)</f>
        <v>#NAME?</v>
      </c>
      <c r="AH6" s="389" t="e">
        <f ca="1">IF(AG6&lt;AG3,"yes","no")</f>
        <v>#NAME?</v>
      </c>
    </row>
    <row r="7" spans="1:34">
      <c r="A7" s="201" t="s">
        <v>59</v>
      </c>
      <c r="B7" s="200" t="s">
        <v>406</v>
      </c>
      <c r="C7" s="6" t="s">
        <v>409</v>
      </c>
      <c r="D7" s="5">
        <v>31</v>
      </c>
      <c r="E7" s="5">
        <v>29</v>
      </c>
      <c r="F7" s="5">
        <v>40</v>
      </c>
      <c r="G7" s="5">
        <v>31</v>
      </c>
      <c r="H7" s="5">
        <v>35</v>
      </c>
      <c r="I7" s="5">
        <v>25</v>
      </c>
      <c r="J7" s="5">
        <v>18</v>
      </c>
      <c r="K7" s="5">
        <v>29</v>
      </c>
      <c r="L7" s="5">
        <v>36</v>
      </c>
      <c r="M7" s="5">
        <v>42</v>
      </c>
      <c r="N7" s="5">
        <v>40</v>
      </c>
      <c r="O7" s="6">
        <v>36</v>
      </c>
      <c r="Q7" s="292" t="e">
        <f ca="1"/>
        <v>#NAME?</v>
      </c>
      <c r="R7" s="5" t="e">
        <f ca="1"/>
        <v>#NAME?</v>
      </c>
      <c r="S7" s="5" t="e">
        <f ca="1"/>
        <v>#NAME?</v>
      </c>
      <c r="T7" s="43" t="e">
        <f ca="1"/>
        <v>#NAME?</v>
      </c>
      <c r="V7" s="292"/>
      <c r="W7" s="5" t="e">
        <f ca="1"/>
        <v>#NAME?</v>
      </c>
      <c r="X7" s="43"/>
      <c r="Y7" s="292">
        <f ca="1">SUMIF($W$22:$W$29,W7,$Y$22:$Y$29)</f>
        <v>712</v>
      </c>
      <c r="Z7" s="43" t="e">
        <f ca="1">IF(Y7=0,"",AVERAGEIF($W$22:$W$29,W7,$Z$22:$Z$29))</f>
        <v>#NAME?</v>
      </c>
      <c r="AB7" t="s">
        <v>61</v>
      </c>
      <c r="AC7" t="e">
        <f ca="1"/>
        <v>#NAME?</v>
      </c>
      <c r="AD7">
        <f ca="1">COUNT(Z8:Z9)-1</f>
        <v>-1</v>
      </c>
      <c r="AE7" t="e">
        <f t="shared" ca="1" si="0"/>
        <v>#NAME?</v>
      </c>
      <c r="AF7" t="e">
        <f ca="1">AE7/AE12</f>
        <v>#NAME?</v>
      </c>
      <c r="AG7" t="e">
        <f ca="1">FDIST(AF7,AD7,AD12)</f>
        <v>#NAME?</v>
      </c>
      <c r="AH7" s="389" t="e">
        <f ca="1">IF(AG7&lt;AG3,"yes","no")</f>
        <v>#NAME?</v>
      </c>
    </row>
    <row r="8" spans="1:34">
      <c r="A8" s="201" t="s">
        <v>54</v>
      </c>
      <c r="B8" s="200" t="s">
        <v>405</v>
      </c>
      <c r="C8" s="6" t="s">
        <v>408</v>
      </c>
      <c r="D8" s="5">
        <v>19</v>
      </c>
      <c r="E8" s="5">
        <v>28</v>
      </c>
      <c r="F8" s="5">
        <v>31</v>
      </c>
      <c r="G8" s="5">
        <v>23</v>
      </c>
      <c r="H8" s="5">
        <v>19</v>
      </c>
      <c r="I8" s="5">
        <v>14</v>
      </c>
      <c r="J8" s="5">
        <v>4</v>
      </c>
      <c r="K8" s="5">
        <v>29</v>
      </c>
      <c r="L8" s="5">
        <v>18</v>
      </c>
      <c r="M8" s="5">
        <v>22</v>
      </c>
      <c r="N8" s="5">
        <v>18</v>
      </c>
      <c r="O8" s="6">
        <v>24</v>
      </c>
      <c r="Q8" s="292" t="e">
        <f ca="1"/>
        <v>#NAME?</v>
      </c>
      <c r="R8" s="5" t="e">
        <f ca="1"/>
        <v>#NAME?</v>
      </c>
      <c r="S8" s="5" t="e">
        <f ca="1"/>
        <v>#NAME?</v>
      </c>
      <c r="T8" s="43" t="e">
        <f ca="1"/>
        <v>#NAME?</v>
      </c>
      <c r="V8" s="292"/>
      <c r="W8" s="5"/>
      <c r="X8" s="43" t="e">
        <f t="array" aca="1" ref="X8:X9" ca="1">SortUnique(S3:S91)</f>
        <v>#NAME?</v>
      </c>
      <c r="Y8" s="292">
        <f ca="1">SUMIF($X$22:$X$29,X8,$Y$22:$Y$29)</f>
        <v>712</v>
      </c>
      <c r="Z8" s="43" t="e">
        <f ca="1">IF(Y8=0,"",AVERAGEIF($X$22:$X$29,X8,$Z$22:$Z$29))</f>
        <v>#NAME?</v>
      </c>
      <c r="AB8" t="s">
        <v>400</v>
      </c>
      <c r="AC8" t="e">
        <f ca="1"/>
        <v>#NAME?</v>
      </c>
      <c r="AD8">
        <f ca="1">AD6*AD5</f>
        <v>1</v>
      </c>
      <c r="AE8" t="e">
        <f t="shared" ca="1" si="0"/>
        <v>#NAME?</v>
      </c>
      <c r="AF8" t="e">
        <f ca="1">AE8/AE12</f>
        <v>#NAME?</v>
      </c>
      <c r="AG8" t="e">
        <f ca="1">FDIST(AF8,AD8,AD12)</f>
        <v>#NAME?</v>
      </c>
      <c r="AH8" s="389" t="e">
        <f ca="1">IF(AG8&lt;AG3,"yes","no")</f>
        <v>#NAME?</v>
      </c>
    </row>
    <row r="9" spans="1:34">
      <c r="A9" s="201" t="s">
        <v>54</v>
      </c>
      <c r="B9" s="200" t="s">
        <v>405</v>
      </c>
      <c r="C9" s="6" t="s">
        <v>409</v>
      </c>
      <c r="D9" s="5">
        <v>29</v>
      </c>
      <c r="E9" s="5">
        <v>25</v>
      </c>
      <c r="F9" s="5">
        <v>17</v>
      </c>
      <c r="G9" s="5">
        <v>12</v>
      </c>
      <c r="H9" s="5">
        <v>26</v>
      </c>
      <c r="I9" s="5">
        <v>35</v>
      </c>
      <c r="J9" s="5">
        <v>10</v>
      </c>
      <c r="K9" s="5">
        <v>23</v>
      </c>
      <c r="L9" s="5">
        <v>26</v>
      </c>
      <c r="M9" s="5">
        <v>18</v>
      </c>
      <c r="N9" s="5"/>
      <c r="O9" s="6"/>
      <c r="Q9" s="292" t="e">
        <f ca="1"/>
        <v>#NAME?</v>
      </c>
      <c r="R9" s="5" t="e">
        <f ca="1"/>
        <v>#NAME?</v>
      </c>
      <c r="S9" s="5" t="e">
        <f ca="1"/>
        <v>#NAME?</v>
      </c>
      <c r="T9" s="43" t="e">
        <f ca="1"/>
        <v>#NAME?</v>
      </c>
      <c r="V9" s="377"/>
      <c r="W9" s="378"/>
      <c r="X9" s="379" t="e">
        <f ca="1"/>
        <v>#NAME?</v>
      </c>
      <c r="Y9" s="377">
        <f ca="1">SUMIF($X$22:$X$29,X9,$Y$22:$Y$29)</f>
        <v>712</v>
      </c>
      <c r="Z9" s="379" t="e">
        <f ca="1">IF(Y9=0,"",AVERAGEIF($X$22:$X$29,X9,$Z$22:$Z$29))</f>
        <v>#NAME?</v>
      </c>
      <c r="AB9" t="s">
        <v>401</v>
      </c>
      <c r="AC9" t="e">
        <f ca="1"/>
        <v>#NAME?</v>
      </c>
      <c r="AD9">
        <f ca="1">AD7*AD5</f>
        <v>1</v>
      </c>
      <c r="AE9" t="e">
        <f t="shared" ca="1" si="0"/>
        <v>#NAME?</v>
      </c>
      <c r="AF9" t="e">
        <f ca="1">AE9/AE12</f>
        <v>#NAME?</v>
      </c>
      <c r="AG9" t="e">
        <f ca="1">FDIST(AF9,AD8,AD12)</f>
        <v>#NAME?</v>
      </c>
      <c r="AH9" s="389" t="e">
        <f ca="1">IF(AG9&lt;AG3,"yes","no")</f>
        <v>#NAME?</v>
      </c>
    </row>
    <row r="10" spans="1:34">
      <c r="A10" s="201" t="s">
        <v>54</v>
      </c>
      <c r="B10" s="200" t="s">
        <v>406</v>
      </c>
      <c r="C10" s="6" t="s">
        <v>408</v>
      </c>
      <c r="D10" s="5">
        <v>28</v>
      </c>
      <c r="E10" s="5">
        <v>37</v>
      </c>
      <c r="F10" s="5">
        <v>22</v>
      </c>
      <c r="G10" s="5">
        <v>44</v>
      </c>
      <c r="H10" s="5">
        <v>37</v>
      </c>
      <c r="I10" s="5">
        <v>42</v>
      </c>
      <c r="J10" s="5">
        <v>30</v>
      </c>
      <c r="K10" s="5">
        <v>37</v>
      </c>
      <c r="L10" s="5">
        <v>25</v>
      </c>
      <c r="M10" s="5">
        <v>38</v>
      </c>
      <c r="N10" s="5">
        <v>41</v>
      </c>
      <c r="O10" s="6">
        <v>28</v>
      </c>
      <c r="Q10" s="292" t="e">
        <f ca="1"/>
        <v>#NAME?</v>
      </c>
      <c r="R10" s="5" t="e">
        <f ca="1"/>
        <v>#NAME?</v>
      </c>
      <c r="S10" s="5" t="e">
        <f ca="1"/>
        <v>#NAME?</v>
      </c>
      <c r="T10" s="43" t="e">
        <f ca="1"/>
        <v>#NAME?</v>
      </c>
      <c r="V10" s="394" t="e">
        <f ca="1">$V$4</f>
        <v>#NAME?</v>
      </c>
      <c r="W10" s="395" t="e">
        <f ca="1">$W6</f>
        <v>#NAME?</v>
      </c>
      <c r="X10" s="396"/>
      <c r="Y10" s="394">
        <f ca="1">SUMIFS($Y$22:$Y$29,$V$22:$V$29,V10,$W$22:$W$29,W10)</f>
        <v>712</v>
      </c>
      <c r="Z10" s="396" t="e">
        <f ca="1">IF(Y10=0,"",AVERAGEIFS($Z$22:$Z$29,$V$22:$V$29,V10,$W$22:$W$29,W10))</f>
        <v>#NAME?</v>
      </c>
      <c r="AB10" t="s">
        <v>402</v>
      </c>
      <c r="AC10" t="e">
        <f ca="1"/>
        <v>#NAME?</v>
      </c>
      <c r="AD10">
        <f ca="1">AD7*AD6</f>
        <v>1</v>
      </c>
      <c r="AE10" t="e">
        <f t="shared" ca="1" si="0"/>
        <v>#NAME?</v>
      </c>
      <c r="AF10" t="e">
        <f ca="1">AE10/AE12</f>
        <v>#NAME?</v>
      </c>
      <c r="AG10" t="e">
        <f ca="1">FDIST(AF10,AD10,AD12)</f>
        <v>#NAME?</v>
      </c>
      <c r="AH10" s="389" t="e">
        <f ca="1">IF(AG10&lt;AG3,"yes","no")</f>
        <v>#NAME?</v>
      </c>
    </row>
    <row r="11" spans="1:34">
      <c r="A11" s="7" t="s">
        <v>54</v>
      </c>
      <c r="B11" s="146" t="s">
        <v>406</v>
      </c>
      <c r="C11" s="9" t="s">
        <v>409</v>
      </c>
      <c r="D11" s="8">
        <v>35</v>
      </c>
      <c r="E11" s="8">
        <v>23</v>
      </c>
      <c r="F11" s="8">
        <v>24</v>
      </c>
      <c r="G11" s="8">
        <v>11</v>
      </c>
      <c r="H11" s="8">
        <v>23</v>
      </c>
      <c r="I11" s="8">
        <v>30</v>
      </c>
      <c r="J11" s="8">
        <v>26</v>
      </c>
      <c r="K11" s="8">
        <v>16</v>
      </c>
      <c r="L11" s="8">
        <v>23</v>
      </c>
      <c r="M11" s="8">
        <v>14</v>
      </c>
      <c r="N11" s="8">
        <v>19</v>
      </c>
      <c r="O11" s="9"/>
      <c r="Q11" s="292" t="e">
        <f ca="1"/>
        <v>#NAME?</v>
      </c>
      <c r="R11" s="5" t="e">
        <f ca="1"/>
        <v>#NAME?</v>
      </c>
      <c r="S11" s="5" t="e">
        <f ca="1"/>
        <v>#NAME?</v>
      </c>
      <c r="T11" s="43" t="e">
        <f ca="1"/>
        <v>#NAME?</v>
      </c>
      <c r="V11" s="292" t="e">
        <f ca="1">$V$4</f>
        <v>#NAME?</v>
      </c>
      <c r="W11" s="5" t="e">
        <f ca="1">$W7</f>
        <v>#NAME?</v>
      </c>
      <c r="X11" s="43"/>
      <c r="Y11" s="292">
        <f ca="1">SUMIFS($Y$22:$Y$29,$V$22:$V$29,V11,$W$22:$W$29,W11)</f>
        <v>712</v>
      </c>
      <c r="Z11" s="43" t="e">
        <f ca="1">IF(Y11=0,"",AVERAGEIFS($Z$22:$Z$29,$V$22:$V$29,V11,$W$22:$W$29,W11))</f>
        <v>#NAME?</v>
      </c>
      <c r="AB11" t="s">
        <v>403</v>
      </c>
      <c r="AC11" t="e">
        <f ca="1"/>
        <v>#NAME?</v>
      </c>
      <c r="AD11">
        <f ca="1">AD7*AD6*AD5</f>
        <v>-1</v>
      </c>
      <c r="AE11" t="e">
        <f t="shared" ca="1" si="0"/>
        <v>#NAME?</v>
      </c>
      <c r="AF11" t="e">
        <f ca="1">AE11/AE12</f>
        <v>#NAME?</v>
      </c>
      <c r="AG11" t="e">
        <f ca="1">FDIST(AF11,AD11,AD12)</f>
        <v>#NAME?</v>
      </c>
      <c r="AH11" s="389" t="e">
        <f ca="1">IF(AG11&lt;AG3,"yes","no")</f>
        <v>#NAME?</v>
      </c>
    </row>
    <row r="12" spans="1:34">
      <c r="Q12" s="292" t="e">
        <f ca="1"/>
        <v>#NAME?</v>
      </c>
      <c r="R12" s="5" t="e">
        <f ca="1"/>
        <v>#NAME?</v>
      </c>
      <c r="S12" s="5" t="e">
        <f ca="1"/>
        <v>#NAME?</v>
      </c>
      <c r="T12" s="43" t="e">
        <f ca="1"/>
        <v>#NAME?</v>
      </c>
      <c r="V12" s="292" t="e">
        <f ca="1">$V$5</f>
        <v>#NAME?</v>
      </c>
      <c r="W12" s="5" t="e">
        <f ca="1">$W6</f>
        <v>#NAME?</v>
      </c>
      <c r="X12" s="43"/>
      <c r="Y12" s="292">
        <f ca="1">SUMIFS($Y$22:$Y$29,$V$22:$V$29,V12,$W$22:$W$29,W12)</f>
        <v>712</v>
      </c>
      <c r="Z12" s="43" t="e">
        <f ca="1">IF(Y12=0,"",AVERAGEIFS($Z$22:$Z$29,$V$22:$V$29,V12,$W$22:$W$29,W12))</f>
        <v>#NAME?</v>
      </c>
      <c r="AB12" t="s">
        <v>391</v>
      </c>
      <c r="AC12" t="e">
        <f ca="1"/>
        <v>#NAME?</v>
      </c>
      <c r="AD12">
        <f ca="1">Y30-(AD5+1)*(AD6+1)*(AD7+1)</f>
        <v>712</v>
      </c>
      <c r="AE12" t="e">
        <f t="shared" ca="1" si="0"/>
        <v>#NAME?</v>
      </c>
    </row>
    <row r="13" spans="1:34">
      <c r="Q13" s="292" t="e">
        <f ca="1"/>
        <v>#NAME?</v>
      </c>
      <c r="R13" s="5" t="e">
        <f ca="1"/>
        <v>#NAME?</v>
      </c>
      <c r="S13" s="5" t="e">
        <f ca="1"/>
        <v>#NAME?</v>
      </c>
      <c r="T13" s="43" t="e">
        <f ca="1"/>
        <v>#NAME?</v>
      </c>
      <c r="V13" s="377" t="e">
        <f ca="1">$V$5</f>
        <v>#NAME?</v>
      </c>
      <c r="W13" s="378" t="e">
        <f ca="1">$W7</f>
        <v>#NAME?</v>
      </c>
      <c r="X13" s="379"/>
      <c r="Y13" s="377">
        <f ca="1">SUMIFS($Y$22:$Y$29,$V$22:$V$29,V13,$W$22:$W$29,W13)</f>
        <v>712</v>
      </c>
      <c r="Z13" s="379" t="e">
        <f ca="1">IF(Y13=0,"",AVERAGEIFS($Z$22:$Z$29,$V$22:$V$29,V13,$W$22:$W$29,W13))</f>
        <v>#NAME?</v>
      </c>
      <c r="AB13" s="380" t="s">
        <v>1</v>
      </c>
      <c r="AC13" s="380" t="e">
        <f ca="1">Z31</f>
        <v>#NAME?</v>
      </c>
      <c r="AD13" s="380">
        <f ca="1">Y30-1</f>
        <v>711</v>
      </c>
      <c r="AE13" s="380" t="e">
        <f t="shared" ca="1" si="0"/>
        <v>#NAME?</v>
      </c>
      <c r="AF13" s="380"/>
      <c r="AG13" s="380"/>
      <c r="AH13" s="380"/>
    </row>
    <row r="14" spans="1:34">
      <c r="Q14" s="292" t="e">
        <f ca="1"/>
        <v>#NAME?</v>
      </c>
      <c r="R14" s="5" t="e">
        <f ca="1"/>
        <v>#NAME?</v>
      </c>
      <c r="S14" s="5" t="e">
        <f ca="1"/>
        <v>#NAME?</v>
      </c>
      <c r="T14" s="43" t="e">
        <f ca="1"/>
        <v>#NAME?</v>
      </c>
      <c r="V14" s="394" t="e">
        <f ca="1">$V$4</f>
        <v>#NAME?</v>
      </c>
      <c r="W14" s="395"/>
      <c r="X14" s="396" t="e">
        <f ca="1">$X8</f>
        <v>#NAME?</v>
      </c>
      <c r="Y14" s="394">
        <f ca="1">SUMIFS($Y$22:$Y$29,$V$22:$V$29,V14,$X$22:$X$29,X14)</f>
        <v>712</v>
      </c>
      <c r="Z14" s="396" t="e">
        <f ca="1">IF(Y14=0,"",AVERAGEIFS($Z$22:$Z$29,$V$22:$V$29,V14,$X$22:$X$29,X14))</f>
        <v>#NAME?</v>
      </c>
    </row>
    <row r="15" spans="1:34">
      <c r="Q15" s="292" t="e">
        <f ca="1"/>
        <v>#NAME?</v>
      </c>
      <c r="R15" s="5" t="e">
        <f ca="1"/>
        <v>#NAME?</v>
      </c>
      <c r="S15" s="5" t="e">
        <f ca="1"/>
        <v>#NAME?</v>
      </c>
      <c r="T15" s="43" t="e">
        <f ca="1"/>
        <v>#NAME?</v>
      </c>
      <c r="V15" s="292" t="e">
        <f ca="1">$V$4</f>
        <v>#NAME?</v>
      </c>
      <c r="W15" s="5"/>
      <c r="X15" s="43" t="e">
        <f ca="1">$X9</f>
        <v>#NAME?</v>
      </c>
      <c r="Y15" s="292">
        <f ca="1">SUMIFS($Y$22:$Y$29,$V$22:$V$29,V15,$X$22:$X$29,X15)</f>
        <v>712</v>
      </c>
      <c r="Z15" s="43" t="e">
        <f ca="1">IF(Y15=0,"",AVERAGEIFS($Z$22:$Z$29,$V$22:$V$29,V15,$X$22:$X$29,X15))</f>
        <v>#NAME?</v>
      </c>
    </row>
    <row r="16" spans="1:34">
      <c r="Q16" s="292" t="e">
        <f ca="1"/>
        <v>#NAME?</v>
      </c>
      <c r="R16" s="5" t="e">
        <f ca="1"/>
        <v>#NAME?</v>
      </c>
      <c r="S16" s="5" t="e">
        <f ca="1"/>
        <v>#NAME?</v>
      </c>
      <c r="T16" s="43" t="e">
        <f ca="1"/>
        <v>#NAME?</v>
      </c>
      <c r="V16" s="292" t="e">
        <f ca="1">$V$5</f>
        <v>#NAME?</v>
      </c>
      <c r="W16" s="5"/>
      <c r="X16" s="43" t="e">
        <f ca="1">$X8</f>
        <v>#NAME?</v>
      </c>
      <c r="Y16" s="292">
        <f ca="1">SUMIFS($Y$22:$Y$29,$V$22:$V$29,V16,$X$22:$X$29,X16)</f>
        <v>712</v>
      </c>
      <c r="Z16" s="43" t="e">
        <f ca="1">IF(Y16=0,"",AVERAGEIFS($Z$22:$Z$29,$V$22:$V$29,V16,$X$22:$X$29,X16))</f>
        <v>#NAME?</v>
      </c>
    </row>
    <row r="17" spans="17:26">
      <c r="Q17" s="292" t="e">
        <f ca="1"/>
        <v>#NAME?</v>
      </c>
      <c r="R17" s="5" t="e">
        <f ca="1"/>
        <v>#NAME?</v>
      </c>
      <c r="S17" s="5" t="e">
        <f ca="1"/>
        <v>#NAME?</v>
      </c>
      <c r="T17" s="43" t="e">
        <f ca="1"/>
        <v>#NAME?</v>
      </c>
      <c r="V17" s="377" t="e">
        <f ca="1">$V$5</f>
        <v>#NAME?</v>
      </c>
      <c r="W17" s="378"/>
      <c r="X17" s="379" t="e">
        <f ca="1">$X9</f>
        <v>#NAME?</v>
      </c>
      <c r="Y17" s="377">
        <f ca="1">SUMIFS($Y$22:$Y$29,$V$22:$V$29,V17,$X$22:$X$29,X17)</f>
        <v>712</v>
      </c>
      <c r="Z17" s="379" t="e">
        <f ca="1">IF(Y17=0,"",AVERAGEIFS($Z$22:$Z$29,$V$22:$V$29,V17,$X$22:$X$29,X17))</f>
        <v>#NAME?</v>
      </c>
    </row>
    <row r="18" spans="17:26">
      <c r="Q18" s="292" t="e">
        <f ca="1"/>
        <v>#NAME?</v>
      </c>
      <c r="R18" s="5" t="e">
        <f ca="1"/>
        <v>#NAME?</v>
      </c>
      <c r="S18" s="5" t="e">
        <f ca="1"/>
        <v>#NAME?</v>
      </c>
      <c r="T18" s="43" t="e">
        <f ca="1"/>
        <v>#NAME?</v>
      </c>
      <c r="V18" s="394"/>
      <c r="W18" s="395" t="e">
        <f ca="1">$W$6</f>
        <v>#NAME?</v>
      </c>
      <c r="X18" s="396" t="e">
        <f ca="1">$X8</f>
        <v>#NAME?</v>
      </c>
      <c r="Y18" s="394">
        <f ca="1">SUMIFS($Y$22:$Y$29,$W$22:$W$29,W18,$X$22:$X$29,X18)</f>
        <v>712</v>
      </c>
      <c r="Z18" s="396" t="e">
        <f ca="1">IF(Y18=0,"",AVERAGEIFS($Z$22:$Z$29,$W$22:$W$29,W18,$X$22:$X$29,X18))</f>
        <v>#NAME?</v>
      </c>
    </row>
    <row r="19" spans="17:26">
      <c r="Q19" s="292" t="e">
        <f ca="1"/>
        <v>#NAME?</v>
      </c>
      <c r="R19" s="5" t="e">
        <f ca="1"/>
        <v>#NAME?</v>
      </c>
      <c r="S19" s="5" t="e">
        <f ca="1"/>
        <v>#NAME?</v>
      </c>
      <c r="T19" s="43" t="e">
        <f ca="1"/>
        <v>#NAME?</v>
      </c>
      <c r="V19" s="292"/>
      <c r="W19" s="5" t="e">
        <f ca="1">$W$6</f>
        <v>#NAME?</v>
      </c>
      <c r="X19" s="43" t="e">
        <f ca="1">$X9</f>
        <v>#NAME?</v>
      </c>
      <c r="Y19" s="292">
        <f ca="1">SUMIFS($Y$22:$Y$29,$W$22:$W$29,W19,$X$22:$X$29,X19)</f>
        <v>712</v>
      </c>
      <c r="Z19" s="43" t="e">
        <f ca="1">IF(Y19=0,"",AVERAGEIFS($Z$22:$Z$29,$W$22:$W$29,W19,$X$22:$X$29,X19))</f>
        <v>#NAME?</v>
      </c>
    </row>
    <row r="20" spans="17:26">
      <c r="Q20" s="292" t="e">
        <f ca="1"/>
        <v>#NAME?</v>
      </c>
      <c r="R20" s="5" t="e">
        <f ca="1"/>
        <v>#NAME?</v>
      </c>
      <c r="S20" s="5" t="e">
        <f ca="1"/>
        <v>#NAME?</v>
      </c>
      <c r="T20" s="43" t="e">
        <f ca="1"/>
        <v>#NAME?</v>
      </c>
      <c r="V20" s="292"/>
      <c r="W20" s="5" t="e">
        <f ca="1">$W$7</f>
        <v>#NAME?</v>
      </c>
      <c r="X20" s="43" t="e">
        <f ca="1">$X8</f>
        <v>#NAME?</v>
      </c>
      <c r="Y20" s="292">
        <f ca="1">SUMIFS($Y$22:$Y$29,$W$22:$W$29,W20,$X$22:$X$29,X20)</f>
        <v>712</v>
      </c>
      <c r="Z20" s="43" t="e">
        <f ca="1">IF(Y20=0,"",AVERAGEIFS($Z$22:$Z$29,$W$22:$W$29,W20,$X$22:$X$29,X20))</f>
        <v>#NAME?</v>
      </c>
    </row>
    <row r="21" spans="17:26">
      <c r="Q21" s="292" t="e">
        <f ca="1"/>
        <v>#NAME?</v>
      </c>
      <c r="R21" s="5" t="e">
        <f ca="1"/>
        <v>#NAME?</v>
      </c>
      <c r="S21" s="5" t="e">
        <f ca="1"/>
        <v>#NAME?</v>
      </c>
      <c r="T21" s="43" t="e">
        <f ca="1"/>
        <v>#NAME?</v>
      </c>
      <c r="V21" s="377"/>
      <c r="W21" s="378" t="e">
        <f ca="1">$W$7</f>
        <v>#NAME?</v>
      </c>
      <c r="X21" s="379" t="e">
        <f ca="1">$X9</f>
        <v>#NAME?</v>
      </c>
      <c r="Y21" s="377">
        <f ca="1">SUMIFS($Y$22:$Y$29,$W$22:$W$29,W21,$X$22:$X$29,X21)</f>
        <v>712</v>
      </c>
      <c r="Z21" s="379" t="e">
        <f ca="1">IF(Y21=0,"",AVERAGEIFS($Z$22:$Z$29,$W$22:$W$29,W21,$X$22:$X$29,X21))</f>
        <v>#NAME?</v>
      </c>
    </row>
    <row r="22" spans="17:26">
      <c r="Q22" s="292" t="e">
        <f ca="1"/>
        <v>#NAME?</v>
      </c>
      <c r="R22" s="5" t="e">
        <f ca="1"/>
        <v>#NAME?</v>
      </c>
      <c r="S22" s="5" t="e">
        <f ca="1"/>
        <v>#NAME?</v>
      </c>
      <c r="T22" s="43" t="e">
        <f ca="1"/>
        <v>#NAME?</v>
      </c>
      <c r="V22" s="394" t="e">
        <f ca="1">$V$4</f>
        <v>#NAME?</v>
      </c>
      <c r="W22" s="395" t="e">
        <f t="shared" ref="W22:X29" ca="1" si="1">W18</f>
        <v>#NAME?</v>
      </c>
      <c r="X22" s="396" t="e">
        <f t="shared" ca="1" si="1"/>
        <v>#NAME?</v>
      </c>
      <c r="Y22" s="394">
        <f ca="1">COUNTIFS($Q$3:$Q$91,$V22,$R$3:$R$91,$W22,$S$3:$S$91,$X22)</f>
        <v>89</v>
      </c>
      <c r="Z22" s="396" t="e">
        <f ca="1">IF(Y22=0,"",AVERAGEIFS($T$3:$T$91,$Q$3:$Q$91,$V22,$R$3:$R$91,$W22,$S$3:$S$91,$X22))</f>
        <v>#NAME?</v>
      </c>
    </row>
    <row r="23" spans="17:26">
      <c r="Q23" s="292" t="e">
        <f ca="1"/>
        <v>#NAME?</v>
      </c>
      <c r="R23" s="5" t="e">
        <f ca="1"/>
        <v>#NAME?</v>
      </c>
      <c r="S23" s="5" t="e">
        <f ca="1"/>
        <v>#NAME?</v>
      </c>
      <c r="T23" s="43" t="e">
        <f ca="1"/>
        <v>#NAME?</v>
      </c>
      <c r="V23" s="292" t="e">
        <f ca="1">$V$4</f>
        <v>#NAME?</v>
      </c>
      <c r="W23" s="5" t="e">
        <f t="shared" ca="1" si="1"/>
        <v>#NAME?</v>
      </c>
      <c r="X23" s="43" t="e">
        <f t="shared" ca="1" si="1"/>
        <v>#NAME?</v>
      </c>
      <c r="Y23" s="292">
        <f t="shared" ref="Y23:Y29" ca="1" si="2">COUNTIFS($Q$3:$Q$91,$V23,$R$3:$R$91,$W23,$S$3:$S$91,$X23)</f>
        <v>89</v>
      </c>
      <c r="Z23" s="43" t="e">
        <f t="shared" ref="Z23:Z29" ca="1" si="3">IF(Y23=0,"",AVERAGEIFS($T$3:$T$91,$Q$3:$Q$91,$V23,$R$3:$R$91,$W23,$S$3:$S$91,$X23))</f>
        <v>#NAME?</v>
      </c>
    </row>
    <row r="24" spans="17:26">
      <c r="Q24" s="292" t="e">
        <f ca="1"/>
        <v>#NAME?</v>
      </c>
      <c r="R24" s="5" t="e">
        <f ca="1"/>
        <v>#NAME?</v>
      </c>
      <c r="S24" s="5" t="e">
        <f ca="1"/>
        <v>#NAME?</v>
      </c>
      <c r="T24" s="43" t="e">
        <f ca="1"/>
        <v>#NAME?</v>
      </c>
      <c r="V24" s="292" t="e">
        <f ca="1">$V$4</f>
        <v>#NAME?</v>
      </c>
      <c r="W24" s="5" t="e">
        <f t="shared" ca="1" si="1"/>
        <v>#NAME?</v>
      </c>
      <c r="X24" s="43" t="e">
        <f t="shared" ca="1" si="1"/>
        <v>#NAME?</v>
      </c>
      <c r="Y24" s="292">
        <f t="shared" ca="1" si="2"/>
        <v>89</v>
      </c>
      <c r="Z24" s="43" t="e">
        <f t="shared" ca="1" si="3"/>
        <v>#NAME?</v>
      </c>
    </row>
    <row r="25" spans="17:26">
      <c r="Q25" s="292" t="e">
        <f ca="1"/>
        <v>#NAME?</v>
      </c>
      <c r="R25" s="5" t="e">
        <f ca="1"/>
        <v>#NAME?</v>
      </c>
      <c r="S25" s="5" t="e">
        <f ca="1"/>
        <v>#NAME?</v>
      </c>
      <c r="T25" s="43" t="e">
        <f ca="1"/>
        <v>#NAME?</v>
      </c>
      <c r="V25" s="292" t="e">
        <f ca="1">$V$4</f>
        <v>#NAME?</v>
      </c>
      <c r="W25" s="5" t="e">
        <f t="shared" ca="1" si="1"/>
        <v>#NAME?</v>
      </c>
      <c r="X25" s="43" t="e">
        <f t="shared" ca="1" si="1"/>
        <v>#NAME?</v>
      </c>
      <c r="Y25" s="292">
        <f t="shared" ca="1" si="2"/>
        <v>89</v>
      </c>
      <c r="Z25" s="43" t="e">
        <f t="shared" ca="1" si="3"/>
        <v>#NAME?</v>
      </c>
    </row>
    <row r="26" spans="17:26">
      <c r="Q26" s="292" t="e">
        <f ca="1"/>
        <v>#NAME?</v>
      </c>
      <c r="R26" s="5" t="e">
        <f ca="1"/>
        <v>#NAME?</v>
      </c>
      <c r="S26" s="5" t="e">
        <f ca="1"/>
        <v>#NAME?</v>
      </c>
      <c r="T26" s="43" t="e">
        <f ca="1"/>
        <v>#NAME?</v>
      </c>
      <c r="V26" s="292" t="e">
        <f ca="1">$V$5</f>
        <v>#NAME?</v>
      </c>
      <c r="W26" s="5" t="e">
        <f t="shared" ca="1" si="1"/>
        <v>#NAME?</v>
      </c>
      <c r="X26" s="43" t="e">
        <f t="shared" ca="1" si="1"/>
        <v>#NAME?</v>
      </c>
      <c r="Y26" s="292">
        <f t="shared" ca="1" si="2"/>
        <v>89</v>
      </c>
      <c r="Z26" s="43" t="e">
        <f t="shared" ca="1" si="3"/>
        <v>#NAME?</v>
      </c>
    </row>
    <row r="27" spans="17:26">
      <c r="Q27" s="292" t="e">
        <f ca="1"/>
        <v>#NAME?</v>
      </c>
      <c r="R27" s="5" t="e">
        <f ca="1"/>
        <v>#NAME?</v>
      </c>
      <c r="S27" s="5" t="e">
        <f ca="1"/>
        <v>#NAME?</v>
      </c>
      <c r="T27" s="43" t="e">
        <f ca="1"/>
        <v>#NAME?</v>
      </c>
      <c r="V27" s="292" t="e">
        <f ca="1">$V$5</f>
        <v>#NAME?</v>
      </c>
      <c r="W27" s="5" t="e">
        <f t="shared" ca="1" si="1"/>
        <v>#NAME?</v>
      </c>
      <c r="X27" s="43" t="e">
        <f t="shared" ca="1" si="1"/>
        <v>#NAME?</v>
      </c>
      <c r="Y27" s="292">
        <f t="shared" ca="1" si="2"/>
        <v>89</v>
      </c>
      <c r="Z27" s="43" t="e">
        <f t="shared" ca="1" si="3"/>
        <v>#NAME?</v>
      </c>
    </row>
    <row r="28" spans="17:26">
      <c r="Q28" s="292" t="e">
        <f ca="1"/>
        <v>#NAME?</v>
      </c>
      <c r="R28" s="5" t="e">
        <f ca="1"/>
        <v>#NAME?</v>
      </c>
      <c r="S28" s="5" t="e">
        <f ca="1"/>
        <v>#NAME?</v>
      </c>
      <c r="T28" s="43" t="e">
        <f ca="1"/>
        <v>#NAME?</v>
      </c>
      <c r="V28" s="292" t="e">
        <f ca="1">$V$5</f>
        <v>#NAME?</v>
      </c>
      <c r="W28" s="5" t="e">
        <f t="shared" ca="1" si="1"/>
        <v>#NAME?</v>
      </c>
      <c r="X28" s="43" t="e">
        <f t="shared" ca="1" si="1"/>
        <v>#NAME?</v>
      </c>
      <c r="Y28" s="292">
        <f t="shared" ca="1" si="2"/>
        <v>89</v>
      </c>
      <c r="Z28" s="43" t="e">
        <f t="shared" ca="1" si="3"/>
        <v>#NAME?</v>
      </c>
    </row>
    <row r="29" spans="17:26">
      <c r="Q29" s="292" t="e">
        <f ca="1"/>
        <v>#NAME?</v>
      </c>
      <c r="R29" s="5" t="e">
        <f ca="1"/>
        <v>#NAME?</v>
      </c>
      <c r="S29" s="5" t="e">
        <f ca="1"/>
        <v>#NAME?</v>
      </c>
      <c r="T29" s="43" t="e">
        <f ca="1"/>
        <v>#NAME?</v>
      </c>
      <c r="V29" s="377" t="e">
        <f ca="1">$V$5</f>
        <v>#NAME?</v>
      </c>
      <c r="W29" s="378" t="e">
        <f t="shared" ca="1" si="1"/>
        <v>#NAME?</v>
      </c>
      <c r="X29" s="379" t="e">
        <f t="shared" ca="1" si="1"/>
        <v>#NAME?</v>
      </c>
      <c r="Y29" s="377">
        <f t="shared" ca="1" si="2"/>
        <v>89</v>
      </c>
      <c r="Z29" s="379" t="e">
        <f t="shared" ca="1" si="3"/>
        <v>#NAME?</v>
      </c>
    </row>
    <row r="30" spans="17:26">
      <c r="Q30" s="292" t="e">
        <f ca="1"/>
        <v>#NAME?</v>
      </c>
      <c r="R30" s="5" t="e">
        <f ca="1"/>
        <v>#NAME?</v>
      </c>
      <c r="S30" s="5" t="e">
        <f ca="1"/>
        <v>#NAME?</v>
      </c>
      <c r="T30" s="43" t="e">
        <f ca="1"/>
        <v>#NAME?</v>
      </c>
      <c r="Y30">
        <f ca="1">SUM(Y22:Y29)</f>
        <v>712</v>
      </c>
      <c r="Z30" t="e">
        <f ca="1">AVERAGE(Z22:Z29)</f>
        <v>#NAME?</v>
      </c>
    </row>
    <row r="31" spans="17:26">
      <c r="Q31" s="292" t="e">
        <f ca="1"/>
        <v>#NAME?</v>
      </c>
      <c r="R31" s="5" t="e">
        <f ca="1"/>
        <v>#NAME?</v>
      </c>
      <c r="S31" s="5" t="e">
        <f ca="1"/>
        <v>#NAME?</v>
      </c>
      <c r="T31" s="43" t="e">
        <f ca="1"/>
        <v>#NAME?</v>
      </c>
      <c r="Y31" s="11" t="s">
        <v>397</v>
      </c>
      <c r="Z31" s="397" t="e">
        <f ca="1">DEVSQ(T3:T91)</f>
        <v>#NAME?</v>
      </c>
    </row>
    <row r="32" spans="17:26">
      <c r="Q32" s="292" t="e">
        <f ca="1"/>
        <v>#NAME?</v>
      </c>
      <c r="R32" s="5" t="e">
        <f ca="1"/>
        <v>#NAME?</v>
      </c>
      <c r="S32" s="5" t="e">
        <f ca="1"/>
        <v>#NAME?</v>
      </c>
      <c r="T32" s="43" t="e">
        <f ca="1"/>
        <v>#NAME?</v>
      </c>
    </row>
    <row r="33" spans="17:20">
      <c r="Q33" s="292" t="e">
        <f ca="1"/>
        <v>#NAME?</v>
      </c>
      <c r="R33" s="5" t="e">
        <f ca="1"/>
        <v>#NAME?</v>
      </c>
      <c r="S33" s="5" t="e">
        <f ca="1"/>
        <v>#NAME?</v>
      </c>
      <c r="T33" s="43" t="e">
        <f ca="1"/>
        <v>#NAME?</v>
      </c>
    </row>
    <row r="34" spans="17:20">
      <c r="Q34" s="292" t="e">
        <f ca="1"/>
        <v>#NAME?</v>
      </c>
      <c r="R34" s="5" t="e">
        <f ca="1"/>
        <v>#NAME?</v>
      </c>
      <c r="S34" s="5" t="e">
        <f ca="1"/>
        <v>#NAME?</v>
      </c>
      <c r="T34" s="43" t="e">
        <f ca="1"/>
        <v>#NAME?</v>
      </c>
    </row>
    <row r="35" spans="17:20">
      <c r="Q35" s="292" t="e">
        <f ca="1"/>
        <v>#NAME?</v>
      </c>
      <c r="R35" s="5" t="e">
        <f ca="1"/>
        <v>#NAME?</v>
      </c>
      <c r="S35" s="5" t="e">
        <f ca="1"/>
        <v>#NAME?</v>
      </c>
      <c r="T35" s="43" t="e">
        <f ca="1"/>
        <v>#NAME?</v>
      </c>
    </row>
    <row r="36" spans="17:20">
      <c r="Q36" s="292" t="e">
        <f ca="1"/>
        <v>#NAME?</v>
      </c>
      <c r="R36" s="5" t="e">
        <f ca="1"/>
        <v>#NAME?</v>
      </c>
      <c r="S36" s="5" t="e">
        <f ca="1"/>
        <v>#NAME?</v>
      </c>
      <c r="T36" s="43" t="e">
        <f ca="1"/>
        <v>#NAME?</v>
      </c>
    </row>
    <row r="37" spans="17:20">
      <c r="Q37" s="292" t="e">
        <f ca="1"/>
        <v>#NAME?</v>
      </c>
      <c r="R37" s="5" t="e">
        <f ca="1"/>
        <v>#NAME?</v>
      </c>
      <c r="S37" s="5" t="e">
        <f ca="1"/>
        <v>#NAME?</v>
      </c>
      <c r="T37" s="43" t="e">
        <f ca="1"/>
        <v>#NAME?</v>
      </c>
    </row>
    <row r="38" spans="17:20">
      <c r="Q38" s="292" t="e">
        <f ca="1"/>
        <v>#NAME?</v>
      </c>
      <c r="R38" s="5" t="e">
        <f ca="1"/>
        <v>#NAME?</v>
      </c>
      <c r="S38" s="5" t="e">
        <f ca="1"/>
        <v>#NAME?</v>
      </c>
      <c r="T38" s="43" t="e">
        <f ca="1"/>
        <v>#NAME?</v>
      </c>
    </row>
    <row r="39" spans="17:20">
      <c r="Q39" s="292" t="e">
        <f ca="1"/>
        <v>#NAME?</v>
      </c>
      <c r="R39" s="5" t="e">
        <f ca="1"/>
        <v>#NAME?</v>
      </c>
      <c r="S39" s="5" t="e">
        <f ca="1"/>
        <v>#NAME?</v>
      </c>
      <c r="T39" s="43" t="e">
        <f ca="1"/>
        <v>#NAME?</v>
      </c>
    </row>
    <row r="40" spans="17:20">
      <c r="Q40" s="292" t="e">
        <f ca="1"/>
        <v>#NAME?</v>
      </c>
      <c r="R40" s="5" t="e">
        <f ca="1"/>
        <v>#NAME?</v>
      </c>
      <c r="S40" s="5" t="e">
        <f ca="1"/>
        <v>#NAME?</v>
      </c>
      <c r="T40" s="43" t="e">
        <f ca="1"/>
        <v>#NAME?</v>
      </c>
    </row>
    <row r="41" spans="17:20">
      <c r="Q41" s="292" t="e">
        <f ca="1"/>
        <v>#NAME?</v>
      </c>
      <c r="R41" s="5" t="e">
        <f ca="1"/>
        <v>#NAME?</v>
      </c>
      <c r="S41" s="5" t="e">
        <f ca="1"/>
        <v>#NAME?</v>
      </c>
      <c r="T41" s="43" t="e">
        <f ca="1"/>
        <v>#NAME?</v>
      </c>
    </row>
    <row r="42" spans="17:20">
      <c r="Q42" s="292" t="e">
        <f ca="1"/>
        <v>#NAME?</v>
      </c>
      <c r="R42" s="5" t="e">
        <f ca="1"/>
        <v>#NAME?</v>
      </c>
      <c r="S42" s="5" t="e">
        <f ca="1"/>
        <v>#NAME?</v>
      </c>
      <c r="T42" s="43" t="e">
        <f ca="1"/>
        <v>#NAME?</v>
      </c>
    </row>
    <row r="43" spans="17:20">
      <c r="Q43" s="292" t="e">
        <f ca="1"/>
        <v>#NAME?</v>
      </c>
      <c r="R43" s="5" t="e">
        <f ca="1"/>
        <v>#NAME?</v>
      </c>
      <c r="S43" s="5" t="e">
        <f ca="1"/>
        <v>#NAME?</v>
      </c>
      <c r="T43" s="43" t="e">
        <f ca="1"/>
        <v>#NAME?</v>
      </c>
    </row>
    <row r="44" spans="17:20">
      <c r="Q44" s="292" t="e">
        <f ca="1"/>
        <v>#NAME?</v>
      </c>
      <c r="R44" s="5" t="e">
        <f ca="1"/>
        <v>#NAME?</v>
      </c>
      <c r="S44" s="5" t="e">
        <f ca="1"/>
        <v>#NAME?</v>
      </c>
      <c r="T44" s="43" t="e">
        <f ca="1"/>
        <v>#NAME?</v>
      </c>
    </row>
    <row r="45" spans="17:20">
      <c r="Q45" s="292" t="e">
        <f ca="1"/>
        <v>#NAME?</v>
      </c>
      <c r="R45" s="5" t="e">
        <f ca="1"/>
        <v>#NAME?</v>
      </c>
      <c r="S45" s="5" t="e">
        <f ca="1"/>
        <v>#NAME?</v>
      </c>
      <c r="T45" s="43" t="e">
        <f ca="1"/>
        <v>#NAME?</v>
      </c>
    </row>
    <row r="46" spans="17:20">
      <c r="Q46" s="292" t="e">
        <f ca="1"/>
        <v>#NAME?</v>
      </c>
      <c r="R46" s="5" t="e">
        <f ca="1"/>
        <v>#NAME?</v>
      </c>
      <c r="S46" s="5" t="e">
        <f ca="1"/>
        <v>#NAME?</v>
      </c>
      <c r="T46" s="43" t="e">
        <f ca="1"/>
        <v>#NAME?</v>
      </c>
    </row>
    <row r="47" spans="17:20">
      <c r="Q47" s="292" t="e">
        <f ca="1"/>
        <v>#NAME?</v>
      </c>
      <c r="R47" s="5" t="e">
        <f ca="1"/>
        <v>#NAME?</v>
      </c>
      <c r="S47" s="5" t="e">
        <f ca="1"/>
        <v>#NAME?</v>
      </c>
      <c r="T47" s="43" t="e">
        <f ca="1"/>
        <v>#NAME?</v>
      </c>
    </row>
    <row r="48" spans="17:20">
      <c r="Q48" s="292" t="e">
        <f ca="1"/>
        <v>#NAME?</v>
      </c>
      <c r="R48" s="5" t="e">
        <f ca="1"/>
        <v>#NAME?</v>
      </c>
      <c r="S48" s="5" t="e">
        <f ca="1"/>
        <v>#NAME?</v>
      </c>
      <c r="T48" s="43" t="e">
        <f ca="1"/>
        <v>#NAME?</v>
      </c>
    </row>
    <row r="49" spans="17:20">
      <c r="Q49" s="292" t="e">
        <f ca="1"/>
        <v>#NAME?</v>
      </c>
      <c r="R49" s="5" t="e">
        <f ca="1"/>
        <v>#NAME?</v>
      </c>
      <c r="S49" s="5" t="e">
        <f ca="1"/>
        <v>#NAME?</v>
      </c>
      <c r="T49" s="43" t="e">
        <f ca="1"/>
        <v>#NAME?</v>
      </c>
    </row>
    <row r="50" spans="17:20">
      <c r="Q50" s="292" t="e">
        <f ca="1"/>
        <v>#NAME?</v>
      </c>
      <c r="R50" s="5" t="e">
        <f ca="1"/>
        <v>#NAME?</v>
      </c>
      <c r="S50" s="5" t="e">
        <f ca="1"/>
        <v>#NAME?</v>
      </c>
      <c r="T50" s="43" t="e">
        <f ca="1"/>
        <v>#NAME?</v>
      </c>
    </row>
    <row r="51" spans="17:20">
      <c r="Q51" s="292" t="e">
        <f ca="1"/>
        <v>#NAME?</v>
      </c>
      <c r="R51" s="5" t="e">
        <f ca="1"/>
        <v>#NAME?</v>
      </c>
      <c r="S51" s="5" t="e">
        <f ca="1"/>
        <v>#NAME?</v>
      </c>
      <c r="T51" s="43" t="e">
        <f ca="1"/>
        <v>#NAME?</v>
      </c>
    </row>
    <row r="52" spans="17:20">
      <c r="Q52" s="292" t="e">
        <f ca="1"/>
        <v>#NAME?</v>
      </c>
      <c r="R52" s="5" t="e">
        <f ca="1"/>
        <v>#NAME?</v>
      </c>
      <c r="S52" s="5" t="e">
        <f ca="1"/>
        <v>#NAME?</v>
      </c>
      <c r="T52" s="43" t="e">
        <f ca="1"/>
        <v>#NAME?</v>
      </c>
    </row>
    <row r="53" spans="17:20">
      <c r="Q53" s="292" t="e">
        <f ca="1"/>
        <v>#NAME?</v>
      </c>
      <c r="R53" s="5" t="e">
        <f ca="1"/>
        <v>#NAME?</v>
      </c>
      <c r="S53" s="5" t="e">
        <f ca="1"/>
        <v>#NAME?</v>
      </c>
      <c r="T53" s="43" t="e">
        <f ca="1"/>
        <v>#NAME?</v>
      </c>
    </row>
    <row r="54" spans="17:20">
      <c r="Q54" s="292" t="e">
        <f ca="1"/>
        <v>#NAME?</v>
      </c>
      <c r="R54" s="5" t="e">
        <f ca="1"/>
        <v>#NAME?</v>
      </c>
      <c r="S54" s="5" t="e">
        <f ca="1"/>
        <v>#NAME?</v>
      </c>
      <c r="T54" s="43" t="e">
        <f ca="1"/>
        <v>#NAME?</v>
      </c>
    </row>
    <row r="55" spans="17:20">
      <c r="Q55" s="292" t="e">
        <f ca="1"/>
        <v>#NAME?</v>
      </c>
      <c r="R55" s="5" t="e">
        <f ca="1"/>
        <v>#NAME?</v>
      </c>
      <c r="S55" s="5" t="e">
        <f ca="1"/>
        <v>#NAME?</v>
      </c>
      <c r="T55" s="43" t="e">
        <f ca="1"/>
        <v>#NAME?</v>
      </c>
    </row>
    <row r="56" spans="17:20">
      <c r="Q56" s="292" t="e">
        <f ca="1"/>
        <v>#NAME?</v>
      </c>
      <c r="R56" s="5" t="e">
        <f ca="1"/>
        <v>#NAME?</v>
      </c>
      <c r="S56" s="5" t="e">
        <f ca="1"/>
        <v>#NAME?</v>
      </c>
      <c r="T56" s="43" t="e">
        <f ca="1"/>
        <v>#NAME?</v>
      </c>
    </row>
    <row r="57" spans="17:20">
      <c r="Q57" s="292" t="e">
        <f ca="1"/>
        <v>#NAME?</v>
      </c>
      <c r="R57" s="5" t="e">
        <f ca="1"/>
        <v>#NAME?</v>
      </c>
      <c r="S57" s="5" t="e">
        <f ca="1"/>
        <v>#NAME?</v>
      </c>
      <c r="T57" s="43" t="e">
        <f ca="1"/>
        <v>#NAME?</v>
      </c>
    </row>
    <row r="58" spans="17:20">
      <c r="Q58" s="292" t="e">
        <f ca="1"/>
        <v>#NAME?</v>
      </c>
      <c r="R58" s="5" t="e">
        <f ca="1"/>
        <v>#NAME?</v>
      </c>
      <c r="S58" s="5" t="e">
        <f ca="1"/>
        <v>#NAME?</v>
      </c>
      <c r="T58" s="43" t="e">
        <f ca="1"/>
        <v>#NAME?</v>
      </c>
    </row>
    <row r="59" spans="17:20">
      <c r="Q59" s="292" t="e">
        <f ca="1"/>
        <v>#NAME?</v>
      </c>
      <c r="R59" s="5" t="e">
        <f ca="1"/>
        <v>#NAME?</v>
      </c>
      <c r="S59" s="5" t="e">
        <f ca="1"/>
        <v>#NAME?</v>
      </c>
      <c r="T59" s="43" t="e">
        <f ca="1"/>
        <v>#NAME?</v>
      </c>
    </row>
    <row r="60" spans="17:20">
      <c r="Q60" s="292" t="e">
        <f ca="1"/>
        <v>#NAME?</v>
      </c>
      <c r="R60" s="5" t="e">
        <f ca="1"/>
        <v>#NAME?</v>
      </c>
      <c r="S60" s="5" t="e">
        <f ca="1"/>
        <v>#NAME?</v>
      </c>
      <c r="T60" s="43" t="e">
        <f ca="1"/>
        <v>#NAME?</v>
      </c>
    </row>
    <row r="61" spans="17:20">
      <c r="Q61" s="292" t="e">
        <f ca="1"/>
        <v>#NAME?</v>
      </c>
      <c r="R61" s="5" t="e">
        <f ca="1"/>
        <v>#NAME?</v>
      </c>
      <c r="S61" s="5" t="e">
        <f ca="1"/>
        <v>#NAME?</v>
      </c>
      <c r="T61" s="43" t="e">
        <f ca="1"/>
        <v>#NAME?</v>
      </c>
    </row>
    <row r="62" spans="17:20">
      <c r="Q62" s="292" t="e">
        <f ca="1"/>
        <v>#NAME?</v>
      </c>
      <c r="R62" s="5" t="e">
        <f ca="1"/>
        <v>#NAME?</v>
      </c>
      <c r="S62" s="5" t="e">
        <f ca="1"/>
        <v>#NAME?</v>
      </c>
      <c r="T62" s="43" t="e">
        <f ca="1"/>
        <v>#NAME?</v>
      </c>
    </row>
    <row r="63" spans="17:20">
      <c r="Q63" s="292" t="e">
        <f ca="1"/>
        <v>#NAME?</v>
      </c>
      <c r="R63" s="5" t="e">
        <f ca="1"/>
        <v>#NAME?</v>
      </c>
      <c r="S63" s="5" t="e">
        <f ca="1"/>
        <v>#NAME?</v>
      </c>
      <c r="T63" s="43" t="e">
        <f ca="1"/>
        <v>#NAME?</v>
      </c>
    </row>
    <row r="64" spans="17:20">
      <c r="Q64" s="292" t="e">
        <f ca="1"/>
        <v>#NAME?</v>
      </c>
      <c r="R64" s="5" t="e">
        <f ca="1"/>
        <v>#NAME?</v>
      </c>
      <c r="S64" s="5" t="e">
        <f ca="1"/>
        <v>#NAME?</v>
      </c>
      <c r="T64" s="43" t="e">
        <f ca="1"/>
        <v>#NAME?</v>
      </c>
    </row>
    <row r="65" spans="17:20">
      <c r="Q65" s="292" t="e">
        <f ca="1"/>
        <v>#NAME?</v>
      </c>
      <c r="R65" s="5" t="e">
        <f ca="1"/>
        <v>#NAME?</v>
      </c>
      <c r="S65" s="5" t="e">
        <f ca="1"/>
        <v>#NAME?</v>
      </c>
      <c r="T65" s="43" t="e">
        <f ca="1"/>
        <v>#NAME?</v>
      </c>
    </row>
    <row r="66" spans="17:20">
      <c r="Q66" s="292" t="e">
        <f ca="1"/>
        <v>#NAME?</v>
      </c>
      <c r="R66" s="5" t="e">
        <f ca="1"/>
        <v>#NAME?</v>
      </c>
      <c r="S66" s="5" t="e">
        <f ca="1"/>
        <v>#NAME?</v>
      </c>
      <c r="T66" s="43" t="e">
        <f ca="1"/>
        <v>#NAME?</v>
      </c>
    </row>
    <row r="67" spans="17:20">
      <c r="Q67" s="292" t="e">
        <f ca="1"/>
        <v>#NAME?</v>
      </c>
      <c r="R67" s="5" t="e">
        <f ca="1"/>
        <v>#NAME?</v>
      </c>
      <c r="S67" s="5" t="e">
        <f ca="1"/>
        <v>#NAME?</v>
      </c>
      <c r="T67" s="43" t="e">
        <f ca="1"/>
        <v>#NAME?</v>
      </c>
    </row>
    <row r="68" spans="17:20">
      <c r="Q68" s="292" t="e">
        <f ca="1"/>
        <v>#NAME?</v>
      </c>
      <c r="R68" s="5" t="e">
        <f ca="1"/>
        <v>#NAME?</v>
      </c>
      <c r="S68" s="5" t="e">
        <f ca="1"/>
        <v>#NAME?</v>
      </c>
      <c r="T68" s="43" t="e">
        <f ca="1"/>
        <v>#NAME?</v>
      </c>
    </row>
    <row r="69" spans="17:20">
      <c r="Q69" s="292" t="e">
        <f ca="1"/>
        <v>#NAME?</v>
      </c>
      <c r="R69" s="5" t="e">
        <f ca="1"/>
        <v>#NAME?</v>
      </c>
      <c r="S69" s="5" t="e">
        <f ca="1"/>
        <v>#NAME?</v>
      </c>
      <c r="T69" s="43" t="e">
        <f ca="1"/>
        <v>#NAME?</v>
      </c>
    </row>
    <row r="70" spans="17:20">
      <c r="Q70" s="292" t="e">
        <f ca="1"/>
        <v>#NAME?</v>
      </c>
      <c r="R70" s="5" t="e">
        <f ca="1"/>
        <v>#NAME?</v>
      </c>
      <c r="S70" s="5" t="e">
        <f ca="1"/>
        <v>#NAME?</v>
      </c>
      <c r="T70" s="43" t="e">
        <f ca="1"/>
        <v>#NAME?</v>
      </c>
    </row>
    <row r="71" spans="17:20">
      <c r="Q71" s="292" t="e">
        <f ca="1"/>
        <v>#NAME?</v>
      </c>
      <c r="R71" s="5" t="e">
        <f ca="1"/>
        <v>#NAME?</v>
      </c>
      <c r="S71" s="5" t="e">
        <f ca="1"/>
        <v>#NAME?</v>
      </c>
      <c r="T71" s="43" t="e">
        <f ca="1"/>
        <v>#NAME?</v>
      </c>
    </row>
    <row r="72" spans="17:20">
      <c r="Q72" s="292" t="e">
        <f ca="1"/>
        <v>#NAME?</v>
      </c>
      <c r="R72" s="5" t="e">
        <f ca="1"/>
        <v>#NAME?</v>
      </c>
      <c r="S72" s="5" t="e">
        <f ca="1"/>
        <v>#NAME?</v>
      </c>
      <c r="T72" s="43" t="e">
        <f ca="1"/>
        <v>#NAME?</v>
      </c>
    </row>
    <row r="73" spans="17:20">
      <c r="Q73" s="292" t="e">
        <f ca="1"/>
        <v>#NAME?</v>
      </c>
      <c r="R73" s="5" t="e">
        <f ca="1"/>
        <v>#NAME?</v>
      </c>
      <c r="S73" s="5" t="e">
        <f ca="1"/>
        <v>#NAME?</v>
      </c>
      <c r="T73" s="43" t="e">
        <f ca="1"/>
        <v>#NAME?</v>
      </c>
    </row>
    <row r="74" spans="17:20">
      <c r="Q74" s="292" t="e">
        <f ca="1"/>
        <v>#NAME?</v>
      </c>
      <c r="R74" s="5" t="e">
        <f ca="1"/>
        <v>#NAME?</v>
      </c>
      <c r="S74" s="5" t="e">
        <f ca="1"/>
        <v>#NAME?</v>
      </c>
      <c r="T74" s="43" t="e">
        <f ca="1"/>
        <v>#NAME?</v>
      </c>
    </row>
    <row r="75" spans="17:20">
      <c r="Q75" s="292" t="e">
        <f ca="1"/>
        <v>#NAME?</v>
      </c>
      <c r="R75" s="5" t="e">
        <f ca="1"/>
        <v>#NAME?</v>
      </c>
      <c r="S75" s="5" t="e">
        <f ca="1"/>
        <v>#NAME?</v>
      </c>
      <c r="T75" s="43" t="e">
        <f ca="1"/>
        <v>#NAME?</v>
      </c>
    </row>
    <row r="76" spans="17:20">
      <c r="Q76" s="292" t="e">
        <f ca="1"/>
        <v>#NAME?</v>
      </c>
      <c r="R76" s="5" t="e">
        <f ca="1"/>
        <v>#NAME?</v>
      </c>
      <c r="S76" s="5" t="e">
        <f ca="1"/>
        <v>#NAME?</v>
      </c>
      <c r="T76" s="43" t="e">
        <f ca="1"/>
        <v>#NAME?</v>
      </c>
    </row>
    <row r="77" spans="17:20">
      <c r="Q77" s="292" t="e">
        <f ca="1"/>
        <v>#NAME?</v>
      </c>
      <c r="R77" s="5" t="e">
        <f ca="1"/>
        <v>#NAME?</v>
      </c>
      <c r="S77" s="5" t="e">
        <f ca="1"/>
        <v>#NAME?</v>
      </c>
      <c r="T77" s="43" t="e">
        <f ca="1"/>
        <v>#NAME?</v>
      </c>
    </row>
    <row r="78" spans="17:20">
      <c r="Q78" s="292" t="e">
        <f ca="1"/>
        <v>#NAME?</v>
      </c>
      <c r="R78" s="5" t="e">
        <f ca="1"/>
        <v>#NAME?</v>
      </c>
      <c r="S78" s="5" t="e">
        <f ca="1"/>
        <v>#NAME?</v>
      </c>
      <c r="T78" s="43" t="e">
        <f ca="1"/>
        <v>#NAME?</v>
      </c>
    </row>
    <row r="79" spans="17:20">
      <c r="Q79" s="292" t="e">
        <f ca="1"/>
        <v>#NAME?</v>
      </c>
      <c r="R79" s="5" t="e">
        <f ca="1"/>
        <v>#NAME?</v>
      </c>
      <c r="S79" s="5" t="e">
        <f ca="1"/>
        <v>#NAME?</v>
      </c>
      <c r="T79" s="43" t="e">
        <f ca="1"/>
        <v>#NAME?</v>
      </c>
    </row>
    <row r="80" spans="17:20">
      <c r="Q80" s="292" t="e">
        <f ca="1"/>
        <v>#NAME?</v>
      </c>
      <c r="R80" s="5" t="e">
        <f ca="1"/>
        <v>#NAME?</v>
      </c>
      <c r="S80" s="5" t="e">
        <f ca="1"/>
        <v>#NAME?</v>
      </c>
      <c r="T80" s="43" t="e">
        <f ca="1"/>
        <v>#NAME?</v>
      </c>
    </row>
    <row r="81" spans="17:20">
      <c r="Q81" s="292" t="e">
        <f ca="1"/>
        <v>#NAME?</v>
      </c>
      <c r="R81" s="5" t="e">
        <f ca="1"/>
        <v>#NAME?</v>
      </c>
      <c r="S81" s="5" t="e">
        <f ca="1"/>
        <v>#NAME?</v>
      </c>
      <c r="T81" s="43" t="e">
        <f ca="1"/>
        <v>#NAME?</v>
      </c>
    </row>
    <row r="82" spans="17:20">
      <c r="Q82" s="292" t="e">
        <f ca="1"/>
        <v>#NAME?</v>
      </c>
      <c r="R82" s="5" t="e">
        <f ca="1"/>
        <v>#NAME?</v>
      </c>
      <c r="S82" s="5" t="e">
        <f ca="1"/>
        <v>#NAME?</v>
      </c>
      <c r="T82" s="43" t="e">
        <f ca="1"/>
        <v>#NAME?</v>
      </c>
    </row>
    <row r="83" spans="17:20">
      <c r="Q83" s="292" t="e">
        <f ca="1"/>
        <v>#NAME?</v>
      </c>
      <c r="R83" s="5" t="e">
        <f ca="1"/>
        <v>#NAME?</v>
      </c>
      <c r="S83" s="5" t="e">
        <f ca="1"/>
        <v>#NAME?</v>
      </c>
      <c r="T83" s="43" t="e">
        <f ca="1"/>
        <v>#NAME?</v>
      </c>
    </row>
    <row r="84" spans="17:20">
      <c r="Q84" s="292" t="e">
        <f ca="1"/>
        <v>#NAME?</v>
      </c>
      <c r="R84" s="5" t="e">
        <f ca="1"/>
        <v>#NAME?</v>
      </c>
      <c r="S84" s="5" t="e">
        <f ca="1"/>
        <v>#NAME?</v>
      </c>
      <c r="T84" s="43" t="e">
        <f ca="1"/>
        <v>#NAME?</v>
      </c>
    </row>
    <row r="85" spans="17:20">
      <c r="Q85" s="292" t="e">
        <f ca="1"/>
        <v>#NAME?</v>
      </c>
      <c r="R85" s="5" t="e">
        <f ca="1"/>
        <v>#NAME?</v>
      </c>
      <c r="S85" s="5" t="e">
        <f ca="1"/>
        <v>#NAME?</v>
      </c>
      <c r="T85" s="43" t="e">
        <f ca="1"/>
        <v>#NAME?</v>
      </c>
    </row>
    <row r="86" spans="17:20">
      <c r="Q86" s="292" t="e">
        <f ca="1"/>
        <v>#NAME?</v>
      </c>
      <c r="R86" s="5" t="e">
        <f ca="1"/>
        <v>#NAME?</v>
      </c>
      <c r="S86" s="5" t="e">
        <f ca="1"/>
        <v>#NAME?</v>
      </c>
      <c r="T86" s="43" t="e">
        <f ca="1"/>
        <v>#NAME?</v>
      </c>
    </row>
    <row r="87" spans="17:20">
      <c r="Q87" s="292" t="e">
        <f ca="1"/>
        <v>#NAME?</v>
      </c>
      <c r="R87" s="5" t="e">
        <f ca="1"/>
        <v>#NAME?</v>
      </c>
      <c r="S87" s="5" t="e">
        <f ca="1"/>
        <v>#NAME?</v>
      </c>
      <c r="T87" s="43" t="e">
        <f ca="1"/>
        <v>#NAME?</v>
      </c>
    </row>
    <row r="88" spans="17:20">
      <c r="Q88" s="292" t="e">
        <f ca="1"/>
        <v>#NAME?</v>
      </c>
      <c r="R88" s="5" t="e">
        <f ca="1"/>
        <v>#NAME?</v>
      </c>
      <c r="S88" s="5" t="e">
        <f ca="1"/>
        <v>#NAME?</v>
      </c>
      <c r="T88" s="43" t="e">
        <f ca="1"/>
        <v>#NAME?</v>
      </c>
    </row>
    <row r="89" spans="17:20">
      <c r="Q89" s="292" t="e">
        <f ca="1"/>
        <v>#NAME?</v>
      </c>
      <c r="R89" s="5" t="e">
        <f ca="1"/>
        <v>#NAME?</v>
      </c>
      <c r="S89" s="5" t="e">
        <f ca="1"/>
        <v>#NAME?</v>
      </c>
      <c r="T89" s="43" t="e">
        <f ca="1"/>
        <v>#NAME?</v>
      </c>
    </row>
    <row r="90" spans="17:20">
      <c r="Q90" s="292" t="e">
        <f ca="1"/>
        <v>#NAME?</v>
      </c>
      <c r="R90" s="5" t="e">
        <f ca="1"/>
        <v>#NAME?</v>
      </c>
      <c r="S90" s="5" t="e">
        <f ca="1"/>
        <v>#NAME?</v>
      </c>
      <c r="T90" s="43" t="e">
        <f ca="1"/>
        <v>#NAME?</v>
      </c>
    </row>
    <row r="91" spans="17:20">
      <c r="Q91" s="377" t="e">
        <f ca="1"/>
        <v>#NAME?</v>
      </c>
      <c r="R91" s="378" t="e">
        <f ca="1"/>
        <v>#NAME?</v>
      </c>
      <c r="S91" s="378" t="e">
        <f ca="1"/>
        <v>#NAME?</v>
      </c>
      <c r="T91" s="379" t="e">
        <f ca="1"/>
        <v>#NAME?</v>
      </c>
    </row>
  </sheetData>
  <mergeCells count="1">
    <mergeCell ref="D3:O3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2"/>
  <dimension ref="A1:AN242"/>
  <sheetViews>
    <sheetView workbookViewId="0"/>
  </sheetViews>
  <sheetFormatPr defaultRowHeight="15"/>
  <cols>
    <col min="6" max="23" width="5.140625" customWidth="1"/>
    <col min="25" max="25" width="17.28515625" customWidth="1"/>
    <col min="34" max="34" width="17.85546875" customWidth="1"/>
  </cols>
  <sheetData>
    <row r="1" spans="1:40">
      <c r="A1" s="1" t="s">
        <v>990</v>
      </c>
      <c r="Y1" t="s">
        <v>991</v>
      </c>
      <c r="AH1" t="s">
        <v>992</v>
      </c>
    </row>
    <row r="2" spans="1:40">
      <c r="F2" s="735" t="s">
        <v>993</v>
      </c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 t="s">
        <v>994</v>
      </c>
      <c r="T2" s="735"/>
      <c r="U2" s="735" t="s">
        <v>995</v>
      </c>
      <c r="V2" s="735"/>
    </row>
    <row r="3" spans="1:40" ht="15.75" thickBot="1">
      <c r="A3" s="584" t="s">
        <v>2</v>
      </c>
      <c r="B3" s="11" t="s">
        <v>996</v>
      </c>
      <c r="C3" s="11" t="s">
        <v>997</v>
      </c>
      <c r="D3" s="11" t="s">
        <v>998</v>
      </c>
      <c r="F3" s="659">
        <v>2</v>
      </c>
      <c r="G3" s="659">
        <v>3</v>
      </c>
      <c r="H3" s="659">
        <v>4</v>
      </c>
      <c r="I3" s="659">
        <v>5</v>
      </c>
      <c r="J3" s="659">
        <v>6</v>
      </c>
      <c r="K3" s="659">
        <v>7</v>
      </c>
      <c r="L3" s="659">
        <v>8</v>
      </c>
      <c r="M3" s="659">
        <v>9</v>
      </c>
      <c r="N3" s="659">
        <v>10</v>
      </c>
      <c r="O3" s="659">
        <v>11</v>
      </c>
      <c r="P3" s="659">
        <v>12</v>
      </c>
      <c r="Q3" s="659">
        <v>13</v>
      </c>
      <c r="R3" s="659">
        <v>14</v>
      </c>
      <c r="S3" s="659">
        <v>2</v>
      </c>
      <c r="T3" s="659">
        <v>3</v>
      </c>
      <c r="U3" s="659" t="s">
        <v>999</v>
      </c>
      <c r="V3" s="659" t="s">
        <v>1000</v>
      </c>
      <c r="W3" t="s">
        <v>1001</v>
      </c>
      <c r="Y3" s="364" t="s">
        <v>606</v>
      </c>
      <c r="Z3" s="364"/>
      <c r="AB3" s="364"/>
      <c r="AC3" s="364"/>
      <c r="AH3" t="s">
        <v>210</v>
      </c>
      <c r="AL3" s="659" t="s">
        <v>16</v>
      </c>
      <c r="AM3" s="659">
        <v>0.05</v>
      </c>
    </row>
    <row r="4" spans="1:40" ht="15.75" thickTop="1">
      <c r="A4" s="644" t="s">
        <v>1002</v>
      </c>
      <c r="B4" s="662">
        <v>250</v>
      </c>
      <c r="C4" s="663">
        <v>278</v>
      </c>
      <c r="D4" s="664">
        <v>442</v>
      </c>
      <c r="F4" s="665">
        <v>0</v>
      </c>
      <c r="G4" s="666">
        <v>0</v>
      </c>
      <c r="H4" s="666">
        <v>0</v>
      </c>
      <c r="I4" s="666">
        <v>0</v>
      </c>
      <c r="J4" s="666">
        <v>0</v>
      </c>
      <c r="K4" s="666">
        <v>0</v>
      </c>
      <c r="L4" s="666">
        <v>0</v>
      </c>
      <c r="M4" s="666">
        <v>0</v>
      </c>
      <c r="N4" s="666">
        <v>0</v>
      </c>
      <c r="O4" s="666">
        <v>0</v>
      </c>
      <c r="P4" s="666">
        <v>0</v>
      </c>
      <c r="Q4" s="666">
        <v>0</v>
      </c>
      <c r="R4" s="666">
        <v>0</v>
      </c>
      <c r="S4" s="665">
        <v>0</v>
      </c>
      <c r="T4" s="667">
        <v>0</v>
      </c>
      <c r="U4" s="665">
        <v>0</v>
      </c>
      <c r="V4" s="667">
        <v>0</v>
      </c>
      <c r="W4" s="668">
        <v>250</v>
      </c>
      <c r="Y4" t="s">
        <v>208</v>
      </c>
      <c r="Z4" t="e">
        <f ca="1">SQRT(Z5)</f>
        <v>#NAME?</v>
      </c>
      <c r="AB4" t="s">
        <v>498</v>
      </c>
      <c r="AC4" t="e">
        <f ca="1">Z8*LN(AA13/Z8)+2*(Z12+1)</f>
        <v>#NAME?</v>
      </c>
      <c r="AH4" s="398"/>
      <c r="AI4" s="398" t="s">
        <v>137</v>
      </c>
      <c r="AJ4" s="398" t="s">
        <v>26</v>
      </c>
      <c r="AK4" s="398" t="s">
        <v>156</v>
      </c>
      <c r="AL4" s="398" t="s">
        <v>63</v>
      </c>
      <c r="AM4" s="398" t="s">
        <v>1003</v>
      </c>
      <c r="AN4" s="398" t="s">
        <v>373</v>
      </c>
    </row>
    <row r="5" spans="1:40">
      <c r="A5" s="294"/>
      <c r="B5" s="669">
        <v>65</v>
      </c>
      <c r="C5" s="670">
        <v>207</v>
      </c>
      <c r="D5" s="671">
        <v>341</v>
      </c>
      <c r="F5" s="672">
        <v>1</v>
      </c>
      <c r="G5" s="673">
        <v>0</v>
      </c>
      <c r="H5" s="673">
        <v>0</v>
      </c>
      <c r="I5" s="673">
        <v>0</v>
      </c>
      <c r="J5" s="673">
        <v>0</v>
      </c>
      <c r="K5" s="673">
        <v>0</v>
      </c>
      <c r="L5" s="673">
        <v>0</v>
      </c>
      <c r="M5" s="673">
        <v>0</v>
      </c>
      <c r="N5" s="673">
        <v>0</v>
      </c>
      <c r="O5" s="673">
        <v>0</v>
      </c>
      <c r="P5" s="673">
        <v>0</v>
      </c>
      <c r="Q5" s="673">
        <v>0</v>
      </c>
      <c r="R5" s="673">
        <v>0</v>
      </c>
      <c r="S5" s="672">
        <v>0</v>
      </c>
      <c r="T5" s="674">
        <v>0</v>
      </c>
      <c r="U5" s="672">
        <v>0</v>
      </c>
      <c r="V5" s="674">
        <v>0</v>
      </c>
      <c r="W5" s="675">
        <v>65</v>
      </c>
      <c r="Y5" t="s">
        <v>201</v>
      </c>
      <c r="Z5" t="e">
        <f ca="1">AA12/AA14</f>
        <v>#NAME?</v>
      </c>
      <c r="AB5" t="s">
        <v>499</v>
      </c>
      <c r="AC5" t="e">
        <f ca="1">AC4+2*(Z12+2)*(Z12+3)/(Z8-Z12-3)</f>
        <v>#NAME?</v>
      </c>
      <c r="AH5" t="s">
        <v>1004</v>
      </c>
      <c r="AI5" t="e">
        <f ca="1">AI12-AI8</f>
        <v>#NAME?</v>
      </c>
      <c r="AJ5">
        <f>AJ12-AJ8</f>
        <v>13</v>
      </c>
    </row>
    <row r="6" spans="1:40">
      <c r="A6" s="294"/>
      <c r="B6" s="669">
        <v>251</v>
      </c>
      <c r="C6" s="670">
        <v>261</v>
      </c>
      <c r="D6" s="671">
        <v>384</v>
      </c>
      <c r="F6" s="672">
        <v>0</v>
      </c>
      <c r="G6" s="673">
        <v>1</v>
      </c>
      <c r="H6" s="673">
        <v>0</v>
      </c>
      <c r="I6" s="673">
        <v>0</v>
      </c>
      <c r="J6" s="673">
        <v>0</v>
      </c>
      <c r="K6" s="673">
        <v>0</v>
      </c>
      <c r="L6" s="673">
        <v>0</v>
      </c>
      <c r="M6" s="673">
        <v>0</v>
      </c>
      <c r="N6" s="673">
        <v>0</v>
      </c>
      <c r="O6" s="673">
        <v>0</v>
      </c>
      <c r="P6" s="673">
        <v>0</v>
      </c>
      <c r="Q6" s="673">
        <v>0</v>
      </c>
      <c r="R6" s="673">
        <v>0</v>
      </c>
      <c r="S6" s="672">
        <v>0</v>
      </c>
      <c r="T6" s="674">
        <v>0</v>
      </c>
      <c r="U6" s="672">
        <v>0</v>
      </c>
      <c r="V6" s="674">
        <v>0</v>
      </c>
      <c r="W6" s="675">
        <v>251</v>
      </c>
      <c r="Y6" t="s">
        <v>209</v>
      </c>
      <c r="Z6" t="e">
        <f ca="1">1-(1-Z5)*(Z8-1)/(Z8-Z12-1)</f>
        <v>#NAME?</v>
      </c>
      <c r="AB6" s="367" t="s">
        <v>762</v>
      </c>
      <c r="AC6" s="367" t="e">
        <f ca="1">Z8*LN(AA13/Z8)+(Z12+1)*LN(Z8)</f>
        <v>#NAME?</v>
      </c>
      <c r="AH6" t="s">
        <v>1005</v>
      </c>
      <c r="AI6" t="e">
        <f ca="1">AA105</f>
        <v>#NAME?</v>
      </c>
      <c r="AJ6">
        <f>Z105</f>
        <v>2</v>
      </c>
      <c r="AK6" t="e">
        <f ca="1">AI6/AJ6</f>
        <v>#NAME?</v>
      </c>
      <c r="AL6" t="e">
        <f ca="1">AK6/AK7</f>
        <v>#NAME?</v>
      </c>
      <c r="AM6" t="e">
        <f ca="1">FDIST(AL6,AJ6,AJ7)</f>
        <v>#NAME?</v>
      </c>
      <c r="AN6">
        <f>FINV(AM3,AJ6,AJ7)</f>
        <v>3.9822979570944854</v>
      </c>
    </row>
    <row r="7" spans="1:40">
      <c r="A7" s="294"/>
      <c r="B7" s="669">
        <v>103</v>
      </c>
      <c r="C7" s="670">
        <v>286</v>
      </c>
      <c r="D7" s="671">
        <v>401</v>
      </c>
      <c r="F7" s="672">
        <v>0</v>
      </c>
      <c r="G7" s="673">
        <v>0</v>
      </c>
      <c r="H7" s="673">
        <v>1</v>
      </c>
      <c r="I7" s="673">
        <v>0</v>
      </c>
      <c r="J7" s="673">
        <v>0</v>
      </c>
      <c r="K7" s="673">
        <v>0</v>
      </c>
      <c r="L7" s="673">
        <v>0</v>
      </c>
      <c r="M7" s="673">
        <v>0</v>
      </c>
      <c r="N7" s="673">
        <v>0</v>
      </c>
      <c r="O7" s="673">
        <v>0</v>
      </c>
      <c r="P7" s="673">
        <v>0</v>
      </c>
      <c r="Q7" s="673">
        <v>0</v>
      </c>
      <c r="R7" s="673">
        <v>0</v>
      </c>
      <c r="S7" s="672">
        <v>0</v>
      </c>
      <c r="T7" s="674">
        <v>0</v>
      </c>
      <c r="U7" s="672">
        <v>0</v>
      </c>
      <c r="V7" s="674">
        <v>0</v>
      </c>
      <c r="W7" s="675">
        <v>103</v>
      </c>
      <c r="Y7" t="s">
        <v>9</v>
      </c>
      <c r="Z7" t="e">
        <f ca="1">SQRT(AB13)</f>
        <v>#NAME?</v>
      </c>
      <c r="AH7" t="s">
        <v>1006</v>
      </c>
      <c r="AI7" t="e">
        <f ca="1">AI5-AI6</f>
        <v>#NAME?</v>
      </c>
      <c r="AJ7">
        <f>AJ5-AJ6</f>
        <v>11</v>
      </c>
      <c r="AK7" t="e">
        <f ca="1">AI7/AJ7</f>
        <v>#NAME?</v>
      </c>
    </row>
    <row r="8" spans="1:40">
      <c r="A8" s="284"/>
      <c r="B8" s="676">
        <v>230</v>
      </c>
      <c r="C8" s="670">
        <v>306</v>
      </c>
      <c r="D8" s="677">
        <v>432</v>
      </c>
      <c r="F8" s="672">
        <v>0</v>
      </c>
      <c r="G8" s="673">
        <v>0</v>
      </c>
      <c r="H8" s="673">
        <v>0</v>
      </c>
      <c r="I8" s="673">
        <v>1</v>
      </c>
      <c r="J8" s="673">
        <v>0</v>
      </c>
      <c r="K8" s="673">
        <v>0</v>
      </c>
      <c r="L8" s="673">
        <v>0</v>
      </c>
      <c r="M8" s="673">
        <v>0</v>
      </c>
      <c r="N8" s="673">
        <v>0</v>
      </c>
      <c r="O8" s="673">
        <v>0</v>
      </c>
      <c r="P8" s="673">
        <v>0</v>
      </c>
      <c r="Q8" s="673">
        <v>0</v>
      </c>
      <c r="R8" s="673">
        <v>0</v>
      </c>
      <c r="S8" s="672">
        <v>0</v>
      </c>
      <c r="T8" s="674">
        <v>0</v>
      </c>
      <c r="U8" s="678">
        <v>0</v>
      </c>
      <c r="V8" s="679">
        <v>0</v>
      </c>
      <c r="W8" s="680">
        <v>230</v>
      </c>
      <c r="Y8" s="367" t="s">
        <v>42</v>
      </c>
      <c r="Z8" s="367">
        <f>COUNT(W4:W45)</f>
        <v>42</v>
      </c>
      <c r="AH8" t="s">
        <v>1007</v>
      </c>
      <c r="AI8" t="e">
        <f ca="1">AA50</f>
        <v>#NAME?</v>
      </c>
      <c r="AJ8">
        <f>Z50</f>
        <v>28</v>
      </c>
    </row>
    <row r="9" spans="1:40">
      <c r="A9" s="506" t="s">
        <v>1008</v>
      </c>
      <c r="B9" s="662">
        <v>54</v>
      </c>
      <c r="C9" s="663">
        <v>172</v>
      </c>
      <c r="D9" s="664">
        <v>307</v>
      </c>
      <c r="F9" s="672">
        <v>0</v>
      </c>
      <c r="G9" s="673">
        <v>0</v>
      </c>
      <c r="H9" s="673">
        <v>0</v>
      </c>
      <c r="I9" s="673">
        <v>0</v>
      </c>
      <c r="J9" s="673">
        <v>1</v>
      </c>
      <c r="K9" s="673">
        <v>0</v>
      </c>
      <c r="L9" s="673">
        <v>0</v>
      </c>
      <c r="M9" s="673">
        <v>0</v>
      </c>
      <c r="N9" s="673">
        <v>0</v>
      </c>
      <c r="O9" s="673">
        <v>0</v>
      </c>
      <c r="P9" s="673">
        <v>0</v>
      </c>
      <c r="Q9" s="673">
        <v>0</v>
      </c>
      <c r="R9" s="673">
        <v>0</v>
      </c>
      <c r="S9" s="672">
        <v>0</v>
      </c>
      <c r="T9" s="674">
        <v>0</v>
      </c>
      <c r="U9" s="665">
        <v>1</v>
      </c>
      <c r="V9" s="667">
        <v>0</v>
      </c>
      <c r="W9" s="668">
        <v>54</v>
      </c>
      <c r="AH9" t="s">
        <v>1009</v>
      </c>
      <c r="AI9" t="e">
        <f ca="1">AA235</f>
        <v>#NAME?</v>
      </c>
      <c r="AJ9">
        <f>Z235</f>
        <v>2</v>
      </c>
      <c r="AK9" t="e">
        <f ca="1">AI9/AJ9</f>
        <v>#NAME?</v>
      </c>
      <c r="AL9" t="e">
        <f ca="1">AK9/AK11</f>
        <v>#NAME?</v>
      </c>
      <c r="AM9" t="e">
        <f ca="1">FDIST(AL9,AJ9,AJ11)</f>
        <v>#NAME?</v>
      </c>
      <c r="AN9">
        <f>FINV(AM3,AJ9,AJ11)</f>
        <v>3.4433567793667246</v>
      </c>
    </row>
    <row r="10" spans="1:40" ht="15.75" thickBot="1">
      <c r="A10" s="293"/>
      <c r="B10" s="669">
        <v>20</v>
      </c>
      <c r="C10" s="670">
        <v>116</v>
      </c>
      <c r="D10" s="671">
        <v>425</v>
      </c>
      <c r="F10" s="672">
        <v>0</v>
      </c>
      <c r="G10" s="673">
        <v>0</v>
      </c>
      <c r="H10" s="673">
        <v>0</v>
      </c>
      <c r="I10" s="673">
        <v>0</v>
      </c>
      <c r="J10" s="673">
        <v>0</v>
      </c>
      <c r="K10" s="673">
        <v>1</v>
      </c>
      <c r="L10" s="673">
        <v>0</v>
      </c>
      <c r="M10" s="673">
        <v>0</v>
      </c>
      <c r="N10" s="673">
        <v>0</v>
      </c>
      <c r="O10" s="673">
        <v>0</v>
      </c>
      <c r="P10" s="673">
        <v>0</v>
      </c>
      <c r="Q10" s="673">
        <v>0</v>
      </c>
      <c r="R10" s="673">
        <v>0</v>
      </c>
      <c r="S10" s="672">
        <v>0</v>
      </c>
      <c r="T10" s="674">
        <v>0</v>
      </c>
      <c r="U10" s="672">
        <v>1</v>
      </c>
      <c r="V10" s="674">
        <v>0</v>
      </c>
      <c r="W10" s="675">
        <v>20</v>
      </c>
      <c r="Y10" t="s">
        <v>210</v>
      </c>
      <c r="AC10" s="659" t="s">
        <v>16</v>
      </c>
      <c r="AD10" s="659">
        <v>0.05</v>
      </c>
      <c r="AH10" t="s">
        <v>1010</v>
      </c>
      <c r="AI10" t="e">
        <f ca="1">AA208-AA82</f>
        <v>#NAME?</v>
      </c>
      <c r="AJ10">
        <f>Z208-Z82</f>
        <v>4</v>
      </c>
      <c r="AK10" t="e">
        <f ca="1">AI10/AJ10</f>
        <v>#NAME?</v>
      </c>
      <c r="AL10" t="e">
        <f ca="1">AK10/AK11</f>
        <v>#NAME?</v>
      </c>
      <c r="AM10" t="e">
        <f ca="1">FDIST(AL10,AJ10,AJ11)</f>
        <v>#NAME?</v>
      </c>
      <c r="AN10">
        <f>FINV(AM3,AJ10,AJ11)</f>
        <v>2.8167083396402548</v>
      </c>
    </row>
    <row r="11" spans="1:40" ht="15.75" thickTop="1">
      <c r="A11" s="293"/>
      <c r="B11" s="669">
        <v>41</v>
      </c>
      <c r="C11" s="670">
        <v>168</v>
      </c>
      <c r="D11" s="671">
        <v>378</v>
      </c>
      <c r="F11" s="672">
        <v>0</v>
      </c>
      <c r="G11" s="673">
        <v>0</v>
      </c>
      <c r="H11" s="673">
        <v>0</v>
      </c>
      <c r="I11" s="673">
        <v>0</v>
      </c>
      <c r="J11" s="673">
        <v>0</v>
      </c>
      <c r="K11" s="673">
        <v>0</v>
      </c>
      <c r="L11" s="673">
        <v>1</v>
      </c>
      <c r="M11" s="673">
        <v>0</v>
      </c>
      <c r="N11" s="673">
        <v>0</v>
      </c>
      <c r="O11" s="673">
        <v>0</v>
      </c>
      <c r="P11" s="673">
        <v>0</v>
      </c>
      <c r="Q11" s="673">
        <v>0</v>
      </c>
      <c r="R11" s="673">
        <v>0</v>
      </c>
      <c r="S11" s="672">
        <v>0</v>
      </c>
      <c r="T11" s="674">
        <v>0</v>
      </c>
      <c r="U11" s="672">
        <v>1</v>
      </c>
      <c r="V11" s="674">
        <v>0</v>
      </c>
      <c r="W11" s="675">
        <v>41</v>
      </c>
      <c r="Y11" s="398"/>
      <c r="Z11" s="398" t="s">
        <v>26</v>
      </c>
      <c r="AA11" s="398" t="s">
        <v>137</v>
      </c>
      <c r="AB11" s="398" t="s">
        <v>156</v>
      </c>
      <c r="AC11" s="398" t="s">
        <v>63</v>
      </c>
      <c r="AD11" s="398" t="s">
        <v>30</v>
      </c>
      <c r="AE11" s="398" t="s">
        <v>374</v>
      </c>
      <c r="AH11" t="s">
        <v>1006</v>
      </c>
      <c r="AI11" t="e">
        <f ca="1">AI8-AI9-AI10</f>
        <v>#NAME?</v>
      </c>
      <c r="AJ11">
        <f>AJ8-AJ9-AJ10</f>
        <v>22</v>
      </c>
      <c r="AK11" t="e">
        <f ca="1">AI11/AJ11</f>
        <v>#NAME?</v>
      </c>
    </row>
    <row r="12" spans="1:40">
      <c r="A12" s="293"/>
      <c r="B12" s="669">
        <v>29</v>
      </c>
      <c r="C12" s="670">
        <v>81</v>
      </c>
      <c r="D12" s="671">
        <v>193</v>
      </c>
      <c r="F12" s="672">
        <v>0</v>
      </c>
      <c r="G12" s="673">
        <v>0</v>
      </c>
      <c r="H12" s="673">
        <v>0</v>
      </c>
      <c r="I12" s="673">
        <v>0</v>
      </c>
      <c r="J12" s="673">
        <v>0</v>
      </c>
      <c r="K12" s="673">
        <v>0</v>
      </c>
      <c r="L12" s="673">
        <v>0</v>
      </c>
      <c r="M12" s="673">
        <v>1</v>
      </c>
      <c r="N12" s="673">
        <v>0</v>
      </c>
      <c r="O12" s="673">
        <v>0</v>
      </c>
      <c r="P12" s="673">
        <v>0</v>
      </c>
      <c r="Q12" s="673">
        <v>0</v>
      </c>
      <c r="R12" s="673">
        <v>0</v>
      </c>
      <c r="S12" s="672">
        <v>0</v>
      </c>
      <c r="T12" s="674">
        <v>0</v>
      </c>
      <c r="U12" s="672">
        <v>1</v>
      </c>
      <c r="V12" s="674">
        <v>0</v>
      </c>
      <c r="W12" s="675">
        <v>29</v>
      </c>
      <c r="Y12" t="s">
        <v>138</v>
      </c>
      <c r="Z12">
        <f>COUNT(F4:V4)</f>
        <v>17</v>
      </c>
      <c r="AA12" t="e">
        <f ca="1">DEVSQ(MMULT(DESIGN(F4:V45),Z17:Z34))</f>
        <v>#NAME?</v>
      </c>
      <c r="AB12" t="e">
        <f ca="1">AA12/Z12</f>
        <v>#NAME?</v>
      </c>
      <c r="AC12" t="e">
        <f ca="1">AB12/AB13</f>
        <v>#NAME?</v>
      </c>
      <c r="AD12" t="e">
        <f ca="1">FDIST(AC12,Z12,Z13)</f>
        <v>#NAME?</v>
      </c>
      <c r="AE12" s="659" t="e">
        <f ca="1">IF(AD12&lt;AD10,"yes","no")</f>
        <v>#NAME?</v>
      </c>
      <c r="AH12" s="367" t="s">
        <v>1</v>
      </c>
      <c r="AI12" s="367">
        <f>AA14</f>
        <v>765790.4761904761</v>
      </c>
      <c r="AJ12" s="367">
        <f>Z14</f>
        <v>41</v>
      </c>
      <c r="AK12" s="367">
        <f>AI12/AJ12</f>
        <v>18677.816492450638</v>
      </c>
      <c r="AL12" s="367"/>
      <c r="AM12" s="367"/>
      <c r="AN12" s="367"/>
    </row>
    <row r="13" spans="1:40">
      <c r="A13" s="289"/>
      <c r="B13" s="676">
        <v>3</v>
      </c>
      <c r="C13" s="681">
        <v>54</v>
      </c>
      <c r="D13" s="677">
        <v>285</v>
      </c>
      <c r="F13" s="672">
        <v>0</v>
      </c>
      <c r="G13" s="673">
        <v>0</v>
      </c>
      <c r="H13" s="673">
        <v>0</v>
      </c>
      <c r="I13" s="673">
        <v>0</v>
      </c>
      <c r="J13" s="673">
        <v>0</v>
      </c>
      <c r="K13" s="673">
        <v>0</v>
      </c>
      <c r="L13" s="673">
        <v>0</v>
      </c>
      <c r="M13" s="673">
        <v>0</v>
      </c>
      <c r="N13" s="673">
        <v>1</v>
      </c>
      <c r="O13" s="673">
        <v>0</v>
      </c>
      <c r="P13" s="673">
        <v>0</v>
      </c>
      <c r="Q13" s="673">
        <v>0</v>
      </c>
      <c r="R13" s="673">
        <v>0</v>
      </c>
      <c r="S13" s="672">
        <v>0</v>
      </c>
      <c r="T13" s="674">
        <v>0</v>
      </c>
      <c r="U13" s="678">
        <v>1</v>
      </c>
      <c r="V13" s="679">
        <v>0</v>
      </c>
      <c r="W13" s="680">
        <v>3</v>
      </c>
      <c r="Y13" t="s">
        <v>211</v>
      </c>
      <c r="Z13">
        <f>Z14-Z12</f>
        <v>24</v>
      </c>
      <c r="AA13" t="e">
        <f ca="1">AA14-AA12</f>
        <v>#NAME?</v>
      </c>
      <c r="AB13" t="e">
        <f ca="1">AA13/Z13</f>
        <v>#NAME?</v>
      </c>
    </row>
    <row r="14" spans="1:40">
      <c r="A14" s="506" t="s">
        <v>37</v>
      </c>
      <c r="B14" s="669">
        <v>118</v>
      </c>
      <c r="C14" s="670">
        <v>124</v>
      </c>
      <c r="D14" s="671">
        <v>365</v>
      </c>
      <c r="F14" s="672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73">
        <v>0</v>
      </c>
      <c r="O14" s="673">
        <v>1</v>
      </c>
      <c r="P14" s="673">
        <v>0</v>
      </c>
      <c r="Q14" s="673">
        <v>0</v>
      </c>
      <c r="R14" s="673">
        <v>0</v>
      </c>
      <c r="S14" s="672">
        <v>0</v>
      </c>
      <c r="T14" s="674">
        <v>0</v>
      </c>
      <c r="U14" s="672">
        <v>0</v>
      </c>
      <c r="V14" s="674">
        <v>1</v>
      </c>
      <c r="W14" s="675">
        <v>118</v>
      </c>
      <c r="Y14" s="367" t="s">
        <v>1</v>
      </c>
      <c r="Z14" s="367">
        <f>Z8-1</f>
        <v>41</v>
      </c>
      <c r="AA14" s="367">
        <f>DEVSQ(W4:W45)</f>
        <v>765790.4761904761</v>
      </c>
      <c r="AB14" s="367"/>
      <c r="AC14" s="367"/>
      <c r="AD14" s="367"/>
      <c r="AE14" s="367"/>
    </row>
    <row r="15" spans="1:40" ht="15.75" thickBot="1">
      <c r="A15" s="293"/>
      <c r="B15" s="669">
        <v>83</v>
      </c>
      <c r="C15" s="670">
        <v>266</v>
      </c>
      <c r="D15" s="671">
        <v>382</v>
      </c>
      <c r="F15" s="672">
        <v>0</v>
      </c>
      <c r="G15" s="673">
        <v>0</v>
      </c>
      <c r="H15" s="673">
        <v>0</v>
      </c>
      <c r="I15" s="673">
        <v>0</v>
      </c>
      <c r="J15" s="673">
        <v>0</v>
      </c>
      <c r="K15" s="673">
        <v>0</v>
      </c>
      <c r="L15" s="673">
        <v>0</v>
      </c>
      <c r="M15" s="673">
        <v>0</v>
      </c>
      <c r="N15" s="673">
        <v>0</v>
      </c>
      <c r="O15" s="673">
        <v>0</v>
      </c>
      <c r="P15" s="673">
        <v>1</v>
      </c>
      <c r="Q15" s="673">
        <v>0</v>
      </c>
      <c r="R15" s="673">
        <v>0</v>
      </c>
      <c r="S15" s="672">
        <v>0</v>
      </c>
      <c r="T15" s="674">
        <v>0</v>
      </c>
      <c r="U15" s="672">
        <v>0</v>
      </c>
      <c r="V15" s="674">
        <v>1</v>
      </c>
      <c r="W15" s="675">
        <v>83</v>
      </c>
    </row>
    <row r="16" spans="1:40" ht="15.75" thickTop="1">
      <c r="A16" s="293"/>
      <c r="B16" s="669">
        <v>38</v>
      </c>
      <c r="C16" s="670">
        <v>207</v>
      </c>
      <c r="D16" s="671">
        <v>289</v>
      </c>
      <c r="F16" s="672">
        <v>0</v>
      </c>
      <c r="G16" s="673">
        <v>0</v>
      </c>
      <c r="H16" s="673">
        <v>0</v>
      </c>
      <c r="I16" s="673">
        <v>0</v>
      </c>
      <c r="J16" s="673">
        <v>0</v>
      </c>
      <c r="K16" s="673">
        <v>0</v>
      </c>
      <c r="L16" s="673">
        <v>0</v>
      </c>
      <c r="M16" s="673">
        <v>0</v>
      </c>
      <c r="N16" s="673">
        <v>0</v>
      </c>
      <c r="O16" s="673">
        <v>0</v>
      </c>
      <c r="P16" s="673">
        <v>0</v>
      </c>
      <c r="Q16" s="673">
        <v>1</v>
      </c>
      <c r="R16" s="673">
        <v>0</v>
      </c>
      <c r="S16" s="672">
        <v>0</v>
      </c>
      <c r="T16" s="674">
        <v>0</v>
      </c>
      <c r="U16" s="672">
        <v>0</v>
      </c>
      <c r="V16" s="674">
        <v>1</v>
      </c>
      <c r="W16" s="675">
        <v>38</v>
      </c>
      <c r="Y16" s="398"/>
      <c r="Z16" s="398" t="s">
        <v>600</v>
      </c>
      <c r="AA16" s="398" t="s">
        <v>503</v>
      </c>
      <c r="AB16" s="398" t="s">
        <v>27</v>
      </c>
      <c r="AC16" s="398" t="s">
        <v>30</v>
      </c>
      <c r="AD16" s="398" t="s">
        <v>13</v>
      </c>
      <c r="AE16" s="398" t="s">
        <v>14</v>
      </c>
      <c r="AF16" s="398" t="s">
        <v>750</v>
      </c>
    </row>
    <row r="17" spans="1:32">
      <c r="A17" s="289"/>
      <c r="B17" s="676">
        <v>71</v>
      </c>
      <c r="C17" s="681">
        <v>285</v>
      </c>
      <c r="D17" s="677">
        <v>471</v>
      </c>
      <c r="F17" s="672">
        <v>0</v>
      </c>
      <c r="G17" s="673">
        <v>0</v>
      </c>
      <c r="H17" s="673">
        <v>0</v>
      </c>
      <c r="I17" s="673">
        <v>0</v>
      </c>
      <c r="J17" s="673">
        <v>0</v>
      </c>
      <c r="K17" s="673">
        <v>0</v>
      </c>
      <c r="L17" s="673">
        <v>0</v>
      </c>
      <c r="M17" s="673">
        <v>0</v>
      </c>
      <c r="N17" s="673">
        <v>0</v>
      </c>
      <c r="O17" s="673">
        <v>0</v>
      </c>
      <c r="P17" s="673">
        <v>0</v>
      </c>
      <c r="Q17" s="673">
        <v>0</v>
      </c>
      <c r="R17" s="673">
        <v>1</v>
      </c>
      <c r="S17" s="672">
        <v>0</v>
      </c>
      <c r="T17" s="674">
        <v>0</v>
      </c>
      <c r="U17" s="672">
        <v>0</v>
      </c>
      <c r="V17" s="674">
        <v>1</v>
      </c>
      <c r="W17" s="675">
        <v>71</v>
      </c>
      <c r="Y17" t="s">
        <v>212</v>
      </c>
      <c r="Z17" t="e">
        <f t="array" aca="1" ref="Z17:AA34" ca="1">RegCoeff(F4:V45,W4:W45)</f>
        <v>#NAME?</v>
      </c>
      <c r="AA17" t="e">
        <f ca="1"/>
        <v>#NAME?</v>
      </c>
      <c r="AB17" t="e">
        <f ca="1">Z17/AA17</f>
        <v>#NAME?</v>
      </c>
      <c r="AC17" t="e">
        <f ca="1">TDIST(ABS(AB17),$Z$13,2)</f>
        <v>#NAME?</v>
      </c>
      <c r="AD17" t="e">
        <f ca="1">Z17-TINV(AD$10,$Z$13)*AA17</f>
        <v>#NAME?</v>
      </c>
      <c r="AE17" t="e">
        <f ca="1">Z17+TINV(AD$10,$Z$13)*AA17</f>
        <v>#NAME?</v>
      </c>
    </row>
    <row r="18" spans="1:32">
      <c r="F18" s="665">
        <v>0</v>
      </c>
      <c r="G18" s="666">
        <v>0</v>
      </c>
      <c r="H18" s="666">
        <v>0</v>
      </c>
      <c r="I18" s="666">
        <v>0</v>
      </c>
      <c r="J18" s="666">
        <v>0</v>
      </c>
      <c r="K18" s="666">
        <v>0</v>
      </c>
      <c r="L18" s="666">
        <v>0</v>
      </c>
      <c r="M18" s="666">
        <v>0</v>
      </c>
      <c r="N18" s="666">
        <v>0</v>
      </c>
      <c r="O18" s="666">
        <v>0</v>
      </c>
      <c r="P18" s="666">
        <v>0</v>
      </c>
      <c r="Q18" s="666">
        <v>0</v>
      </c>
      <c r="R18" s="666">
        <v>0</v>
      </c>
      <c r="S18" s="665">
        <v>1</v>
      </c>
      <c r="T18" s="667">
        <v>0</v>
      </c>
      <c r="U18" s="666">
        <v>0</v>
      </c>
      <c r="V18" s="667">
        <v>0</v>
      </c>
      <c r="W18" s="668">
        <v>278</v>
      </c>
      <c r="Y18">
        <f t="array" ref="Y18:Y34">TRANSPOSE(F3:V3)</f>
        <v>2</v>
      </c>
      <c r="Z18" t="e">
        <f ca="1"/>
        <v>#NAME?</v>
      </c>
      <c r="AA18" t="e">
        <f ca="1"/>
        <v>#NAME?</v>
      </c>
      <c r="AB18" t="e">
        <f t="shared" ref="AB18:AB34" ca="1" si="0">Z18/AA18</f>
        <v>#NAME?</v>
      </c>
      <c r="AC18" t="e">
        <f t="shared" ref="AC18:AC34" ca="1" si="1">TDIST(ABS(AB18),$Z$13,2)</f>
        <v>#NAME?</v>
      </c>
      <c r="AD18" t="e">
        <f t="shared" ref="AD18:AD34" ca="1" si="2">Z18-TINV(AD$10,$Z$13)*AA18</f>
        <v>#NAME?</v>
      </c>
      <c r="AE18" t="e">
        <f t="shared" ref="AE18:AE34" ca="1" si="3">Z18+TINV(AD$10,$Z$13)*AA18</f>
        <v>#NAME?</v>
      </c>
      <c r="AF18" t="e">
        <f ca="1">VIF(F4:V45,1)</f>
        <v>#NAME?</v>
      </c>
    </row>
    <row r="19" spans="1:32">
      <c r="F19" s="672">
        <v>1</v>
      </c>
      <c r="G19" s="673">
        <v>0</v>
      </c>
      <c r="H19" s="673">
        <v>0</v>
      </c>
      <c r="I19" s="673">
        <v>0</v>
      </c>
      <c r="J19" s="673">
        <v>0</v>
      </c>
      <c r="K19" s="673">
        <v>0</v>
      </c>
      <c r="L19" s="673">
        <v>0</v>
      </c>
      <c r="M19" s="673">
        <v>0</v>
      </c>
      <c r="N19" s="673">
        <v>0</v>
      </c>
      <c r="O19" s="673">
        <v>0</v>
      </c>
      <c r="P19" s="673">
        <v>0</v>
      </c>
      <c r="Q19" s="673">
        <v>0</v>
      </c>
      <c r="R19" s="673">
        <v>0</v>
      </c>
      <c r="S19" s="672">
        <v>1</v>
      </c>
      <c r="T19" s="674">
        <v>0</v>
      </c>
      <c r="U19" s="673">
        <v>0</v>
      </c>
      <c r="V19" s="674">
        <v>0</v>
      </c>
      <c r="W19" s="675">
        <v>207</v>
      </c>
      <c r="Y19">
        <v>3</v>
      </c>
      <c r="Z19" t="e">
        <f ca="1"/>
        <v>#NAME?</v>
      </c>
      <c r="AA19" t="e">
        <f ca="1"/>
        <v>#NAME?</v>
      </c>
      <c r="AB19" t="e">
        <f t="shared" ca="1" si="0"/>
        <v>#NAME?</v>
      </c>
      <c r="AC19" t="e">
        <f t="shared" ca="1" si="1"/>
        <v>#NAME?</v>
      </c>
      <c r="AD19" t="e">
        <f t="shared" ca="1" si="2"/>
        <v>#NAME?</v>
      </c>
      <c r="AE19" t="e">
        <f t="shared" ca="1" si="3"/>
        <v>#NAME?</v>
      </c>
      <c r="AF19" t="e">
        <f ca="1">VIF(F4:V45,2)</f>
        <v>#NAME?</v>
      </c>
    </row>
    <row r="20" spans="1:32">
      <c r="F20" s="672">
        <v>0</v>
      </c>
      <c r="G20" s="673">
        <v>1</v>
      </c>
      <c r="H20" s="673">
        <v>0</v>
      </c>
      <c r="I20" s="673">
        <v>0</v>
      </c>
      <c r="J20" s="673">
        <v>0</v>
      </c>
      <c r="K20" s="673">
        <v>0</v>
      </c>
      <c r="L20" s="673">
        <v>0</v>
      </c>
      <c r="M20" s="673">
        <v>0</v>
      </c>
      <c r="N20" s="673">
        <v>0</v>
      </c>
      <c r="O20" s="673">
        <v>0</v>
      </c>
      <c r="P20" s="673">
        <v>0</v>
      </c>
      <c r="Q20" s="673">
        <v>0</v>
      </c>
      <c r="R20" s="673">
        <v>0</v>
      </c>
      <c r="S20" s="672">
        <v>1</v>
      </c>
      <c r="T20" s="674">
        <v>0</v>
      </c>
      <c r="U20" s="673">
        <v>0</v>
      </c>
      <c r="V20" s="674">
        <v>0</v>
      </c>
      <c r="W20" s="675">
        <v>261</v>
      </c>
      <c r="Y20">
        <v>4</v>
      </c>
      <c r="Z20" t="e">
        <f ca="1"/>
        <v>#NAME?</v>
      </c>
      <c r="AA20" t="e">
        <f ca="1"/>
        <v>#NAME?</v>
      </c>
      <c r="AB20" t="e">
        <f t="shared" ca="1" si="0"/>
        <v>#NAME?</v>
      </c>
      <c r="AC20" t="e">
        <f t="shared" ca="1" si="1"/>
        <v>#NAME?</v>
      </c>
      <c r="AD20" t="e">
        <f t="shared" ca="1" si="2"/>
        <v>#NAME?</v>
      </c>
      <c r="AE20" t="e">
        <f t="shared" ca="1" si="3"/>
        <v>#NAME?</v>
      </c>
      <c r="AF20" t="e">
        <f ca="1">VIF(F4:V45,3)</f>
        <v>#NAME?</v>
      </c>
    </row>
    <row r="21" spans="1:32">
      <c r="F21" s="672">
        <v>0</v>
      </c>
      <c r="G21" s="673">
        <v>0</v>
      </c>
      <c r="H21" s="673">
        <v>1</v>
      </c>
      <c r="I21" s="673">
        <v>0</v>
      </c>
      <c r="J21" s="673">
        <v>0</v>
      </c>
      <c r="K21" s="673">
        <v>0</v>
      </c>
      <c r="L21" s="673">
        <v>0</v>
      </c>
      <c r="M21" s="673">
        <v>0</v>
      </c>
      <c r="N21" s="673">
        <v>0</v>
      </c>
      <c r="O21" s="673">
        <v>0</v>
      </c>
      <c r="P21" s="673">
        <v>0</v>
      </c>
      <c r="Q21" s="673">
        <v>0</v>
      </c>
      <c r="R21" s="673">
        <v>0</v>
      </c>
      <c r="S21" s="672">
        <v>1</v>
      </c>
      <c r="T21" s="674">
        <v>0</v>
      </c>
      <c r="U21" s="673">
        <v>0</v>
      </c>
      <c r="V21" s="674">
        <v>0</v>
      </c>
      <c r="W21" s="675">
        <v>286</v>
      </c>
      <c r="Y21">
        <v>5</v>
      </c>
      <c r="Z21" t="e">
        <f ca="1"/>
        <v>#NAME?</v>
      </c>
      <c r="AA21" t="e">
        <f ca="1"/>
        <v>#NAME?</v>
      </c>
      <c r="AB21" t="e">
        <f t="shared" ca="1" si="0"/>
        <v>#NAME?</v>
      </c>
      <c r="AC21" t="e">
        <f t="shared" ca="1" si="1"/>
        <v>#NAME?</v>
      </c>
      <c r="AD21" t="e">
        <f t="shared" ca="1" si="2"/>
        <v>#NAME?</v>
      </c>
      <c r="AE21" t="e">
        <f t="shared" ca="1" si="3"/>
        <v>#NAME?</v>
      </c>
      <c r="AF21" t="e">
        <f ca="1">VIF(F4:V45,4)</f>
        <v>#NAME?</v>
      </c>
    </row>
    <row r="22" spans="1:32">
      <c r="F22" s="672">
        <v>0</v>
      </c>
      <c r="G22" s="673">
        <v>0</v>
      </c>
      <c r="H22" s="673">
        <v>0</v>
      </c>
      <c r="I22" s="673">
        <v>1</v>
      </c>
      <c r="J22" s="673">
        <v>0</v>
      </c>
      <c r="K22" s="673">
        <v>0</v>
      </c>
      <c r="L22" s="673">
        <v>0</v>
      </c>
      <c r="M22" s="673">
        <v>0</v>
      </c>
      <c r="N22" s="673">
        <v>0</v>
      </c>
      <c r="O22" s="673">
        <v>0</v>
      </c>
      <c r="P22" s="673">
        <v>0</v>
      </c>
      <c r="Q22" s="673">
        <v>0</v>
      </c>
      <c r="R22" s="673">
        <v>0</v>
      </c>
      <c r="S22" s="672">
        <v>1</v>
      </c>
      <c r="T22" s="674">
        <v>0</v>
      </c>
      <c r="U22" s="682">
        <v>0</v>
      </c>
      <c r="V22" s="679">
        <v>0</v>
      </c>
      <c r="W22" s="675">
        <v>306</v>
      </c>
      <c r="Y22">
        <v>6</v>
      </c>
      <c r="Z22" t="e">
        <f ca="1"/>
        <v>#NAME?</v>
      </c>
      <c r="AA22" t="e">
        <f ca="1"/>
        <v>#NAME?</v>
      </c>
      <c r="AB22" t="e">
        <f t="shared" ca="1" si="0"/>
        <v>#NAME?</v>
      </c>
      <c r="AC22" t="e">
        <f t="shared" ca="1" si="1"/>
        <v>#NAME?</v>
      </c>
      <c r="AD22" t="e">
        <f t="shared" ca="1" si="2"/>
        <v>#NAME?</v>
      </c>
      <c r="AE22" t="e">
        <f t="shared" ca="1" si="3"/>
        <v>#NAME?</v>
      </c>
      <c r="AF22" t="e">
        <f ca="1">VIF(F4:V45,5)</f>
        <v>#NAME?</v>
      </c>
    </row>
    <row r="23" spans="1:32">
      <c r="F23" s="672">
        <v>0</v>
      </c>
      <c r="G23" s="673">
        <v>0</v>
      </c>
      <c r="H23" s="673">
        <v>0</v>
      </c>
      <c r="I23" s="673">
        <v>0</v>
      </c>
      <c r="J23" s="673">
        <v>1</v>
      </c>
      <c r="K23" s="673">
        <v>0</v>
      </c>
      <c r="L23" s="673">
        <v>0</v>
      </c>
      <c r="M23" s="673">
        <v>0</v>
      </c>
      <c r="N23" s="673">
        <v>0</v>
      </c>
      <c r="O23" s="673">
        <v>0</v>
      </c>
      <c r="P23" s="673">
        <v>0</v>
      </c>
      <c r="Q23" s="673">
        <v>0</v>
      </c>
      <c r="R23" s="673">
        <v>0</v>
      </c>
      <c r="S23" s="672">
        <v>1</v>
      </c>
      <c r="T23" s="674">
        <v>0</v>
      </c>
      <c r="U23" s="666">
        <v>1</v>
      </c>
      <c r="V23" s="667">
        <v>0</v>
      </c>
      <c r="W23" s="668">
        <v>172</v>
      </c>
      <c r="Y23">
        <v>7</v>
      </c>
      <c r="Z23" t="e">
        <f ca="1"/>
        <v>#NAME?</v>
      </c>
      <c r="AA23" t="e">
        <f ca="1"/>
        <v>#NAME?</v>
      </c>
      <c r="AB23" t="e">
        <f t="shared" ca="1" si="0"/>
        <v>#NAME?</v>
      </c>
      <c r="AC23" t="e">
        <f t="shared" ca="1" si="1"/>
        <v>#NAME?</v>
      </c>
      <c r="AD23" t="e">
        <f t="shared" ca="1" si="2"/>
        <v>#NAME?</v>
      </c>
      <c r="AE23" t="e">
        <f t="shared" ca="1" si="3"/>
        <v>#NAME?</v>
      </c>
      <c r="AF23" t="e">
        <f ca="1">VIF(F4:V45,6)</f>
        <v>#NAME?</v>
      </c>
    </row>
    <row r="24" spans="1:32">
      <c r="F24" s="672">
        <v>0</v>
      </c>
      <c r="G24" s="673">
        <v>0</v>
      </c>
      <c r="H24" s="673">
        <v>0</v>
      </c>
      <c r="I24" s="673">
        <v>0</v>
      </c>
      <c r="J24" s="673">
        <v>0</v>
      </c>
      <c r="K24" s="673">
        <v>1</v>
      </c>
      <c r="L24" s="673">
        <v>0</v>
      </c>
      <c r="M24" s="673">
        <v>0</v>
      </c>
      <c r="N24" s="673">
        <v>0</v>
      </c>
      <c r="O24" s="673">
        <v>0</v>
      </c>
      <c r="P24" s="673">
        <v>0</v>
      </c>
      <c r="Q24" s="673">
        <v>0</v>
      </c>
      <c r="R24" s="673">
        <v>0</v>
      </c>
      <c r="S24" s="672">
        <v>1</v>
      </c>
      <c r="T24" s="674">
        <v>0</v>
      </c>
      <c r="U24" s="673">
        <v>1</v>
      </c>
      <c r="V24" s="674">
        <v>0</v>
      </c>
      <c r="W24" s="675">
        <v>116</v>
      </c>
      <c r="Y24">
        <v>8</v>
      </c>
      <c r="Z24" t="e">
        <f ca="1"/>
        <v>#NAME?</v>
      </c>
      <c r="AA24" t="e">
        <f ca="1"/>
        <v>#NAME?</v>
      </c>
      <c r="AB24" t="e">
        <f t="shared" ca="1" si="0"/>
        <v>#NAME?</v>
      </c>
      <c r="AC24" t="e">
        <f t="shared" ca="1" si="1"/>
        <v>#NAME?</v>
      </c>
      <c r="AD24" t="e">
        <f t="shared" ca="1" si="2"/>
        <v>#NAME?</v>
      </c>
      <c r="AE24" t="e">
        <f t="shared" ca="1" si="3"/>
        <v>#NAME?</v>
      </c>
      <c r="AF24" t="e">
        <f ca="1">VIF(F4:V45,7)</f>
        <v>#NAME?</v>
      </c>
    </row>
    <row r="25" spans="1:32">
      <c r="F25" s="672">
        <v>0</v>
      </c>
      <c r="G25" s="673">
        <v>0</v>
      </c>
      <c r="H25" s="673">
        <v>0</v>
      </c>
      <c r="I25" s="673">
        <v>0</v>
      </c>
      <c r="J25" s="673">
        <v>0</v>
      </c>
      <c r="K25" s="673">
        <v>0</v>
      </c>
      <c r="L25" s="673">
        <v>1</v>
      </c>
      <c r="M25" s="673">
        <v>0</v>
      </c>
      <c r="N25" s="673">
        <v>0</v>
      </c>
      <c r="O25" s="673">
        <v>0</v>
      </c>
      <c r="P25" s="673">
        <v>0</v>
      </c>
      <c r="Q25" s="673">
        <v>0</v>
      </c>
      <c r="R25" s="673">
        <v>0</v>
      </c>
      <c r="S25" s="672">
        <v>1</v>
      </c>
      <c r="T25" s="674">
        <v>0</v>
      </c>
      <c r="U25" s="673">
        <v>1</v>
      </c>
      <c r="V25" s="674">
        <v>0</v>
      </c>
      <c r="W25" s="675">
        <v>168</v>
      </c>
      <c r="Y25">
        <v>9</v>
      </c>
      <c r="Z25" t="e">
        <f ca="1"/>
        <v>#NAME?</v>
      </c>
      <c r="AA25" t="e">
        <f ca="1"/>
        <v>#NAME?</v>
      </c>
      <c r="AB25" t="e">
        <f t="shared" ca="1" si="0"/>
        <v>#NAME?</v>
      </c>
      <c r="AC25" t="e">
        <f t="shared" ca="1" si="1"/>
        <v>#NAME?</v>
      </c>
      <c r="AD25" t="e">
        <f t="shared" ca="1" si="2"/>
        <v>#NAME?</v>
      </c>
      <c r="AE25" t="e">
        <f t="shared" ca="1" si="3"/>
        <v>#NAME?</v>
      </c>
      <c r="AF25" t="e">
        <f ca="1">VIF(F4:V45,8)</f>
        <v>#NAME?</v>
      </c>
    </row>
    <row r="26" spans="1:32">
      <c r="F26" s="672">
        <v>0</v>
      </c>
      <c r="G26" s="673">
        <v>0</v>
      </c>
      <c r="H26" s="673">
        <v>0</v>
      </c>
      <c r="I26" s="673">
        <v>0</v>
      </c>
      <c r="J26" s="673">
        <v>0</v>
      </c>
      <c r="K26" s="673">
        <v>0</v>
      </c>
      <c r="L26" s="673">
        <v>0</v>
      </c>
      <c r="M26" s="673">
        <v>1</v>
      </c>
      <c r="N26" s="673">
        <v>0</v>
      </c>
      <c r="O26" s="673">
        <v>0</v>
      </c>
      <c r="P26" s="673">
        <v>0</v>
      </c>
      <c r="Q26" s="673">
        <v>0</v>
      </c>
      <c r="R26" s="673">
        <v>0</v>
      </c>
      <c r="S26" s="672">
        <v>1</v>
      </c>
      <c r="T26" s="674">
        <v>0</v>
      </c>
      <c r="U26" s="673">
        <v>1</v>
      </c>
      <c r="V26" s="674">
        <v>0</v>
      </c>
      <c r="W26" s="675">
        <v>81</v>
      </c>
      <c r="Y26">
        <v>10</v>
      </c>
      <c r="Z26" t="e">
        <f ca="1"/>
        <v>#NAME?</v>
      </c>
      <c r="AA26" t="e">
        <f ca="1"/>
        <v>#NAME?</v>
      </c>
      <c r="AB26" t="e">
        <f t="shared" ca="1" si="0"/>
        <v>#NAME?</v>
      </c>
      <c r="AC26" t="e">
        <f t="shared" ca="1" si="1"/>
        <v>#NAME?</v>
      </c>
      <c r="AD26" t="e">
        <f t="shared" ca="1" si="2"/>
        <v>#NAME?</v>
      </c>
      <c r="AE26" t="e">
        <f t="shared" ca="1" si="3"/>
        <v>#NAME?</v>
      </c>
      <c r="AF26" t="e">
        <f ca="1">VIF(F4:V45,9)</f>
        <v>#NAME?</v>
      </c>
    </row>
    <row r="27" spans="1:32">
      <c r="F27" s="672">
        <v>0</v>
      </c>
      <c r="G27" s="673">
        <v>0</v>
      </c>
      <c r="H27" s="673">
        <v>0</v>
      </c>
      <c r="I27" s="673">
        <v>0</v>
      </c>
      <c r="J27" s="673">
        <v>0</v>
      </c>
      <c r="K27" s="673">
        <v>0</v>
      </c>
      <c r="L27" s="673">
        <v>0</v>
      </c>
      <c r="M27" s="673">
        <v>0</v>
      </c>
      <c r="N27" s="673">
        <v>1</v>
      </c>
      <c r="O27" s="673">
        <v>0</v>
      </c>
      <c r="P27" s="673">
        <v>0</v>
      </c>
      <c r="Q27" s="673">
        <v>0</v>
      </c>
      <c r="R27" s="673">
        <v>0</v>
      </c>
      <c r="S27" s="672">
        <v>1</v>
      </c>
      <c r="T27" s="674">
        <v>0</v>
      </c>
      <c r="U27" s="682">
        <v>1</v>
      </c>
      <c r="V27" s="679">
        <v>0</v>
      </c>
      <c r="W27" s="680">
        <v>54</v>
      </c>
      <c r="Y27">
        <v>11</v>
      </c>
      <c r="Z27" t="e">
        <f ca="1"/>
        <v>#NAME?</v>
      </c>
      <c r="AA27" t="e">
        <f ca="1"/>
        <v>#NAME?</v>
      </c>
      <c r="AB27" t="e">
        <f t="shared" ca="1" si="0"/>
        <v>#NAME?</v>
      </c>
      <c r="AC27" t="e">
        <f t="shared" ca="1" si="1"/>
        <v>#NAME?</v>
      </c>
      <c r="AD27" t="e">
        <f t="shared" ca="1" si="2"/>
        <v>#NAME?</v>
      </c>
      <c r="AE27" t="e">
        <f t="shared" ca="1" si="3"/>
        <v>#NAME?</v>
      </c>
      <c r="AF27" t="e">
        <f ca="1">VIF(F4:V45,10)</f>
        <v>#NAME?</v>
      </c>
    </row>
    <row r="28" spans="1:32">
      <c r="F28" s="672">
        <v>0</v>
      </c>
      <c r="G28" s="673">
        <v>0</v>
      </c>
      <c r="H28" s="673">
        <v>0</v>
      </c>
      <c r="I28" s="673">
        <v>0</v>
      </c>
      <c r="J28" s="673">
        <v>0</v>
      </c>
      <c r="K28" s="673">
        <v>0</v>
      </c>
      <c r="L28" s="673">
        <v>0</v>
      </c>
      <c r="M28" s="673">
        <v>0</v>
      </c>
      <c r="N28" s="673">
        <v>0</v>
      </c>
      <c r="O28" s="673">
        <v>1</v>
      </c>
      <c r="P28" s="673">
        <v>0</v>
      </c>
      <c r="Q28" s="673">
        <v>0</v>
      </c>
      <c r="R28" s="673">
        <v>0</v>
      </c>
      <c r="S28" s="672">
        <v>1</v>
      </c>
      <c r="T28" s="674">
        <v>0</v>
      </c>
      <c r="U28" s="673">
        <v>0</v>
      </c>
      <c r="V28" s="674">
        <v>1</v>
      </c>
      <c r="W28" s="675">
        <v>124</v>
      </c>
      <c r="Y28">
        <v>12</v>
      </c>
      <c r="Z28" t="e">
        <f ca="1"/>
        <v>#NAME?</v>
      </c>
      <c r="AA28" t="e">
        <f ca="1"/>
        <v>#NAME?</v>
      </c>
      <c r="AB28" t="e">
        <f t="shared" ca="1" si="0"/>
        <v>#NAME?</v>
      </c>
      <c r="AC28" t="e">
        <f t="shared" ca="1" si="1"/>
        <v>#NAME?</v>
      </c>
      <c r="AD28" t="e">
        <f t="shared" ca="1" si="2"/>
        <v>#NAME?</v>
      </c>
      <c r="AE28" t="e">
        <f t="shared" ca="1" si="3"/>
        <v>#NAME?</v>
      </c>
      <c r="AF28" t="e">
        <f ca="1">VIF(F4:V45,11)</f>
        <v>#NAME?</v>
      </c>
    </row>
    <row r="29" spans="1:32">
      <c r="F29" s="672">
        <v>0</v>
      </c>
      <c r="G29" s="673">
        <v>0</v>
      </c>
      <c r="H29" s="673">
        <v>0</v>
      </c>
      <c r="I29" s="673">
        <v>0</v>
      </c>
      <c r="J29" s="673">
        <v>0</v>
      </c>
      <c r="K29" s="673">
        <v>0</v>
      </c>
      <c r="L29" s="673">
        <v>0</v>
      </c>
      <c r="M29" s="673">
        <v>0</v>
      </c>
      <c r="N29" s="673">
        <v>0</v>
      </c>
      <c r="O29" s="673">
        <v>0</v>
      </c>
      <c r="P29" s="673">
        <v>1</v>
      </c>
      <c r="Q29" s="673">
        <v>0</v>
      </c>
      <c r="R29" s="673">
        <v>0</v>
      </c>
      <c r="S29" s="672">
        <v>1</v>
      </c>
      <c r="T29" s="674">
        <v>0</v>
      </c>
      <c r="U29" s="673">
        <v>0</v>
      </c>
      <c r="V29" s="674">
        <v>1</v>
      </c>
      <c r="W29" s="675">
        <v>266</v>
      </c>
      <c r="Y29">
        <v>13</v>
      </c>
      <c r="Z29" t="e">
        <f ca="1"/>
        <v>#NAME?</v>
      </c>
      <c r="AA29" t="e">
        <f ca="1"/>
        <v>#NAME?</v>
      </c>
      <c r="AB29" t="e">
        <f t="shared" ca="1" si="0"/>
        <v>#NAME?</v>
      </c>
      <c r="AC29" t="e">
        <f t="shared" ca="1" si="1"/>
        <v>#NAME?</v>
      </c>
      <c r="AD29" t="e">
        <f t="shared" ca="1" si="2"/>
        <v>#NAME?</v>
      </c>
      <c r="AE29" t="e">
        <f t="shared" ca="1" si="3"/>
        <v>#NAME?</v>
      </c>
      <c r="AF29" t="e">
        <f ca="1">VIF(F4:V45,12)</f>
        <v>#NAME?</v>
      </c>
    </row>
    <row r="30" spans="1:32">
      <c r="F30" s="672">
        <v>0</v>
      </c>
      <c r="G30" s="673">
        <v>0</v>
      </c>
      <c r="H30" s="673">
        <v>0</v>
      </c>
      <c r="I30" s="673">
        <v>0</v>
      </c>
      <c r="J30" s="673">
        <v>0</v>
      </c>
      <c r="K30" s="673">
        <v>0</v>
      </c>
      <c r="L30" s="673">
        <v>0</v>
      </c>
      <c r="M30" s="673">
        <v>0</v>
      </c>
      <c r="N30" s="673">
        <v>0</v>
      </c>
      <c r="O30" s="673">
        <v>0</v>
      </c>
      <c r="P30" s="673">
        <v>0</v>
      </c>
      <c r="Q30" s="673">
        <v>1</v>
      </c>
      <c r="R30" s="673">
        <v>0</v>
      </c>
      <c r="S30" s="672">
        <v>1</v>
      </c>
      <c r="T30" s="674">
        <v>0</v>
      </c>
      <c r="U30" s="673">
        <v>0</v>
      </c>
      <c r="V30" s="674">
        <v>1</v>
      </c>
      <c r="W30" s="675">
        <v>207</v>
      </c>
      <c r="Y30">
        <v>14</v>
      </c>
      <c r="Z30" t="e">
        <f ca="1"/>
        <v>#NAME?</v>
      </c>
      <c r="AA30" t="e">
        <f ca="1"/>
        <v>#NAME?</v>
      </c>
      <c r="AB30" t="e">
        <f t="shared" ca="1" si="0"/>
        <v>#NAME?</v>
      </c>
      <c r="AC30" t="e">
        <f t="shared" ca="1" si="1"/>
        <v>#NAME?</v>
      </c>
      <c r="AD30" t="e">
        <f t="shared" ca="1" si="2"/>
        <v>#NAME?</v>
      </c>
      <c r="AE30" t="e">
        <f t="shared" ca="1" si="3"/>
        <v>#NAME?</v>
      </c>
      <c r="AF30" t="e">
        <f ca="1">VIF(F4:V45,13)</f>
        <v>#NAME?</v>
      </c>
    </row>
    <row r="31" spans="1:32">
      <c r="F31" s="672">
        <v>0</v>
      </c>
      <c r="G31" s="673">
        <v>0</v>
      </c>
      <c r="H31" s="673">
        <v>0</v>
      </c>
      <c r="I31" s="673">
        <v>0</v>
      </c>
      <c r="J31" s="673">
        <v>0</v>
      </c>
      <c r="K31" s="673">
        <v>0</v>
      </c>
      <c r="L31" s="673">
        <v>0</v>
      </c>
      <c r="M31" s="673">
        <v>0</v>
      </c>
      <c r="N31" s="673">
        <v>0</v>
      </c>
      <c r="O31" s="673">
        <v>0</v>
      </c>
      <c r="P31" s="673">
        <v>0</v>
      </c>
      <c r="Q31" s="673">
        <v>0</v>
      </c>
      <c r="R31" s="673">
        <v>1</v>
      </c>
      <c r="S31" s="672">
        <v>1</v>
      </c>
      <c r="T31" s="674">
        <v>0</v>
      </c>
      <c r="U31" s="673">
        <v>0</v>
      </c>
      <c r="V31" s="674">
        <v>1</v>
      </c>
      <c r="W31" s="675">
        <v>285</v>
      </c>
      <c r="Y31">
        <v>2</v>
      </c>
      <c r="Z31" t="e">
        <f ca="1"/>
        <v>#NAME?</v>
      </c>
      <c r="AA31" t="e">
        <f ca="1"/>
        <v>#NAME?</v>
      </c>
      <c r="AB31" t="e">
        <f t="shared" ca="1" si="0"/>
        <v>#NAME?</v>
      </c>
      <c r="AC31" t="e">
        <f t="shared" ca="1" si="1"/>
        <v>#NAME?</v>
      </c>
      <c r="AD31" t="e">
        <f t="shared" ca="1" si="2"/>
        <v>#NAME?</v>
      </c>
      <c r="AE31" t="e">
        <f t="shared" ca="1" si="3"/>
        <v>#NAME?</v>
      </c>
      <c r="AF31" t="e">
        <f ca="1">VIF(F4:V45,14)</f>
        <v>#NAME?</v>
      </c>
    </row>
    <row r="32" spans="1:32">
      <c r="F32" s="665">
        <v>0</v>
      </c>
      <c r="G32" s="666">
        <v>0</v>
      </c>
      <c r="H32" s="666">
        <v>0</v>
      </c>
      <c r="I32" s="666">
        <v>0</v>
      </c>
      <c r="J32" s="666">
        <v>0</v>
      </c>
      <c r="K32" s="666">
        <v>0</v>
      </c>
      <c r="L32" s="666">
        <v>0</v>
      </c>
      <c r="M32" s="666">
        <v>0</v>
      </c>
      <c r="N32" s="666">
        <v>0</v>
      </c>
      <c r="O32" s="666">
        <v>0</v>
      </c>
      <c r="P32" s="666">
        <v>0</v>
      </c>
      <c r="Q32" s="666">
        <v>0</v>
      </c>
      <c r="R32" s="666">
        <v>0</v>
      </c>
      <c r="S32" s="665">
        <v>0</v>
      </c>
      <c r="T32" s="667">
        <v>1</v>
      </c>
      <c r="U32" s="666">
        <v>0</v>
      </c>
      <c r="V32" s="667">
        <v>0</v>
      </c>
      <c r="W32" s="668">
        <v>442</v>
      </c>
      <c r="Y32">
        <v>3</v>
      </c>
      <c r="Z32" t="e">
        <f ca="1"/>
        <v>#NAME?</v>
      </c>
      <c r="AA32" t="e">
        <f ca="1"/>
        <v>#NAME?</v>
      </c>
      <c r="AB32" t="e">
        <f t="shared" ca="1" si="0"/>
        <v>#NAME?</v>
      </c>
      <c r="AC32" t="e">
        <f t="shared" ca="1" si="1"/>
        <v>#NAME?</v>
      </c>
      <c r="AD32" t="e">
        <f t="shared" ca="1" si="2"/>
        <v>#NAME?</v>
      </c>
      <c r="AE32" t="e">
        <f t="shared" ca="1" si="3"/>
        <v>#NAME?</v>
      </c>
      <c r="AF32" t="e">
        <f ca="1">VIF(F4:V45,15)</f>
        <v>#NAME?</v>
      </c>
    </row>
    <row r="33" spans="6:32">
      <c r="F33" s="672">
        <v>1</v>
      </c>
      <c r="G33" s="673">
        <v>0</v>
      </c>
      <c r="H33" s="673">
        <v>0</v>
      </c>
      <c r="I33" s="673">
        <v>0</v>
      </c>
      <c r="J33" s="673">
        <v>0</v>
      </c>
      <c r="K33" s="673">
        <v>0</v>
      </c>
      <c r="L33" s="673">
        <v>0</v>
      </c>
      <c r="M33" s="673">
        <v>0</v>
      </c>
      <c r="N33" s="673">
        <v>0</v>
      </c>
      <c r="O33" s="673">
        <v>0</v>
      </c>
      <c r="P33" s="673">
        <v>0</v>
      </c>
      <c r="Q33" s="673">
        <v>0</v>
      </c>
      <c r="R33" s="673">
        <v>0</v>
      </c>
      <c r="S33" s="672">
        <v>0</v>
      </c>
      <c r="T33" s="674">
        <v>1</v>
      </c>
      <c r="U33" s="673">
        <v>0</v>
      </c>
      <c r="V33" s="674">
        <v>0</v>
      </c>
      <c r="W33" s="675">
        <v>341</v>
      </c>
      <c r="Y33" t="str">
        <v>mid</v>
      </c>
      <c r="Z33" t="e">
        <f ca="1"/>
        <v>#NAME?</v>
      </c>
      <c r="AA33" t="e">
        <f ca="1"/>
        <v>#NAME?</v>
      </c>
      <c r="AB33" t="e">
        <f t="shared" ca="1" si="0"/>
        <v>#NAME?</v>
      </c>
      <c r="AC33" t="e">
        <f t="shared" ca="1" si="1"/>
        <v>#NAME?</v>
      </c>
      <c r="AD33" t="e">
        <f t="shared" ca="1" si="2"/>
        <v>#NAME?</v>
      </c>
      <c r="AE33" t="e">
        <f t="shared" ca="1" si="3"/>
        <v>#NAME?</v>
      </c>
      <c r="AF33" t="e">
        <f ca="1">VIF(F4:V45,16)</f>
        <v>#NAME?</v>
      </c>
    </row>
    <row r="34" spans="6:32">
      <c r="F34" s="672">
        <v>0</v>
      </c>
      <c r="G34" s="673">
        <v>1</v>
      </c>
      <c r="H34" s="673">
        <v>0</v>
      </c>
      <c r="I34" s="673">
        <v>0</v>
      </c>
      <c r="J34" s="673">
        <v>0</v>
      </c>
      <c r="K34" s="673">
        <v>0</v>
      </c>
      <c r="L34" s="673">
        <v>0</v>
      </c>
      <c r="M34" s="673">
        <v>0</v>
      </c>
      <c r="N34" s="673">
        <v>0</v>
      </c>
      <c r="O34" s="673">
        <v>0</v>
      </c>
      <c r="P34" s="673">
        <v>0</v>
      </c>
      <c r="Q34" s="673">
        <v>0</v>
      </c>
      <c r="R34" s="673">
        <v>0</v>
      </c>
      <c r="S34" s="672">
        <v>0</v>
      </c>
      <c r="T34" s="674">
        <v>1</v>
      </c>
      <c r="U34" s="673">
        <v>0</v>
      </c>
      <c r="V34" s="674">
        <v>0</v>
      </c>
      <c r="W34" s="675">
        <v>384</v>
      </c>
      <c r="Y34" s="367" t="str">
        <v>old</v>
      </c>
      <c r="Z34" s="367" t="e">
        <f ca="1"/>
        <v>#NAME?</v>
      </c>
      <c r="AA34" s="367" t="e">
        <f ca="1"/>
        <v>#NAME?</v>
      </c>
      <c r="AB34" s="367" t="e">
        <f t="shared" ca="1" si="0"/>
        <v>#NAME?</v>
      </c>
      <c r="AC34" s="367" t="e">
        <f t="shared" ca="1" si="1"/>
        <v>#NAME?</v>
      </c>
      <c r="AD34" s="367" t="e">
        <f t="shared" ca="1" si="2"/>
        <v>#NAME?</v>
      </c>
      <c r="AE34" s="367" t="e">
        <f t="shared" ca="1" si="3"/>
        <v>#NAME?</v>
      </c>
      <c r="AF34" s="367" t="e">
        <f ca="1">VIF(F4:V45,17)</f>
        <v>#NAME?</v>
      </c>
    </row>
    <row r="35" spans="6:32">
      <c r="F35" s="672">
        <v>0</v>
      </c>
      <c r="G35" s="673">
        <v>0</v>
      </c>
      <c r="H35" s="673">
        <v>1</v>
      </c>
      <c r="I35" s="673">
        <v>0</v>
      </c>
      <c r="J35" s="673">
        <v>0</v>
      </c>
      <c r="K35" s="673">
        <v>0</v>
      </c>
      <c r="L35" s="673">
        <v>0</v>
      </c>
      <c r="M35" s="673">
        <v>0</v>
      </c>
      <c r="N35" s="673">
        <v>0</v>
      </c>
      <c r="O35" s="673">
        <v>0</v>
      </c>
      <c r="P35" s="673">
        <v>0</v>
      </c>
      <c r="Q35" s="673">
        <v>0</v>
      </c>
      <c r="R35" s="673">
        <v>0</v>
      </c>
      <c r="S35" s="672">
        <v>0</v>
      </c>
      <c r="T35" s="674">
        <v>1</v>
      </c>
      <c r="U35" s="673">
        <v>0</v>
      </c>
      <c r="V35" s="674">
        <v>0</v>
      </c>
      <c r="W35" s="675">
        <v>401</v>
      </c>
    </row>
    <row r="36" spans="6:32">
      <c r="F36" s="672">
        <v>0</v>
      </c>
      <c r="G36" s="673">
        <v>0</v>
      </c>
      <c r="H36" s="673">
        <v>0</v>
      </c>
      <c r="I36" s="673">
        <v>1</v>
      </c>
      <c r="J36" s="673">
        <v>0</v>
      </c>
      <c r="K36" s="673">
        <v>0</v>
      </c>
      <c r="L36" s="673">
        <v>0</v>
      </c>
      <c r="M36" s="673">
        <v>0</v>
      </c>
      <c r="N36" s="673">
        <v>0</v>
      </c>
      <c r="O36" s="673">
        <v>0</v>
      </c>
      <c r="P36" s="673">
        <v>0</v>
      </c>
      <c r="Q36" s="673">
        <v>0</v>
      </c>
      <c r="R36" s="673">
        <v>0</v>
      </c>
      <c r="S36" s="672">
        <v>0</v>
      </c>
      <c r="T36" s="674">
        <v>1</v>
      </c>
      <c r="U36" s="682">
        <v>0</v>
      </c>
      <c r="V36" s="679">
        <v>0</v>
      </c>
      <c r="W36" s="680">
        <v>432</v>
      </c>
    </row>
    <row r="37" spans="6:32">
      <c r="F37" s="672">
        <v>0</v>
      </c>
      <c r="G37" s="673">
        <v>0</v>
      </c>
      <c r="H37" s="673">
        <v>0</v>
      </c>
      <c r="I37" s="673">
        <v>0</v>
      </c>
      <c r="J37" s="673">
        <v>1</v>
      </c>
      <c r="K37" s="673">
        <v>0</v>
      </c>
      <c r="L37" s="673">
        <v>0</v>
      </c>
      <c r="M37" s="673">
        <v>0</v>
      </c>
      <c r="N37" s="673">
        <v>0</v>
      </c>
      <c r="O37" s="673">
        <v>0</v>
      </c>
      <c r="P37" s="673">
        <v>0</v>
      </c>
      <c r="Q37" s="673">
        <v>0</v>
      </c>
      <c r="R37" s="673">
        <v>0</v>
      </c>
      <c r="S37" s="672">
        <v>0</v>
      </c>
      <c r="T37" s="674">
        <v>1</v>
      </c>
      <c r="U37" s="666">
        <v>1</v>
      </c>
      <c r="V37" s="667">
        <v>0</v>
      </c>
      <c r="W37" s="668">
        <v>307</v>
      </c>
    </row>
    <row r="38" spans="6:32">
      <c r="F38" s="672">
        <v>0</v>
      </c>
      <c r="G38" s="673">
        <v>0</v>
      </c>
      <c r="H38" s="673">
        <v>0</v>
      </c>
      <c r="I38" s="673">
        <v>0</v>
      </c>
      <c r="J38" s="673">
        <v>0</v>
      </c>
      <c r="K38" s="673">
        <v>1</v>
      </c>
      <c r="L38" s="673">
        <v>0</v>
      </c>
      <c r="M38" s="673">
        <v>0</v>
      </c>
      <c r="N38" s="673">
        <v>0</v>
      </c>
      <c r="O38" s="673">
        <v>0</v>
      </c>
      <c r="P38" s="673">
        <v>0</v>
      </c>
      <c r="Q38" s="673">
        <v>0</v>
      </c>
      <c r="R38" s="673">
        <v>0</v>
      </c>
      <c r="S38" s="672">
        <v>0</v>
      </c>
      <c r="T38" s="674">
        <v>1</v>
      </c>
      <c r="U38" s="673">
        <v>1</v>
      </c>
      <c r="V38" s="674">
        <v>0</v>
      </c>
      <c r="W38" s="675">
        <v>425</v>
      </c>
      <c r="Y38" t="s">
        <v>1011</v>
      </c>
    </row>
    <row r="39" spans="6:32">
      <c r="F39" s="672">
        <v>0</v>
      </c>
      <c r="G39" s="673">
        <v>0</v>
      </c>
      <c r="H39" s="673">
        <v>0</v>
      </c>
      <c r="I39" s="673">
        <v>0</v>
      </c>
      <c r="J39" s="673">
        <v>0</v>
      </c>
      <c r="K39" s="673">
        <v>0</v>
      </c>
      <c r="L39" s="673">
        <v>1</v>
      </c>
      <c r="M39" s="673">
        <v>0</v>
      </c>
      <c r="N39" s="673">
        <v>0</v>
      </c>
      <c r="O39" s="673">
        <v>0</v>
      </c>
      <c r="P39" s="673">
        <v>0</v>
      </c>
      <c r="Q39" s="673">
        <v>0</v>
      </c>
      <c r="R39" s="673">
        <v>0</v>
      </c>
      <c r="S39" s="672">
        <v>0</v>
      </c>
      <c r="T39" s="674">
        <v>1</v>
      </c>
      <c r="U39" s="673">
        <v>1</v>
      </c>
      <c r="V39" s="674">
        <v>0</v>
      </c>
      <c r="W39" s="675">
        <v>378</v>
      </c>
    </row>
    <row r="40" spans="6:32" ht="15.75" thickBot="1">
      <c r="F40" s="672">
        <v>0</v>
      </c>
      <c r="G40" s="673">
        <v>0</v>
      </c>
      <c r="H40" s="673">
        <v>0</v>
      </c>
      <c r="I40" s="673">
        <v>0</v>
      </c>
      <c r="J40" s="673">
        <v>0</v>
      </c>
      <c r="K40" s="673">
        <v>0</v>
      </c>
      <c r="L40" s="673">
        <v>0</v>
      </c>
      <c r="M40" s="673">
        <v>1</v>
      </c>
      <c r="N40" s="673">
        <v>0</v>
      </c>
      <c r="O40" s="673">
        <v>0</v>
      </c>
      <c r="P40" s="673">
        <v>0</v>
      </c>
      <c r="Q40" s="673">
        <v>0</v>
      </c>
      <c r="R40" s="673">
        <v>0</v>
      </c>
      <c r="S40" s="672">
        <v>0</v>
      </c>
      <c r="T40" s="674">
        <v>1</v>
      </c>
      <c r="U40" s="673">
        <v>1</v>
      </c>
      <c r="V40" s="674">
        <v>0</v>
      </c>
      <c r="W40" s="675">
        <v>193</v>
      </c>
      <c r="Y40" s="364" t="s">
        <v>606</v>
      </c>
      <c r="Z40" s="364"/>
      <c r="AB40" s="364"/>
      <c r="AC40" s="364"/>
    </row>
    <row r="41" spans="6:32" ht="15.75" thickTop="1">
      <c r="F41" s="672">
        <v>0</v>
      </c>
      <c r="G41" s="673">
        <v>0</v>
      </c>
      <c r="H41" s="673">
        <v>0</v>
      </c>
      <c r="I41" s="673">
        <v>0</v>
      </c>
      <c r="J41" s="673">
        <v>0</v>
      </c>
      <c r="K41" s="673">
        <v>0</v>
      </c>
      <c r="L41" s="673">
        <v>0</v>
      </c>
      <c r="M41" s="673">
        <v>0</v>
      </c>
      <c r="N41" s="673">
        <v>1</v>
      </c>
      <c r="O41" s="673">
        <v>0</v>
      </c>
      <c r="P41" s="673">
        <v>0</v>
      </c>
      <c r="Q41" s="673">
        <v>0</v>
      </c>
      <c r="R41" s="673">
        <v>0</v>
      </c>
      <c r="S41" s="672">
        <v>0</v>
      </c>
      <c r="T41" s="674">
        <v>1</v>
      </c>
      <c r="U41" s="682">
        <v>1</v>
      </c>
      <c r="V41" s="679">
        <v>0</v>
      </c>
      <c r="W41" s="680">
        <v>285</v>
      </c>
      <c r="Y41" t="s">
        <v>208</v>
      </c>
      <c r="Z41" t="e">
        <f ca="1">SQRT(Z42)</f>
        <v>#NAME?</v>
      </c>
      <c r="AB41" t="s">
        <v>498</v>
      </c>
      <c r="AC41" t="e">
        <f ca="1">Z45*LN(AA50/Z45)+2*(Z49+1)</f>
        <v>#NAME?</v>
      </c>
    </row>
    <row r="42" spans="6:32">
      <c r="F42" s="672">
        <v>0</v>
      </c>
      <c r="G42" s="673">
        <v>0</v>
      </c>
      <c r="H42" s="673">
        <v>0</v>
      </c>
      <c r="I42" s="673">
        <v>0</v>
      </c>
      <c r="J42" s="673">
        <v>0</v>
      </c>
      <c r="K42" s="673">
        <v>0</v>
      </c>
      <c r="L42" s="673">
        <v>0</v>
      </c>
      <c r="M42" s="673">
        <v>0</v>
      </c>
      <c r="N42" s="673">
        <v>0</v>
      </c>
      <c r="O42" s="673">
        <v>1</v>
      </c>
      <c r="P42" s="673">
        <v>0</v>
      </c>
      <c r="Q42" s="673">
        <v>0</v>
      </c>
      <c r="R42" s="673">
        <v>0</v>
      </c>
      <c r="S42" s="672">
        <v>0</v>
      </c>
      <c r="T42" s="674">
        <v>1</v>
      </c>
      <c r="U42" s="673">
        <v>0</v>
      </c>
      <c r="V42" s="674">
        <v>1</v>
      </c>
      <c r="W42" s="675">
        <v>365</v>
      </c>
      <c r="Y42" t="s">
        <v>201</v>
      </c>
      <c r="Z42" t="e">
        <f ca="1">AA49/AA51</f>
        <v>#NAME?</v>
      </c>
      <c r="AB42" t="s">
        <v>499</v>
      </c>
      <c r="AC42" t="e">
        <f ca="1">AC41+2*(Z49+2)*(Z49+3)/(Z45-Z49-3)</f>
        <v>#NAME?</v>
      </c>
    </row>
    <row r="43" spans="6:32">
      <c r="F43" s="672">
        <v>0</v>
      </c>
      <c r="G43" s="673">
        <v>0</v>
      </c>
      <c r="H43" s="673">
        <v>0</v>
      </c>
      <c r="I43" s="673">
        <v>0</v>
      </c>
      <c r="J43" s="673">
        <v>0</v>
      </c>
      <c r="K43" s="673">
        <v>0</v>
      </c>
      <c r="L43" s="673">
        <v>0</v>
      </c>
      <c r="M43" s="673">
        <v>0</v>
      </c>
      <c r="N43" s="673">
        <v>0</v>
      </c>
      <c r="O43" s="673">
        <v>0</v>
      </c>
      <c r="P43" s="673">
        <v>1</v>
      </c>
      <c r="Q43" s="673">
        <v>0</v>
      </c>
      <c r="R43" s="673">
        <v>0</v>
      </c>
      <c r="S43" s="672">
        <v>0</v>
      </c>
      <c r="T43" s="674">
        <v>1</v>
      </c>
      <c r="U43" s="673">
        <v>0</v>
      </c>
      <c r="V43" s="674">
        <v>1</v>
      </c>
      <c r="W43" s="675">
        <v>382</v>
      </c>
      <c r="Y43" t="s">
        <v>209</v>
      </c>
      <c r="Z43" t="e">
        <f ca="1">1-(1-Z42)*(Z45-1)/(Z45-Z49-1)</f>
        <v>#NAME?</v>
      </c>
      <c r="AB43" s="367" t="s">
        <v>762</v>
      </c>
      <c r="AC43" s="367" t="e">
        <f ca="1">Z45*LN(AA50/Z45)+(Z49+1)*LN(Z45)</f>
        <v>#NAME?</v>
      </c>
    </row>
    <row r="44" spans="6:32">
      <c r="F44" s="672">
        <v>0</v>
      </c>
      <c r="G44" s="673">
        <v>0</v>
      </c>
      <c r="H44" s="673">
        <v>0</v>
      </c>
      <c r="I44" s="673">
        <v>0</v>
      </c>
      <c r="J44" s="673">
        <v>0</v>
      </c>
      <c r="K44" s="673">
        <v>0</v>
      </c>
      <c r="L44" s="673">
        <v>0</v>
      </c>
      <c r="M44" s="673">
        <v>0</v>
      </c>
      <c r="N44" s="673">
        <v>0</v>
      </c>
      <c r="O44" s="673">
        <v>0</v>
      </c>
      <c r="P44" s="673">
        <v>0</v>
      </c>
      <c r="Q44" s="673">
        <v>1</v>
      </c>
      <c r="R44" s="673">
        <v>0</v>
      </c>
      <c r="S44" s="672">
        <v>0</v>
      </c>
      <c r="T44" s="674">
        <v>1</v>
      </c>
      <c r="U44" s="673">
        <v>0</v>
      </c>
      <c r="V44" s="674">
        <v>1</v>
      </c>
      <c r="W44" s="675">
        <v>289</v>
      </c>
      <c r="Y44" t="s">
        <v>9</v>
      </c>
      <c r="Z44" t="e">
        <f ca="1">SQRT(AB50)</f>
        <v>#NAME?</v>
      </c>
    </row>
    <row r="45" spans="6:32">
      <c r="F45" s="678">
        <v>0</v>
      </c>
      <c r="G45" s="682">
        <v>0</v>
      </c>
      <c r="H45" s="682">
        <v>0</v>
      </c>
      <c r="I45" s="682">
        <v>0</v>
      </c>
      <c r="J45" s="682">
        <v>0</v>
      </c>
      <c r="K45" s="682">
        <v>0</v>
      </c>
      <c r="L45" s="682">
        <v>0</v>
      </c>
      <c r="M45" s="682">
        <v>0</v>
      </c>
      <c r="N45" s="682">
        <v>0</v>
      </c>
      <c r="O45" s="682">
        <v>0</v>
      </c>
      <c r="P45" s="682">
        <v>0</v>
      </c>
      <c r="Q45" s="682">
        <v>0</v>
      </c>
      <c r="R45" s="682">
        <v>1</v>
      </c>
      <c r="S45" s="678">
        <v>0</v>
      </c>
      <c r="T45" s="679">
        <v>1</v>
      </c>
      <c r="U45" s="682">
        <v>0</v>
      </c>
      <c r="V45" s="679">
        <v>1</v>
      </c>
      <c r="W45" s="680">
        <v>471</v>
      </c>
      <c r="Y45" s="367" t="s">
        <v>42</v>
      </c>
      <c r="Z45" s="367">
        <f>COUNT(W4:W45)</f>
        <v>42</v>
      </c>
    </row>
    <row r="47" spans="6:32" ht="15.75" thickBot="1">
      <c r="Y47" t="s">
        <v>210</v>
      </c>
      <c r="AC47" s="659" t="s">
        <v>16</v>
      </c>
      <c r="AD47" s="659">
        <v>0.05</v>
      </c>
    </row>
    <row r="48" spans="6:32" ht="15.75" thickTop="1">
      <c r="Y48" s="398"/>
      <c r="Z48" s="398" t="s">
        <v>26</v>
      </c>
      <c r="AA48" s="398" t="s">
        <v>137</v>
      </c>
      <c r="AB48" s="398" t="s">
        <v>156</v>
      </c>
      <c r="AC48" s="398" t="s">
        <v>63</v>
      </c>
      <c r="AD48" s="398" t="s">
        <v>30</v>
      </c>
      <c r="AE48" s="398" t="s">
        <v>374</v>
      </c>
    </row>
    <row r="49" spans="25:32">
      <c r="Y49" t="s">
        <v>138</v>
      </c>
      <c r="Z49">
        <f>COUNT(F4:R4)</f>
        <v>13</v>
      </c>
      <c r="AA49" t="e">
        <f ca="1">DEVSQ(MMULT(DESIGN(F4:R45),Z54:Z67))</f>
        <v>#NAME?</v>
      </c>
      <c r="AB49" t="e">
        <f ca="1">AA49/Z49</f>
        <v>#NAME?</v>
      </c>
      <c r="AC49" t="e">
        <f ca="1">AB49/AB50</f>
        <v>#NAME?</v>
      </c>
      <c r="AD49" t="e">
        <f ca="1">FDIST(AC49,Z49,Z50)</f>
        <v>#NAME?</v>
      </c>
      <c r="AE49" s="659" t="e">
        <f ca="1">IF(AD49&lt;AD47,"yes","no")</f>
        <v>#NAME?</v>
      </c>
    </row>
    <row r="50" spans="25:32">
      <c r="Y50" t="s">
        <v>211</v>
      </c>
      <c r="Z50">
        <f>Z51-Z49</f>
        <v>28</v>
      </c>
      <c r="AA50" t="e">
        <f ca="1">AA51-AA49</f>
        <v>#NAME?</v>
      </c>
      <c r="AB50" t="e">
        <f ca="1">AA50/Z50</f>
        <v>#NAME?</v>
      </c>
    </row>
    <row r="51" spans="25:32">
      <c r="Y51" s="367" t="s">
        <v>1</v>
      </c>
      <c r="Z51" s="367">
        <f>Z45-1</f>
        <v>41</v>
      </c>
      <c r="AA51" s="367">
        <f>DEVSQ(W4:W45)</f>
        <v>765790.4761904761</v>
      </c>
      <c r="AB51" s="367"/>
      <c r="AC51" s="367"/>
      <c r="AD51" s="367"/>
      <c r="AE51" s="367"/>
    </row>
    <row r="52" spans="25:32" ht="15.75" thickBot="1"/>
    <row r="53" spans="25:32" ht="15.75" thickTop="1">
      <c r="Y53" s="398"/>
      <c r="Z53" s="398" t="s">
        <v>600</v>
      </c>
      <c r="AA53" s="398" t="s">
        <v>503</v>
      </c>
      <c r="AB53" s="398" t="s">
        <v>27</v>
      </c>
      <c r="AC53" s="398" t="s">
        <v>30</v>
      </c>
      <c r="AD53" s="398" t="s">
        <v>13</v>
      </c>
      <c r="AE53" s="398" t="s">
        <v>14</v>
      </c>
      <c r="AF53" s="398" t="s">
        <v>750</v>
      </c>
    </row>
    <row r="54" spans="25:32">
      <c r="Y54" t="s">
        <v>212</v>
      </c>
      <c r="Z54" t="e">
        <f t="array" aca="1" ref="Z54:AA67" ca="1">RegCoeff(F4:R45,W4:W45)</f>
        <v>#NAME?</v>
      </c>
      <c r="AA54" t="e">
        <f ca="1"/>
        <v>#NAME?</v>
      </c>
      <c r="AB54" t="e">
        <f ca="1">Z54/AA54</f>
        <v>#NAME?</v>
      </c>
      <c r="AC54" t="e">
        <f ca="1">TDIST(ABS(AB54),$Z$50,2)</f>
        <v>#NAME?</v>
      </c>
      <c r="AD54" t="e">
        <f ca="1">Z54-TINV(AD$47,$Z$50)*AA54</f>
        <v>#NAME?</v>
      </c>
      <c r="AE54" t="e">
        <f ca="1">Z54+TINV(AD$47,$Z$50)*AA54</f>
        <v>#NAME?</v>
      </c>
    </row>
    <row r="55" spans="25:32">
      <c r="Y55">
        <f t="array" ref="Y55:Y67">TRANSPOSE(F3:R3)</f>
        <v>2</v>
      </c>
      <c r="Z55" t="e">
        <f ca="1"/>
        <v>#NAME?</v>
      </c>
      <c r="AA55" t="e">
        <f ca="1"/>
        <v>#NAME?</v>
      </c>
      <c r="AB55" t="e">
        <f t="shared" ref="AB55:AB67" ca="1" si="4">Z55/AA55</f>
        <v>#NAME?</v>
      </c>
      <c r="AC55" t="e">
        <f t="shared" ref="AC55:AC67" ca="1" si="5">TDIST(ABS(AB55),$Z$50,2)</f>
        <v>#NAME?</v>
      </c>
      <c r="AD55" t="e">
        <f t="shared" ref="AD55:AD67" ca="1" si="6">Z55-TINV(AD$47,$Z$50)*AA55</f>
        <v>#NAME?</v>
      </c>
      <c r="AE55" t="e">
        <f t="shared" ref="AE55:AE67" ca="1" si="7">Z55+TINV(AD$47,$Z$50)*AA55</f>
        <v>#NAME?</v>
      </c>
      <c r="AF55" t="e">
        <f ca="1">VIF(F4:R45,1)</f>
        <v>#NAME?</v>
      </c>
    </row>
    <row r="56" spans="25:32">
      <c r="Y56">
        <v>3</v>
      </c>
      <c r="Z56" t="e">
        <f ca="1"/>
        <v>#NAME?</v>
      </c>
      <c r="AA56" t="e">
        <f ca="1"/>
        <v>#NAME?</v>
      </c>
      <c r="AB56" t="e">
        <f t="shared" ca="1" si="4"/>
        <v>#NAME?</v>
      </c>
      <c r="AC56" t="e">
        <f t="shared" ca="1" si="5"/>
        <v>#NAME?</v>
      </c>
      <c r="AD56" t="e">
        <f t="shared" ca="1" si="6"/>
        <v>#NAME?</v>
      </c>
      <c r="AE56" t="e">
        <f t="shared" ca="1" si="7"/>
        <v>#NAME?</v>
      </c>
      <c r="AF56" t="e">
        <f ca="1">VIF(F4:R45,2)</f>
        <v>#NAME?</v>
      </c>
    </row>
    <row r="57" spans="25:32">
      <c r="Y57">
        <v>4</v>
      </c>
      <c r="Z57" t="e">
        <f ca="1"/>
        <v>#NAME?</v>
      </c>
      <c r="AA57" t="e">
        <f ca="1"/>
        <v>#NAME?</v>
      </c>
      <c r="AB57" t="e">
        <f t="shared" ca="1" si="4"/>
        <v>#NAME?</v>
      </c>
      <c r="AC57" t="e">
        <f t="shared" ca="1" si="5"/>
        <v>#NAME?</v>
      </c>
      <c r="AD57" t="e">
        <f t="shared" ca="1" si="6"/>
        <v>#NAME?</v>
      </c>
      <c r="AE57" t="e">
        <f t="shared" ca="1" si="7"/>
        <v>#NAME?</v>
      </c>
      <c r="AF57" t="e">
        <f ca="1">VIF(F4:R45,3)</f>
        <v>#NAME?</v>
      </c>
    </row>
    <row r="58" spans="25:32">
      <c r="Y58">
        <v>5</v>
      </c>
      <c r="Z58" t="e">
        <f ca="1"/>
        <v>#NAME?</v>
      </c>
      <c r="AA58" t="e">
        <f ca="1"/>
        <v>#NAME?</v>
      </c>
      <c r="AB58" t="e">
        <f t="shared" ca="1" si="4"/>
        <v>#NAME?</v>
      </c>
      <c r="AC58" t="e">
        <f t="shared" ca="1" si="5"/>
        <v>#NAME?</v>
      </c>
      <c r="AD58" t="e">
        <f t="shared" ca="1" si="6"/>
        <v>#NAME?</v>
      </c>
      <c r="AE58" t="e">
        <f t="shared" ca="1" si="7"/>
        <v>#NAME?</v>
      </c>
      <c r="AF58" t="e">
        <f ca="1">VIF(F4:R45,4)</f>
        <v>#NAME?</v>
      </c>
    </row>
    <row r="59" spans="25:32">
      <c r="Y59">
        <v>6</v>
      </c>
      <c r="Z59" t="e">
        <f ca="1"/>
        <v>#NAME?</v>
      </c>
      <c r="AA59" t="e">
        <f ca="1"/>
        <v>#NAME?</v>
      </c>
      <c r="AB59" t="e">
        <f t="shared" ca="1" si="4"/>
        <v>#NAME?</v>
      </c>
      <c r="AC59" t="e">
        <f t="shared" ca="1" si="5"/>
        <v>#NAME?</v>
      </c>
      <c r="AD59" t="e">
        <f t="shared" ca="1" si="6"/>
        <v>#NAME?</v>
      </c>
      <c r="AE59" t="e">
        <f t="shared" ca="1" si="7"/>
        <v>#NAME?</v>
      </c>
      <c r="AF59" t="e">
        <f ca="1">VIF(F4:R45,5)</f>
        <v>#NAME?</v>
      </c>
    </row>
    <row r="60" spans="25:32">
      <c r="Y60">
        <v>7</v>
      </c>
      <c r="Z60" t="e">
        <f ca="1"/>
        <v>#NAME?</v>
      </c>
      <c r="AA60" t="e">
        <f ca="1"/>
        <v>#NAME?</v>
      </c>
      <c r="AB60" t="e">
        <f t="shared" ca="1" si="4"/>
        <v>#NAME?</v>
      </c>
      <c r="AC60" t="e">
        <f t="shared" ca="1" si="5"/>
        <v>#NAME?</v>
      </c>
      <c r="AD60" t="e">
        <f t="shared" ca="1" si="6"/>
        <v>#NAME?</v>
      </c>
      <c r="AE60" t="e">
        <f t="shared" ca="1" si="7"/>
        <v>#NAME?</v>
      </c>
      <c r="AF60" t="e">
        <f ca="1">VIF(F4:R45,6)</f>
        <v>#NAME?</v>
      </c>
    </row>
    <row r="61" spans="25:32">
      <c r="Y61">
        <v>8</v>
      </c>
      <c r="Z61" t="e">
        <f ca="1"/>
        <v>#NAME?</v>
      </c>
      <c r="AA61" t="e">
        <f ca="1"/>
        <v>#NAME?</v>
      </c>
      <c r="AB61" t="e">
        <f t="shared" ca="1" si="4"/>
        <v>#NAME?</v>
      </c>
      <c r="AC61" t="e">
        <f t="shared" ca="1" si="5"/>
        <v>#NAME?</v>
      </c>
      <c r="AD61" t="e">
        <f t="shared" ca="1" si="6"/>
        <v>#NAME?</v>
      </c>
      <c r="AE61" t="e">
        <f t="shared" ca="1" si="7"/>
        <v>#NAME?</v>
      </c>
      <c r="AF61" t="e">
        <f ca="1">VIF(F4:R45,7)</f>
        <v>#NAME?</v>
      </c>
    </row>
    <row r="62" spans="25:32">
      <c r="Y62">
        <v>9</v>
      </c>
      <c r="Z62" t="e">
        <f ca="1"/>
        <v>#NAME?</v>
      </c>
      <c r="AA62" t="e">
        <f ca="1"/>
        <v>#NAME?</v>
      </c>
      <c r="AB62" t="e">
        <f t="shared" ca="1" si="4"/>
        <v>#NAME?</v>
      </c>
      <c r="AC62" t="e">
        <f t="shared" ca="1" si="5"/>
        <v>#NAME?</v>
      </c>
      <c r="AD62" t="e">
        <f t="shared" ca="1" si="6"/>
        <v>#NAME?</v>
      </c>
      <c r="AE62" t="e">
        <f t="shared" ca="1" si="7"/>
        <v>#NAME?</v>
      </c>
      <c r="AF62" t="e">
        <f ca="1">VIF(F4:R45,8)</f>
        <v>#NAME?</v>
      </c>
    </row>
    <row r="63" spans="25:32">
      <c r="Y63">
        <v>10</v>
      </c>
      <c r="Z63" t="e">
        <f ca="1"/>
        <v>#NAME?</v>
      </c>
      <c r="AA63" t="e">
        <f ca="1"/>
        <v>#NAME?</v>
      </c>
      <c r="AB63" t="e">
        <f t="shared" ca="1" si="4"/>
        <v>#NAME?</v>
      </c>
      <c r="AC63" t="e">
        <f t="shared" ca="1" si="5"/>
        <v>#NAME?</v>
      </c>
      <c r="AD63" t="e">
        <f t="shared" ca="1" si="6"/>
        <v>#NAME?</v>
      </c>
      <c r="AE63" t="e">
        <f t="shared" ca="1" si="7"/>
        <v>#NAME?</v>
      </c>
      <c r="AF63" t="e">
        <f ca="1">VIF(F4:R45,9)</f>
        <v>#NAME?</v>
      </c>
    </row>
    <row r="64" spans="25:32">
      <c r="Y64">
        <v>11</v>
      </c>
      <c r="Z64" t="e">
        <f ca="1"/>
        <v>#NAME?</v>
      </c>
      <c r="AA64" t="e">
        <f ca="1"/>
        <v>#NAME?</v>
      </c>
      <c r="AB64" t="e">
        <f t="shared" ca="1" si="4"/>
        <v>#NAME?</v>
      </c>
      <c r="AC64" t="e">
        <f t="shared" ca="1" si="5"/>
        <v>#NAME?</v>
      </c>
      <c r="AD64" t="e">
        <f t="shared" ca="1" si="6"/>
        <v>#NAME?</v>
      </c>
      <c r="AE64" t="e">
        <f t="shared" ca="1" si="7"/>
        <v>#NAME?</v>
      </c>
      <c r="AF64" t="e">
        <f ca="1">VIF(F4:R45,10)</f>
        <v>#NAME?</v>
      </c>
    </row>
    <row r="65" spans="25:32">
      <c r="Y65">
        <v>12</v>
      </c>
      <c r="Z65" t="e">
        <f ca="1"/>
        <v>#NAME?</v>
      </c>
      <c r="AA65" t="e">
        <f ca="1"/>
        <v>#NAME?</v>
      </c>
      <c r="AB65" t="e">
        <f t="shared" ca="1" si="4"/>
        <v>#NAME?</v>
      </c>
      <c r="AC65" t="e">
        <f t="shared" ca="1" si="5"/>
        <v>#NAME?</v>
      </c>
      <c r="AD65" t="e">
        <f t="shared" ca="1" si="6"/>
        <v>#NAME?</v>
      </c>
      <c r="AE65" t="e">
        <f t="shared" ca="1" si="7"/>
        <v>#NAME?</v>
      </c>
      <c r="AF65" t="e">
        <f ca="1">VIF(F4:R45,11)</f>
        <v>#NAME?</v>
      </c>
    </row>
    <row r="66" spans="25:32">
      <c r="Y66">
        <v>13</v>
      </c>
      <c r="Z66" t="e">
        <f ca="1"/>
        <v>#NAME?</v>
      </c>
      <c r="AA66" t="e">
        <f ca="1"/>
        <v>#NAME?</v>
      </c>
      <c r="AB66" t="e">
        <f t="shared" ca="1" si="4"/>
        <v>#NAME?</v>
      </c>
      <c r="AC66" t="e">
        <f t="shared" ca="1" si="5"/>
        <v>#NAME?</v>
      </c>
      <c r="AD66" t="e">
        <f t="shared" ca="1" si="6"/>
        <v>#NAME?</v>
      </c>
      <c r="AE66" t="e">
        <f t="shared" ca="1" si="7"/>
        <v>#NAME?</v>
      </c>
      <c r="AF66" t="e">
        <f ca="1">VIF(F4:R45,12)</f>
        <v>#NAME?</v>
      </c>
    </row>
    <row r="67" spans="25:32">
      <c r="Y67" s="367">
        <v>14</v>
      </c>
      <c r="Z67" s="367" t="e">
        <f ca="1"/>
        <v>#NAME?</v>
      </c>
      <c r="AA67" s="367" t="e">
        <f ca="1"/>
        <v>#NAME?</v>
      </c>
      <c r="AB67" s="367" t="e">
        <f t="shared" ca="1" si="4"/>
        <v>#NAME?</v>
      </c>
      <c r="AC67" s="367" t="e">
        <f t="shared" ca="1" si="5"/>
        <v>#NAME?</v>
      </c>
      <c r="AD67" s="367" t="e">
        <f t="shared" ca="1" si="6"/>
        <v>#NAME?</v>
      </c>
      <c r="AE67" s="367" t="e">
        <f t="shared" ca="1" si="7"/>
        <v>#NAME?</v>
      </c>
      <c r="AF67" s="367" t="e">
        <f ca="1">VIF(F4:R45,13)</f>
        <v>#NAME?</v>
      </c>
    </row>
    <row r="71" spans="25:32">
      <c r="Y71" t="s">
        <v>1012</v>
      </c>
    </row>
    <row r="73" spans="25:32" ht="15.75" thickBot="1">
      <c r="Y73" s="364" t="s">
        <v>606</v>
      </c>
      <c r="Z73" s="364"/>
      <c r="AB73" s="364"/>
      <c r="AC73" s="364"/>
    </row>
    <row r="74" spans="25:32" ht="15.75" thickTop="1">
      <c r="Y74" t="s">
        <v>208</v>
      </c>
      <c r="Z74" t="e">
        <f ca="1">SQRT(Z75)</f>
        <v>#NAME?</v>
      </c>
      <c r="AB74" t="s">
        <v>498</v>
      </c>
      <c r="AC74" t="e">
        <f ca="1">Z78*LN(AA83/Z78)+2*(Z82+1)</f>
        <v>#NAME?</v>
      </c>
    </row>
    <row r="75" spans="25:32">
      <c r="Y75" t="s">
        <v>201</v>
      </c>
      <c r="Z75" t="e">
        <f ca="1">AA82/AA84</f>
        <v>#NAME?</v>
      </c>
      <c r="AB75" t="s">
        <v>499</v>
      </c>
      <c r="AC75" t="e">
        <f ca="1">AC74+2*(Z82+2)*(Z82+3)/(Z78-Z82-3)</f>
        <v>#NAME?</v>
      </c>
    </row>
    <row r="76" spans="25:32">
      <c r="Y76" t="s">
        <v>209</v>
      </c>
      <c r="Z76" t="e">
        <f ca="1">1-(1-Z75)*(Z78-1)/(Z78-Z82-1)</f>
        <v>#NAME?</v>
      </c>
      <c r="AB76" s="367" t="s">
        <v>762</v>
      </c>
      <c r="AC76" s="367" t="e">
        <f ca="1">Z78*LN(AA83/Z78)+(Z82+1)*LN(Z78)</f>
        <v>#NAME?</v>
      </c>
    </row>
    <row r="77" spans="25:32">
      <c r="Y77" t="s">
        <v>9</v>
      </c>
      <c r="Z77" t="e">
        <f ca="1">SQRT(AB83)</f>
        <v>#NAME?</v>
      </c>
    </row>
    <row r="78" spans="25:32">
      <c r="Y78" s="367" t="s">
        <v>42</v>
      </c>
      <c r="Z78" s="367">
        <f>COUNT(W4:W45)</f>
        <v>42</v>
      </c>
    </row>
    <row r="80" spans="25:32" ht="15.75" thickBot="1">
      <c r="Y80" t="s">
        <v>210</v>
      </c>
      <c r="AC80" s="659" t="s">
        <v>16</v>
      </c>
      <c r="AD80" s="659">
        <v>0.05</v>
      </c>
    </row>
    <row r="81" spans="25:32" ht="15.75" thickTop="1">
      <c r="Y81" s="398"/>
      <c r="Z81" s="398" t="s">
        <v>26</v>
      </c>
      <c r="AA81" s="398" t="s">
        <v>137</v>
      </c>
      <c r="AB81" s="398" t="s">
        <v>156</v>
      </c>
      <c r="AC81" s="398" t="s">
        <v>63</v>
      </c>
      <c r="AD81" s="398" t="s">
        <v>30</v>
      </c>
      <c r="AE81" s="398" t="s">
        <v>374</v>
      </c>
    </row>
    <row r="82" spans="25:32">
      <c r="Y82" t="s">
        <v>138</v>
      </c>
      <c r="Z82">
        <f>COUNT(S4:V4)</f>
        <v>4</v>
      </c>
      <c r="AA82" t="e">
        <f ca="1">DEVSQ(MMULT(DESIGN(S4:V45),Z87:Z91))</f>
        <v>#NAME?</v>
      </c>
      <c r="AB82" t="e">
        <f ca="1">AA82/Z82</f>
        <v>#NAME?</v>
      </c>
      <c r="AC82" t="e">
        <f ca="1">AB82/AB83</f>
        <v>#NAME?</v>
      </c>
      <c r="AD82" t="e">
        <f ca="1">FDIST(AC82,Z82,Z83)</f>
        <v>#NAME?</v>
      </c>
      <c r="AE82" s="659" t="e">
        <f ca="1">IF(AD82&lt;AD80,"yes","no")</f>
        <v>#NAME?</v>
      </c>
    </row>
    <row r="83" spans="25:32">
      <c r="Y83" t="s">
        <v>211</v>
      </c>
      <c r="Z83">
        <f>Z84-Z82</f>
        <v>37</v>
      </c>
      <c r="AA83" t="e">
        <f ca="1">AA84-AA82</f>
        <v>#NAME?</v>
      </c>
      <c r="AB83" t="e">
        <f ca="1">AA83/Z83</f>
        <v>#NAME?</v>
      </c>
    </row>
    <row r="84" spans="25:32">
      <c r="Y84" s="367" t="s">
        <v>1</v>
      </c>
      <c r="Z84" s="367">
        <f>Z78-1</f>
        <v>41</v>
      </c>
      <c r="AA84" s="367">
        <f>DEVSQ(W4:W45)</f>
        <v>765790.4761904761</v>
      </c>
      <c r="AB84" s="367"/>
      <c r="AC84" s="367"/>
      <c r="AD84" s="367"/>
      <c r="AE84" s="367"/>
    </row>
    <row r="85" spans="25:32" ht="15.75" thickBot="1"/>
    <row r="86" spans="25:32" ht="15.75" thickTop="1">
      <c r="Y86" s="398"/>
      <c r="Z86" s="398" t="s">
        <v>600</v>
      </c>
      <c r="AA86" s="398" t="s">
        <v>503</v>
      </c>
      <c r="AB86" s="398" t="s">
        <v>27</v>
      </c>
      <c r="AC86" s="398" t="s">
        <v>30</v>
      </c>
      <c r="AD86" s="398" t="s">
        <v>13</v>
      </c>
      <c r="AE86" s="398" t="s">
        <v>14</v>
      </c>
      <c r="AF86" s="398" t="s">
        <v>750</v>
      </c>
    </row>
    <row r="87" spans="25:32">
      <c r="Y87" t="s">
        <v>212</v>
      </c>
      <c r="Z87" t="e">
        <f t="array" aca="1" ref="Z87:AA91" ca="1">RegCoeff(S4:V45,W4:W45)</f>
        <v>#NAME?</v>
      </c>
      <c r="AA87" t="e">
        <f ca="1"/>
        <v>#NAME?</v>
      </c>
      <c r="AB87" t="e">
        <f ca="1">Z87/AA87</f>
        <v>#NAME?</v>
      </c>
      <c r="AC87" t="e">
        <f ca="1">TDIST(ABS(AB87),$Z$83,2)</f>
        <v>#NAME?</v>
      </c>
      <c r="AD87" t="e">
        <f ca="1">Z87-TINV(AD$80,$Z$83)*AA87</f>
        <v>#NAME?</v>
      </c>
      <c r="AE87" t="e">
        <f ca="1">Z87+TINV(AD$80,$Z$83)*AA87</f>
        <v>#NAME?</v>
      </c>
    </row>
    <row r="88" spans="25:32">
      <c r="Y88">
        <f t="array" ref="Y88:Y91">TRANSPOSE(S3:V3)</f>
        <v>2</v>
      </c>
      <c r="Z88" t="e">
        <f ca="1"/>
        <v>#NAME?</v>
      </c>
      <c r="AA88" t="e">
        <f ca="1"/>
        <v>#NAME?</v>
      </c>
      <c r="AB88" t="e">
        <f ca="1">Z88/AA88</f>
        <v>#NAME?</v>
      </c>
      <c r="AC88" t="e">
        <f ca="1">TDIST(ABS(AB88),$Z$83,2)</f>
        <v>#NAME?</v>
      </c>
      <c r="AD88" t="e">
        <f ca="1">Z88-TINV(AD$80,$Z$83)*AA88</f>
        <v>#NAME?</v>
      </c>
      <c r="AE88" t="e">
        <f ca="1">Z88+TINV(AD$80,$Z$83)*AA88</f>
        <v>#NAME?</v>
      </c>
      <c r="AF88" t="e">
        <f ca="1">VIF(S4:V45,1)</f>
        <v>#NAME?</v>
      </c>
    </row>
    <row r="89" spans="25:32">
      <c r="Y89">
        <v>3</v>
      </c>
      <c r="Z89" t="e">
        <f ca="1"/>
        <v>#NAME?</v>
      </c>
      <c r="AA89" t="e">
        <f ca="1"/>
        <v>#NAME?</v>
      </c>
      <c r="AB89" t="e">
        <f ca="1">Z89/AA89</f>
        <v>#NAME?</v>
      </c>
      <c r="AC89" t="e">
        <f ca="1">TDIST(ABS(AB89),$Z$83,2)</f>
        <v>#NAME?</v>
      </c>
      <c r="AD89" t="e">
        <f ca="1">Z89-TINV(AD$80,$Z$83)*AA89</f>
        <v>#NAME?</v>
      </c>
      <c r="AE89" t="e">
        <f ca="1">Z89+TINV(AD$80,$Z$83)*AA89</f>
        <v>#NAME?</v>
      </c>
      <c r="AF89" t="e">
        <f ca="1">VIF(S4:V45,2)</f>
        <v>#NAME?</v>
      </c>
    </row>
    <row r="90" spans="25:32">
      <c r="Y90" t="str">
        <v>mid</v>
      </c>
      <c r="Z90" t="e">
        <f ca="1"/>
        <v>#NAME?</v>
      </c>
      <c r="AA90" t="e">
        <f ca="1"/>
        <v>#NAME?</v>
      </c>
      <c r="AB90" t="e">
        <f ca="1">Z90/AA90</f>
        <v>#NAME?</v>
      </c>
      <c r="AC90" t="e">
        <f ca="1">TDIST(ABS(AB90),$Z$83,2)</f>
        <v>#NAME?</v>
      </c>
      <c r="AD90" t="e">
        <f ca="1">Z90-TINV(AD$80,$Z$83)*AA90</f>
        <v>#NAME?</v>
      </c>
      <c r="AE90" t="e">
        <f ca="1">Z90+TINV(AD$80,$Z$83)*AA90</f>
        <v>#NAME?</v>
      </c>
      <c r="AF90" t="e">
        <f ca="1">VIF(S4:V45,3)</f>
        <v>#NAME?</v>
      </c>
    </row>
    <row r="91" spans="25:32">
      <c r="Y91" s="367" t="str">
        <v>old</v>
      </c>
      <c r="Z91" s="367" t="e">
        <f ca="1"/>
        <v>#NAME?</v>
      </c>
      <c r="AA91" s="367" t="e">
        <f ca="1"/>
        <v>#NAME?</v>
      </c>
      <c r="AB91" s="367" t="e">
        <f ca="1">Z91/AA91</f>
        <v>#NAME?</v>
      </c>
      <c r="AC91" s="367" t="e">
        <f ca="1">TDIST(ABS(AB91),$Z$83,2)</f>
        <v>#NAME?</v>
      </c>
      <c r="AD91" s="367" t="e">
        <f ca="1">Z91-TINV(AD$80,$Z$83)*AA91</f>
        <v>#NAME?</v>
      </c>
      <c r="AE91" s="367" t="e">
        <f ca="1">Z91+TINV(AD$80,$Z$83)*AA91</f>
        <v>#NAME?</v>
      </c>
      <c r="AF91" s="367" t="e">
        <f ca="1">VIF(S4:V45,4)</f>
        <v>#NAME?</v>
      </c>
    </row>
    <row r="94" spans="25:32">
      <c r="Y94" t="s">
        <v>1013</v>
      </c>
    </row>
    <row r="96" spans="25:32" ht="15.75" thickBot="1">
      <c r="Y96" s="364" t="s">
        <v>606</v>
      </c>
      <c r="Z96" s="364"/>
      <c r="AB96" s="364"/>
      <c r="AC96" s="364"/>
    </row>
    <row r="97" spans="25:32" ht="15.75" thickTop="1">
      <c r="Y97" t="s">
        <v>208</v>
      </c>
      <c r="Z97" t="e">
        <f ca="1">SQRT(Z98)</f>
        <v>#NAME?</v>
      </c>
      <c r="AB97" t="s">
        <v>498</v>
      </c>
      <c r="AC97" t="e">
        <f ca="1">Z101*LN(AA106/Z101)+2*(Z105+1)</f>
        <v>#NAME?</v>
      </c>
    </row>
    <row r="98" spans="25:32">
      <c r="Y98" t="s">
        <v>201</v>
      </c>
      <c r="Z98" t="e">
        <f ca="1">AA105/AA107</f>
        <v>#NAME?</v>
      </c>
      <c r="AB98" t="s">
        <v>499</v>
      </c>
      <c r="AC98" t="e">
        <f ca="1">AC97+2*(Z105+2)*(Z105+3)/(Z101-Z105-3)</f>
        <v>#NAME?</v>
      </c>
    </row>
    <row r="99" spans="25:32">
      <c r="Y99" t="s">
        <v>209</v>
      </c>
      <c r="Z99" t="e">
        <f ca="1">1-(1-Z98)*(Z101-1)/(Z101-Z105-1)</f>
        <v>#NAME?</v>
      </c>
      <c r="AB99" s="367" t="s">
        <v>762</v>
      </c>
      <c r="AC99" s="367" t="e">
        <f ca="1">Z101*LN(AA106/Z101)+(Z105+1)*LN(Z101)</f>
        <v>#NAME?</v>
      </c>
    </row>
    <row r="100" spans="25:32">
      <c r="Y100" t="s">
        <v>9</v>
      </c>
      <c r="Z100" t="e">
        <f ca="1">SQRT(AB106)</f>
        <v>#NAME?</v>
      </c>
    </row>
    <row r="101" spans="25:32">
      <c r="Y101" s="367" t="s">
        <v>42</v>
      </c>
      <c r="Z101" s="367">
        <f>COUNT(W4:W45)</f>
        <v>42</v>
      </c>
    </row>
    <row r="103" spans="25:32" ht="15.75" thickBot="1">
      <c r="Y103" t="s">
        <v>210</v>
      </c>
      <c r="AC103" s="659" t="s">
        <v>16</v>
      </c>
      <c r="AD103" s="659">
        <v>0.05</v>
      </c>
    </row>
    <row r="104" spans="25:32" ht="15.75" thickTop="1">
      <c r="Y104" s="398"/>
      <c r="Z104" s="398" t="s">
        <v>26</v>
      </c>
      <c r="AA104" s="398" t="s">
        <v>137</v>
      </c>
      <c r="AB104" s="398" t="s">
        <v>156</v>
      </c>
      <c r="AC104" s="398" t="s">
        <v>63</v>
      </c>
      <c r="AD104" s="398" t="s">
        <v>30</v>
      </c>
      <c r="AE104" s="398" t="s">
        <v>374</v>
      </c>
    </row>
    <row r="105" spans="25:32">
      <c r="Y105" t="s">
        <v>138</v>
      </c>
      <c r="Z105">
        <f>COUNT(U4:V4)</f>
        <v>2</v>
      </c>
      <c r="AA105" t="e">
        <f ca="1">DEVSQ(MMULT(DESIGN(U4:V45),Z110:Z112))</f>
        <v>#NAME?</v>
      </c>
      <c r="AB105" t="e">
        <f ca="1">AA105/Z105</f>
        <v>#NAME?</v>
      </c>
      <c r="AC105" t="e">
        <f ca="1">AB105/AB106</f>
        <v>#NAME?</v>
      </c>
      <c r="AD105" t="e">
        <f ca="1">FDIST(AC105,Z105,Z106)</f>
        <v>#NAME?</v>
      </c>
      <c r="AE105" s="659" t="e">
        <f ca="1">IF(AD105&lt;AD103,"yes","no")</f>
        <v>#NAME?</v>
      </c>
    </row>
    <row r="106" spans="25:32">
      <c r="Y106" t="s">
        <v>211</v>
      </c>
      <c r="Z106">
        <f>Z107-Z105</f>
        <v>39</v>
      </c>
      <c r="AA106" t="e">
        <f ca="1">AA107-AA105</f>
        <v>#NAME?</v>
      </c>
      <c r="AB106" t="e">
        <f ca="1">AA106/Z106</f>
        <v>#NAME?</v>
      </c>
    </row>
    <row r="107" spans="25:32">
      <c r="Y107" s="367" t="s">
        <v>1</v>
      </c>
      <c r="Z107" s="367">
        <f>Z101-1</f>
        <v>41</v>
      </c>
      <c r="AA107" s="367">
        <f>DEVSQ(W4:W45)</f>
        <v>765790.4761904761</v>
      </c>
      <c r="AB107" s="367"/>
      <c r="AC107" s="367"/>
      <c r="AD107" s="367"/>
      <c r="AE107" s="367"/>
    </row>
    <row r="108" spans="25:32" ht="15.75" thickBot="1"/>
    <row r="109" spans="25:32" ht="15.75" thickTop="1">
      <c r="Y109" s="398"/>
      <c r="Z109" s="398" t="s">
        <v>600</v>
      </c>
      <c r="AA109" s="398" t="s">
        <v>503</v>
      </c>
      <c r="AB109" s="398" t="s">
        <v>27</v>
      </c>
      <c r="AC109" s="398" t="s">
        <v>30</v>
      </c>
      <c r="AD109" s="398" t="s">
        <v>13</v>
      </c>
      <c r="AE109" s="398" t="s">
        <v>14</v>
      </c>
      <c r="AF109" s="398" t="s">
        <v>750</v>
      </c>
    </row>
    <row r="110" spans="25:32">
      <c r="Y110" t="s">
        <v>212</v>
      </c>
      <c r="Z110" t="e">
        <f t="array" aca="1" ref="Z110:AA112" ca="1">RegCoeff(U4:V45,W4:W45)</f>
        <v>#NAME?</v>
      </c>
      <c r="AA110" t="e">
        <f ca="1"/>
        <v>#NAME?</v>
      </c>
      <c r="AB110" t="e">
        <f ca="1">Z110/AA110</f>
        <v>#NAME?</v>
      </c>
      <c r="AC110" t="e">
        <f ca="1">TDIST(ABS(AB110),$Z$106,2)</f>
        <v>#NAME?</v>
      </c>
      <c r="AD110" t="e">
        <f ca="1">Z110-TINV(AD$103,$Z$106)*AA110</f>
        <v>#NAME?</v>
      </c>
      <c r="AE110" t="e">
        <f ca="1">Z110+TINV(AD$103,$Z$106)*AA110</f>
        <v>#NAME?</v>
      </c>
    </row>
    <row r="111" spans="25:32">
      <c r="Y111" t="str">
        <f t="array" ref="Y111:Y112">TRANSPOSE(U3:V3)</f>
        <v>mid</v>
      </c>
      <c r="Z111" t="e">
        <f ca="1"/>
        <v>#NAME?</v>
      </c>
      <c r="AA111" t="e">
        <f ca="1"/>
        <v>#NAME?</v>
      </c>
      <c r="AB111" t="e">
        <f ca="1">Z111/AA111</f>
        <v>#NAME?</v>
      </c>
      <c r="AC111" t="e">
        <f ca="1">TDIST(ABS(AB111),$Z$106,2)</f>
        <v>#NAME?</v>
      </c>
      <c r="AD111" t="e">
        <f ca="1">Z111-TINV(AD$103,$Z$106)*AA111</f>
        <v>#NAME?</v>
      </c>
      <c r="AE111" t="e">
        <f ca="1">Z111+TINV(AD$103,$Z$106)*AA111</f>
        <v>#NAME?</v>
      </c>
      <c r="AF111" t="e">
        <f ca="1">VIF(U4:V45,1)</f>
        <v>#NAME?</v>
      </c>
    </row>
    <row r="112" spans="25:32">
      <c r="Y112" s="367" t="str">
        <v>old</v>
      </c>
      <c r="Z112" s="367" t="e">
        <f ca="1"/>
        <v>#NAME?</v>
      </c>
      <c r="AA112" s="367" t="e">
        <f ca="1"/>
        <v>#NAME?</v>
      </c>
      <c r="AB112" s="367" t="e">
        <f ca="1">Z112/AA112</f>
        <v>#NAME?</v>
      </c>
      <c r="AC112" s="367" t="e">
        <f ca="1">TDIST(ABS(AB112),$Z$106,2)</f>
        <v>#NAME?</v>
      </c>
      <c r="AD112" s="367" t="e">
        <f ca="1">Z112-TINV(AD$103,$Z$106)*AA112</f>
        <v>#NAME?</v>
      </c>
      <c r="AE112" s="367" t="e">
        <f ca="1">Z112+TINV(AD$103,$Z$106)*AA112</f>
        <v>#NAME?</v>
      </c>
      <c r="AF112" s="367" t="e">
        <f ca="1">VIF(U4:V45,2)</f>
        <v>#NAME?</v>
      </c>
    </row>
    <row r="115" spans="25:31">
      <c r="Y115" t="s">
        <v>1014</v>
      </c>
    </row>
    <row r="117" spans="25:31" ht="15.75" thickBot="1">
      <c r="Y117" s="364" t="s">
        <v>606</v>
      </c>
      <c r="Z117" s="364"/>
      <c r="AB117" s="364"/>
      <c r="AC117" s="364"/>
    </row>
    <row r="118" spans="25:31" ht="15.75" thickTop="1">
      <c r="Y118" t="s">
        <v>208</v>
      </c>
      <c r="Z118" t="e">
        <f ca="1">SQRT(Z119)</f>
        <v>#NAME?</v>
      </c>
      <c r="AB118" t="s">
        <v>498</v>
      </c>
      <c r="AC118" t="e">
        <f ca="1">Z122*LN(AA127/Z122)+2*(Z126+1)</f>
        <v>#NAME?</v>
      </c>
    </row>
    <row r="119" spans="25:31">
      <c r="Y119" t="s">
        <v>201</v>
      </c>
      <c r="Z119" t="e">
        <f ca="1">AA126/AA128</f>
        <v>#NAME?</v>
      </c>
      <c r="AB119" t="s">
        <v>499</v>
      </c>
      <c r="AC119" t="e">
        <f ca="1">AC118+2*(Z126+2)*(Z126+3)/(Z122-Z126-3)</f>
        <v>#NAME?</v>
      </c>
    </row>
    <row r="120" spans="25:31">
      <c r="Y120" t="s">
        <v>209</v>
      </c>
      <c r="Z120" t="e">
        <f ca="1">1-(1-Z119)*(Z122-1)/(Z122-Z126-1)</f>
        <v>#NAME?</v>
      </c>
      <c r="AB120" s="367" t="s">
        <v>762</v>
      </c>
      <c r="AC120" s="367" t="e">
        <f ca="1">Z122*LN(AA127/Z122)+(Z126+1)*LN(Z122)</f>
        <v>#NAME?</v>
      </c>
    </row>
    <row r="121" spans="25:31">
      <c r="Y121" t="s">
        <v>9</v>
      </c>
      <c r="Z121" t="e">
        <f ca="1">SQRT(AB127)</f>
        <v>#NAME?</v>
      </c>
    </row>
    <row r="122" spans="25:31">
      <c r="Y122" s="367" t="s">
        <v>42</v>
      </c>
      <c r="Z122" s="367">
        <f>COUNT(W4:W45)</f>
        <v>42</v>
      </c>
    </row>
    <row r="124" spans="25:31" ht="15.75" thickBot="1">
      <c r="Y124" t="s">
        <v>210</v>
      </c>
      <c r="AC124" s="659" t="s">
        <v>16</v>
      </c>
      <c r="AD124" s="659">
        <v>0.05</v>
      </c>
    </row>
    <row r="125" spans="25:31" ht="15.75" thickTop="1">
      <c r="Y125" s="398"/>
      <c r="Z125" s="398" t="s">
        <v>26</v>
      </c>
      <c r="AA125" s="398" t="s">
        <v>137</v>
      </c>
      <c r="AB125" s="398" t="s">
        <v>156</v>
      </c>
      <c r="AC125" s="398" t="s">
        <v>63</v>
      </c>
      <c r="AD125" s="398" t="s">
        <v>30</v>
      </c>
      <c r="AE125" s="398" t="s">
        <v>374</v>
      </c>
    </row>
    <row r="126" spans="25:31">
      <c r="Y126" t="s">
        <v>138</v>
      </c>
      <c r="Z126">
        <f>COUNT(F4:T4)</f>
        <v>15</v>
      </c>
      <c r="AA126" t="e">
        <f ca="1">DEVSQ(MMULT(DESIGN(F4:T45),Z131:Z146))</f>
        <v>#NAME?</v>
      </c>
      <c r="AB126" t="e">
        <f ca="1">AA126/Z126</f>
        <v>#NAME?</v>
      </c>
      <c r="AC126" t="e">
        <f ca="1">AB126/AB127</f>
        <v>#NAME?</v>
      </c>
      <c r="AD126" t="e">
        <f ca="1">FDIST(AC126,Z126,Z127)</f>
        <v>#NAME?</v>
      </c>
      <c r="AE126" s="659" t="e">
        <f ca="1">IF(AD126&lt;AD124,"yes","no")</f>
        <v>#NAME?</v>
      </c>
    </row>
    <row r="127" spans="25:31">
      <c r="Y127" t="s">
        <v>211</v>
      </c>
      <c r="Z127">
        <f>Z128-Z126</f>
        <v>26</v>
      </c>
      <c r="AA127" t="e">
        <f ca="1">AA128-AA126</f>
        <v>#NAME?</v>
      </c>
      <c r="AB127" t="e">
        <f ca="1">AA127/Z127</f>
        <v>#NAME?</v>
      </c>
    </row>
    <row r="128" spans="25:31">
      <c r="Y128" s="367" t="s">
        <v>1</v>
      </c>
      <c r="Z128" s="367">
        <f>Z122-1</f>
        <v>41</v>
      </c>
      <c r="AA128" s="367">
        <f>DEVSQ(W4:W45)</f>
        <v>765790.4761904761</v>
      </c>
      <c r="AB128" s="367"/>
      <c r="AC128" s="367"/>
      <c r="AD128" s="367"/>
      <c r="AE128" s="367"/>
    </row>
    <row r="129" spans="25:32" ht="15.75" thickBot="1"/>
    <row r="130" spans="25:32" ht="15.75" thickTop="1">
      <c r="Y130" s="398"/>
      <c r="Z130" s="398" t="s">
        <v>600</v>
      </c>
      <c r="AA130" s="398" t="s">
        <v>503</v>
      </c>
      <c r="AB130" s="398" t="s">
        <v>27</v>
      </c>
      <c r="AC130" s="398" t="s">
        <v>30</v>
      </c>
      <c r="AD130" s="398" t="s">
        <v>13</v>
      </c>
      <c r="AE130" s="398" t="s">
        <v>14</v>
      </c>
      <c r="AF130" s="398" t="s">
        <v>750</v>
      </c>
    </row>
    <row r="131" spans="25:32">
      <c r="Y131" t="s">
        <v>212</v>
      </c>
      <c r="Z131" t="e">
        <f t="array" aca="1" ref="Z131:AA146" ca="1">RegCoeff(F4:T45,W4:W45)</f>
        <v>#NAME?</v>
      </c>
      <c r="AA131" t="e">
        <f ca="1"/>
        <v>#NAME?</v>
      </c>
      <c r="AB131" t="e">
        <f ca="1">Z131/AA131</f>
        <v>#NAME?</v>
      </c>
      <c r="AC131" t="e">
        <f ca="1">TDIST(ABS(AB131),$Z$127,2)</f>
        <v>#NAME?</v>
      </c>
      <c r="AD131" t="e">
        <f ca="1">Z131-TINV(AD$124,$Z$127)*AA131</f>
        <v>#NAME?</v>
      </c>
      <c r="AE131" t="e">
        <f ca="1">Z131+TINV(AD$124,$Z$127)*AA131</f>
        <v>#NAME?</v>
      </c>
    </row>
    <row r="132" spans="25:32">
      <c r="Y132">
        <f t="array" ref="Y132:Y146">TRANSPOSE(F3:T3)</f>
        <v>2</v>
      </c>
      <c r="Z132" t="e">
        <f ca="1"/>
        <v>#NAME?</v>
      </c>
      <c r="AA132" t="e">
        <f ca="1"/>
        <v>#NAME?</v>
      </c>
      <c r="AB132" t="e">
        <f t="shared" ref="AB132:AB146" ca="1" si="8">Z132/AA132</f>
        <v>#NAME?</v>
      </c>
      <c r="AC132" t="e">
        <f t="shared" ref="AC132:AC146" ca="1" si="9">TDIST(ABS(AB132),$Z$127,2)</f>
        <v>#NAME?</v>
      </c>
      <c r="AD132" t="e">
        <f t="shared" ref="AD132:AD146" ca="1" si="10">Z132-TINV(AD$124,$Z$127)*AA132</f>
        <v>#NAME?</v>
      </c>
      <c r="AE132" t="e">
        <f t="shared" ref="AE132:AE146" ca="1" si="11">Z132+TINV(AD$124,$Z$127)*AA132</f>
        <v>#NAME?</v>
      </c>
      <c r="AF132" t="e">
        <f ca="1">VIF(F4:T45,1)</f>
        <v>#NAME?</v>
      </c>
    </row>
    <row r="133" spans="25:32">
      <c r="Y133">
        <v>3</v>
      </c>
      <c r="Z133" t="e">
        <f ca="1"/>
        <v>#NAME?</v>
      </c>
      <c r="AA133" t="e">
        <f ca="1"/>
        <v>#NAME?</v>
      </c>
      <c r="AB133" t="e">
        <f t="shared" ca="1" si="8"/>
        <v>#NAME?</v>
      </c>
      <c r="AC133" t="e">
        <f t="shared" ca="1" si="9"/>
        <v>#NAME?</v>
      </c>
      <c r="AD133" t="e">
        <f t="shared" ca="1" si="10"/>
        <v>#NAME?</v>
      </c>
      <c r="AE133" t="e">
        <f t="shared" ca="1" si="11"/>
        <v>#NAME?</v>
      </c>
      <c r="AF133" t="e">
        <f ca="1">VIF(F4:T45,2)</f>
        <v>#NAME?</v>
      </c>
    </row>
    <row r="134" spans="25:32">
      <c r="Y134">
        <v>4</v>
      </c>
      <c r="Z134" t="e">
        <f ca="1"/>
        <v>#NAME?</v>
      </c>
      <c r="AA134" t="e">
        <f ca="1"/>
        <v>#NAME?</v>
      </c>
      <c r="AB134" t="e">
        <f t="shared" ca="1" si="8"/>
        <v>#NAME?</v>
      </c>
      <c r="AC134" t="e">
        <f t="shared" ca="1" si="9"/>
        <v>#NAME?</v>
      </c>
      <c r="AD134" t="e">
        <f t="shared" ca="1" si="10"/>
        <v>#NAME?</v>
      </c>
      <c r="AE134" t="e">
        <f t="shared" ca="1" si="11"/>
        <v>#NAME?</v>
      </c>
      <c r="AF134" t="e">
        <f ca="1">VIF(F4:T45,3)</f>
        <v>#NAME?</v>
      </c>
    </row>
    <row r="135" spans="25:32">
      <c r="Y135">
        <v>5</v>
      </c>
      <c r="Z135" t="e">
        <f ca="1"/>
        <v>#NAME?</v>
      </c>
      <c r="AA135" t="e">
        <f ca="1"/>
        <v>#NAME?</v>
      </c>
      <c r="AB135" t="e">
        <f t="shared" ca="1" si="8"/>
        <v>#NAME?</v>
      </c>
      <c r="AC135" t="e">
        <f t="shared" ca="1" si="9"/>
        <v>#NAME?</v>
      </c>
      <c r="AD135" t="e">
        <f t="shared" ca="1" si="10"/>
        <v>#NAME?</v>
      </c>
      <c r="AE135" t="e">
        <f t="shared" ca="1" si="11"/>
        <v>#NAME?</v>
      </c>
      <c r="AF135" t="e">
        <f ca="1">VIF(F4:T45,4)</f>
        <v>#NAME?</v>
      </c>
    </row>
    <row r="136" spans="25:32">
      <c r="Y136">
        <v>6</v>
      </c>
      <c r="Z136" t="e">
        <f ca="1"/>
        <v>#NAME?</v>
      </c>
      <c r="AA136" t="e">
        <f ca="1"/>
        <v>#NAME?</v>
      </c>
      <c r="AB136" t="e">
        <f t="shared" ca="1" si="8"/>
        <v>#NAME?</v>
      </c>
      <c r="AC136" t="e">
        <f t="shared" ca="1" si="9"/>
        <v>#NAME?</v>
      </c>
      <c r="AD136" t="e">
        <f t="shared" ca="1" si="10"/>
        <v>#NAME?</v>
      </c>
      <c r="AE136" t="e">
        <f t="shared" ca="1" si="11"/>
        <v>#NAME?</v>
      </c>
      <c r="AF136" t="e">
        <f ca="1">VIF(F4:T45,5)</f>
        <v>#NAME?</v>
      </c>
    </row>
    <row r="137" spans="25:32">
      <c r="Y137">
        <v>7</v>
      </c>
      <c r="Z137" t="e">
        <f ca="1"/>
        <v>#NAME?</v>
      </c>
      <c r="AA137" t="e">
        <f ca="1"/>
        <v>#NAME?</v>
      </c>
      <c r="AB137" t="e">
        <f t="shared" ca="1" si="8"/>
        <v>#NAME?</v>
      </c>
      <c r="AC137" t="e">
        <f t="shared" ca="1" si="9"/>
        <v>#NAME?</v>
      </c>
      <c r="AD137" t="e">
        <f t="shared" ca="1" si="10"/>
        <v>#NAME?</v>
      </c>
      <c r="AE137" t="e">
        <f t="shared" ca="1" si="11"/>
        <v>#NAME?</v>
      </c>
      <c r="AF137" t="e">
        <f ca="1">VIF(F4:T45,6)</f>
        <v>#NAME?</v>
      </c>
    </row>
    <row r="138" spans="25:32">
      <c r="Y138">
        <v>8</v>
      </c>
      <c r="Z138" t="e">
        <f ca="1"/>
        <v>#NAME?</v>
      </c>
      <c r="AA138" t="e">
        <f ca="1"/>
        <v>#NAME?</v>
      </c>
      <c r="AB138" t="e">
        <f t="shared" ca="1" si="8"/>
        <v>#NAME?</v>
      </c>
      <c r="AC138" t="e">
        <f t="shared" ca="1" si="9"/>
        <v>#NAME?</v>
      </c>
      <c r="AD138" t="e">
        <f t="shared" ca="1" si="10"/>
        <v>#NAME?</v>
      </c>
      <c r="AE138" t="e">
        <f t="shared" ca="1" si="11"/>
        <v>#NAME?</v>
      </c>
      <c r="AF138" t="e">
        <f ca="1">VIF(F4:T45,7)</f>
        <v>#NAME?</v>
      </c>
    </row>
    <row r="139" spans="25:32">
      <c r="Y139">
        <v>9</v>
      </c>
      <c r="Z139" t="e">
        <f ca="1"/>
        <v>#NAME?</v>
      </c>
      <c r="AA139" t="e">
        <f ca="1"/>
        <v>#NAME?</v>
      </c>
      <c r="AB139" t="e">
        <f t="shared" ca="1" si="8"/>
        <v>#NAME?</v>
      </c>
      <c r="AC139" t="e">
        <f t="shared" ca="1" si="9"/>
        <v>#NAME?</v>
      </c>
      <c r="AD139" t="e">
        <f t="shared" ca="1" si="10"/>
        <v>#NAME?</v>
      </c>
      <c r="AE139" t="e">
        <f t="shared" ca="1" si="11"/>
        <v>#NAME?</v>
      </c>
      <c r="AF139" t="e">
        <f ca="1">VIF(F4:T45,8)</f>
        <v>#NAME?</v>
      </c>
    </row>
    <row r="140" spans="25:32">
      <c r="Y140">
        <v>10</v>
      </c>
      <c r="Z140" t="e">
        <f ca="1"/>
        <v>#NAME?</v>
      </c>
      <c r="AA140" t="e">
        <f ca="1"/>
        <v>#NAME?</v>
      </c>
      <c r="AB140" t="e">
        <f t="shared" ca="1" si="8"/>
        <v>#NAME?</v>
      </c>
      <c r="AC140" t="e">
        <f t="shared" ca="1" si="9"/>
        <v>#NAME?</v>
      </c>
      <c r="AD140" t="e">
        <f t="shared" ca="1" si="10"/>
        <v>#NAME?</v>
      </c>
      <c r="AE140" t="e">
        <f t="shared" ca="1" si="11"/>
        <v>#NAME?</v>
      </c>
      <c r="AF140" t="e">
        <f ca="1">VIF(F4:T45,9)</f>
        <v>#NAME?</v>
      </c>
    </row>
    <row r="141" spans="25:32">
      <c r="Y141">
        <v>11</v>
      </c>
      <c r="Z141" t="e">
        <f ca="1"/>
        <v>#NAME?</v>
      </c>
      <c r="AA141" t="e">
        <f ca="1"/>
        <v>#NAME?</v>
      </c>
      <c r="AB141" t="e">
        <f t="shared" ca="1" si="8"/>
        <v>#NAME?</v>
      </c>
      <c r="AC141" t="e">
        <f t="shared" ca="1" si="9"/>
        <v>#NAME?</v>
      </c>
      <c r="AD141" t="e">
        <f t="shared" ca="1" si="10"/>
        <v>#NAME?</v>
      </c>
      <c r="AE141" t="e">
        <f t="shared" ca="1" si="11"/>
        <v>#NAME?</v>
      </c>
      <c r="AF141" t="e">
        <f ca="1">VIF(F4:T45,10)</f>
        <v>#NAME?</v>
      </c>
    </row>
    <row r="142" spans="25:32">
      <c r="Y142">
        <v>12</v>
      </c>
      <c r="Z142" t="e">
        <f ca="1"/>
        <v>#NAME?</v>
      </c>
      <c r="AA142" t="e">
        <f ca="1"/>
        <v>#NAME?</v>
      </c>
      <c r="AB142" t="e">
        <f t="shared" ca="1" si="8"/>
        <v>#NAME?</v>
      </c>
      <c r="AC142" t="e">
        <f t="shared" ca="1" si="9"/>
        <v>#NAME?</v>
      </c>
      <c r="AD142" t="e">
        <f t="shared" ca="1" si="10"/>
        <v>#NAME?</v>
      </c>
      <c r="AE142" t="e">
        <f t="shared" ca="1" si="11"/>
        <v>#NAME?</v>
      </c>
      <c r="AF142" t="e">
        <f ca="1">VIF(F4:T45,11)</f>
        <v>#NAME?</v>
      </c>
    </row>
    <row r="143" spans="25:32">
      <c r="Y143">
        <v>13</v>
      </c>
      <c r="Z143" t="e">
        <f ca="1"/>
        <v>#NAME?</v>
      </c>
      <c r="AA143" t="e">
        <f ca="1"/>
        <v>#NAME?</v>
      </c>
      <c r="AB143" t="e">
        <f t="shared" ca="1" si="8"/>
        <v>#NAME?</v>
      </c>
      <c r="AC143" t="e">
        <f t="shared" ca="1" si="9"/>
        <v>#NAME?</v>
      </c>
      <c r="AD143" t="e">
        <f t="shared" ca="1" si="10"/>
        <v>#NAME?</v>
      </c>
      <c r="AE143" t="e">
        <f t="shared" ca="1" si="11"/>
        <v>#NAME?</v>
      </c>
      <c r="AF143" t="e">
        <f ca="1">VIF(F4:T45,12)</f>
        <v>#NAME?</v>
      </c>
    </row>
    <row r="144" spans="25:32">
      <c r="Y144">
        <v>14</v>
      </c>
      <c r="Z144" t="e">
        <f ca="1"/>
        <v>#NAME?</v>
      </c>
      <c r="AA144" t="e">
        <f ca="1"/>
        <v>#NAME?</v>
      </c>
      <c r="AB144" t="e">
        <f t="shared" ca="1" si="8"/>
        <v>#NAME?</v>
      </c>
      <c r="AC144" t="e">
        <f t="shared" ca="1" si="9"/>
        <v>#NAME?</v>
      </c>
      <c r="AD144" t="e">
        <f t="shared" ca="1" si="10"/>
        <v>#NAME?</v>
      </c>
      <c r="AE144" t="e">
        <f t="shared" ca="1" si="11"/>
        <v>#NAME?</v>
      </c>
      <c r="AF144" t="e">
        <f ca="1">VIF(F4:T45,13)</f>
        <v>#NAME?</v>
      </c>
    </row>
    <row r="145" spans="6:32">
      <c r="Y145">
        <v>2</v>
      </c>
      <c r="Z145" t="e">
        <f ca="1"/>
        <v>#NAME?</v>
      </c>
      <c r="AA145" t="e">
        <f ca="1"/>
        <v>#NAME?</v>
      </c>
      <c r="AB145" t="e">
        <f t="shared" ca="1" si="8"/>
        <v>#NAME?</v>
      </c>
      <c r="AC145" t="e">
        <f t="shared" ca="1" si="9"/>
        <v>#NAME?</v>
      </c>
      <c r="AD145" t="e">
        <f t="shared" ca="1" si="10"/>
        <v>#NAME?</v>
      </c>
      <c r="AE145" t="e">
        <f t="shared" ca="1" si="11"/>
        <v>#NAME?</v>
      </c>
      <c r="AF145" t="e">
        <f ca="1">VIF(F4:T45,14)</f>
        <v>#NAME?</v>
      </c>
    </row>
    <row r="146" spans="6:32">
      <c r="Y146" s="367">
        <v>3</v>
      </c>
      <c r="Z146" s="367" t="e">
        <f ca="1"/>
        <v>#NAME?</v>
      </c>
      <c r="AA146" s="367" t="e">
        <f ca="1"/>
        <v>#NAME?</v>
      </c>
      <c r="AB146" s="367" t="e">
        <f t="shared" ca="1" si="8"/>
        <v>#NAME?</v>
      </c>
      <c r="AC146" s="367" t="e">
        <f t="shared" ca="1" si="9"/>
        <v>#NAME?</v>
      </c>
      <c r="AD146" s="367" t="e">
        <f t="shared" ca="1" si="10"/>
        <v>#NAME?</v>
      </c>
      <c r="AE146" s="367" t="e">
        <f t="shared" ca="1" si="11"/>
        <v>#NAME?</v>
      </c>
      <c r="AF146" s="367" t="e">
        <f ca="1">VIF(F4:T45,15)</f>
        <v>#NAME?</v>
      </c>
    </row>
    <row r="150" spans="6:32">
      <c r="Y150" t="s">
        <v>1015</v>
      </c>
    </row>
    <row r="151" spans="6:32">
      <c r="F151" s="659">
        <v>2</v>
      </c>
      <c r="G151" s="659">
        <v>3</v>
      </c>
      <c r="H151" s="659">
        <v>4</v>
      </c>
      <c r="I151" s="659">
        <v>5</v>
      </c>
      <c r="J151" s="659">
        <v>6</v>
      </c>
      <c r="K151" s="659">
        <v>7</v>
      </c>
      <c r="L151" s="659">
        <v>8</v>
      </c>
      <c r="M151" s="659">
        <v>9</v>
      </c>
      <c r="N151" s="659">
        <v>10</v>
      </c>
      <c r="O151" s="659">
        <v>11</v>
      </c>
      <c r="P151" s="659">
        <v>12</v>
      </c>
      <c r="Q151" s="659">
        <v>13</v>
      </c>
      <c r="R151" s="659">
        <v>14</v>
      </c>
      <c r="S151" s="659" t="s">
        <v>999</v>
      </c>
      <c r="T151" s="659" t="s">
        <v>1000</v>
      </c>
      <c r="U151" t="s">
        <v>1001</v>
      </c>
    </row>
    <row r="152" spans="6:32" ht="15.75" thickBot="1">
      <c r="F152" s="665">
        <v>0</v>
      </c>
      <c r="G152" s="666">
        <v>0</v>
      </c>
      <c r="H152" s="666">
        <v>0</v>
      </c>
      <c r="I152" s="666">
        <v>0</v>
      </c>
      <c r="J152" s="666">
        <v>0</v>
      </c>
      <c r="K152" s="666">
        <v>0</v>
      </c>
      <c r="L152" s="666">
        <v>0</v>
      </c>
      <c r="M152" s="666">
        <v>0</v>
      </c>
      <c r="N152" s="666">
        <v>0</v>
      </c>
      <c r="O152" s="666">
        <v>0</v>
      </c>
      <c r="P152" s="666">
        <v>0</v>
      </c>
      <c r="Q152" s="666">
        <v>0</v>
      </c>
      <c r="R152" s="666">
        <v>0</v>
      </c>
      <c r="S152" s="665">
        <v>0</v>
      </c>
      <c r="T152" s="667">
        <v>0</v>
      </c>
      <c r="U152" s="668">
        <v>250</v>
      </c>
      <c r="Y152" s="364" t="s">
        <v>606</v>
      </c>
      <c r="Z152" s="364"/>
      <c r="AB152" s="364"/>
      <c r="AC152" s="364"/>
    </row>
    <row r="153" spans="6:32" ht="15.75" thickTop="1">
      <c r="F153" s="672">
        <v>1</v>
      </c>
      <c r="G153" s="673">
        <v>0</v>
      </c>
      <c r="H153" s="673">
        <v>0</v>
      </c>
      <c r="I153" s="673">
        <v>0</v>
      </c>
      <c r="J153" s="673">
        <v>0</v>
      </c>
      <c r="K153" s="673">
        <v>0</v>
      </c>
      <c r="L153" s="673">
        <v>0</v>
      </c>
      <c r="M153" s="673">
        <v>0</v>
      </c>
      <c r="N153" s="673">
        <v>0</v>
      </c>
      <c r="O153" s="673">
        <v>0</v>
      </c>
      <c r="P153" s="673">
        <v>0</v>
      </c>
      <c r="Q153" s="673">
        <v>0</v>
      </c>
      <c r="R153" s="673">
        <v>0</v>
      </c>
      <c r="S153" s="672">
        <v>0</v>
      </c>
      <c r="T153" s="674">
        <v>0</v>
      </c>
      <c r="U153" s="675">
        <v>65</v>
      </c>
      <c r="Y153" t="s">
        <v>208</v>
      </c>
      <c r="Z153" t="e">
        <f ca="1">SQRT(Z154)</f>
        <v>#NAME?</v>
      </c>
      <c r="AB153" t="s">
        <v>498</v>
      </c>
      <c r="AC153" t="e">
        <f ca="1">Z157*LN(AA162/Z157)+2*(Z161+1)</f>
        <v>#NAME?</v>
      </c>
    </row>
    <row r="154" spans="6:32">
      <c r="F154" s="672">
        <v>0</v>
      </c>
      <c r="G154" s="673">
        <v>1</v>
      </c>
      <c r="H154" s="673">
        <v>0</v>
      </c>
      <c r="I154" s="673">
        <v>0</v>
      </c>
      <c r="J154" s="673">
        <v>0</v>
      </c>
      <c r="K154" s="673">
        <v>0</v>
      </c>
      <c r="L154" s="673">
        <v>0</v>
      </c>
      <c r="M154" s="673">
        <v>0</v>
      </c>
      <c r="N154" s="673">
        <v>0</v>
      </c>
      <c r="O154" s="673">
        <v>0</v>
      </c>
      <c r="P154" s="673">
        <v>0</v>
      </c>
      <c r="Q154" s="673">
        <v>0</v>
      </c>
      <c r="R154" s="673">
        <v>0</v>
      </c>
      <c r="S154" s="672">
        <v>0</v>
      </c>
      <c r="T154" s="674">
        <v>0</v>
      </c>
      <c r="U154" s="675">
        <v>251</v>
      </c>
      <c r="Y154" t="s">
        <v>201</v>
      </c>
      <c r="Z154" t="e">
        <f ca="1">AA161/AA163</f>
        <v>#NAME?</v>
      </c>
      <c r="AB154" t="s">
        <v>499</v>
      </c>
      <c r="AC154" t="e">
        <f ca="1">AC153+2*(Z161+2)*(Z161+3)/(Z157-Z161-3)</f>
        <v>#NAME?</v>
      </c>
    </row>
    <row r="155" spans="6:32">
      <c r="F155" s="672">
        <v>0</v>
      </c>
      <c r="G155" s="673">
        <v>0</v>
      </c>
      <c r="H155" s="673">
        <v>1</v>
      </c>
      <c r="I155" s="673">
        <v>0</v>
      </c>
      <c r="J155" s="673">
        <v>0</v>
      </c>
      <c r="K155" s="673">
        <v>0</v>
      </c>
      <c r="L155" s="673">
        <v>0</v>
      </c>
      <c r="M155" s="673">
        <v>0</v>
      </c>
      <c r="N155" s="673">
        <v>0</v>
      </c>
      <c r="O155" s="673">
        <v>0</v>
      </c>
      <c r="P155" s="673">
        <v>0</v>
      </c>
      <c r="Q155" s="673">
        <v>0</v>
      </c>
      <c r="R155" s="673">
        <v>0</v>
      </c>
      <c r="S155" s="672">
        <v>0</v>
      </c>
      <c r="T155" s="674">
        <v>0</v>
      </c>
      <c r="U155" s="675">
        <v>103</v>
      </c>
      <c r="Y155" t="s">
        <v>209</v>
      </c>
      <c r="Z155" t="e">
        <f ca="1">1-(1-Z154)*(Z157-1)/(Z157-Z161-1)</f>
        <v>#NAME?</v>
      </c>
      <c r="AB155" s="367" t="s">
        <v>762</v>
      </c>
      <c r="AC155" s="367" t="e">
        <f ca="1">Z157*LN(AA162/Z157)+(Z161+1)*LN(Z157)</f>
        <v>#NAME?</v>
      </c>
    </row>
    <row r="156" spans="6:32">
      <c r="F156" s="672">
        <v>0</v>
      </c>
      <c r="G156" s="673">
        <v>0</v>
      </c>
      <c r="H156" s="673">
        <v>0</v>
      </c>
      <c r="I156" s="673">
        <v>1</v>
      </c>
      <c r="J156" s="673">
        <v>0</v>
      </c>
      <c r="K156" s="673">
        <v>0</v>
      </c>
      <c r="L156" s="673">
        <v>0</v>
      </c>
      <c r="M156" s="673">
        <v>0</v>
      </c>
      <c r="N156" s="673">
        <v>0</v>
      </c>
      <c r="O156" s="673">
        <v>0</v>
      </c>
      <c r="P156" s="673">
        <v>0</v>
      </c>
      <c r="Q156" s="673">
        <v>0</v>
      </c>
      <c r="R156" s="673">
        <v>0</v>
      </c>
      <c r="S156" s="678">
        <v>0</v>
      </c>
      <c r="T156" s="679">
        <v>0</v>
      </c>
      <c r="U156" s="680">
        <v>230</v>
      </c>
      <c r="Y156" t="s">
        <v>9</v>
      </c>
      <c r="Z156" t="e">
        <f ca="1">SQRT(AB162)</f>
        <v>#NAME?</v>
      </c>
    </row>
    <row r="157" spans="6:32">
      <c r="F157" s="672">
        <v>0</v>
      </c>
      <c r="G157" s="673">
        <v>0</v>
      </c>
      <c r="H157" s="673">
        <v>0</v>
      </c>
      <c r="I157" s="673">
        <v>0</v>
      </c>
      <c r="J157" s="673">
        <v>1</v>
      </c>
      <c r="K157" s="673">
        <v>0</v>
      </c>
      <c r="L157" s="673">
        <v>0</v>
      </c>
      <c r="M157" s="673">
        <v>0</v>
      </c>
      <c r="N157" s="673">
        <v>0</v>
      </c>
      <c r="O157" s="673">
        <v>0</v>
      </c>
      <c r="P157" s="673">
        <v>0</v>
      </c>
      <c r="Q157" s="673">
        <v>0</v>
      </c>
      <c r="R157" s="673">
        <v>0</v>
      </c>
      <c r="S157" s="665">
        <v>1</v>
      </c>
      <c r="T157" s="667">
        <v>0</v>
      </c>
      <c r="U157" s="668">
        <v>54</v>
      </c>
      <c r="Y157" s="367" t="s">
        <v>42</v>
      </c>
      <c r="Z157" s="367">
        <f>COUNT(U152:U193)</f>
        <v>42</v>
      </c>
    </row>
    <row r="158" spans="6:32">
      <c r="F158" s="672">
        <v>0</v>
      </c>
      <c r="G158" s="673">
        <v>0</v>
      </c>
      <c r="H158" s="673">
        <v>0</v>
      </c>
      <c r="I158" s="673">
        <v>0</v>
      </c>
      <c r="J158" s="673">
        <v>0</v>
      </c>
      <c r="K158" s="673">
        <v>1</v>
      </c>
      <c r="L158" s="673">
        <v>0</v>
      </c>
      <c r="M158" s="673">
        <v>0</v>
      </c>
      <c r="N158" s="673">
        <v>0</v>
      </c>
      <c r="O158" s="673">
        <v>0</v>
      </c>
      <c r="P158" s="673">
        <v>0</v>
      </c>
      <c r="Q158" s="673">
        <v>0</v>
      </c>
      <c r="R158" s="673">
        <v>0</v>
      </c>
      <c r="S158" s="672">
        <v>1</v>
      </c>
      <c r="T158" s="674">
        <v>0</v>
      </c>
      <c r="U158" s="675">
        <v>20</v>
      </c>
    </row>
    <row r="159" spans="6:32" ht="15.75" thickBot="1">
      <c r="F159" s="672">
        <v>0</v>
      </c>
      <c r="G159" s="673">
        <v>0</v>
      </c>
      <c r="H159" s="673">
        <v>0</v>
      </c>
      <c r="I159" s="673">
        <v>0</v>
      </c>
      <c r="J159" s="673">
        <v>0</v>
      </c>
      <c r="K159" s="673">
        <v>0</v>
      </c>
      <c r="L159" s="673">
        <v>1</v>
      </c>
      <c r="M159" s="673">
        <v>0</v>
      </c>
      <c r="N159" s="673">
        <v>0</v>
      </c>
      <c r="O159" s="673">
        <v>0</v>
      </c>
      <c r="P159" s="673">
        <v>0</v>
      </c>
      <c r="Q159" s="673">
        <v>0</v>
      </c>
      <c r="R159" s="673">
        <v>0</v>
      </c>
      <c r="S159" s="672">
        <v>1</v>
      </c>
      <c r="T159" s="674">
        <v>0</v>
      </c>
      <c r="U159" s="675">
        <v>41</v>
      </c>
      <c r="Y159" t="s">
        <v>210</v>
      </c>
      <c r="AC159" s="659" t="s">
        <v>16</v>
      </c>
      <c r="AD159" s="659">
        <v>0.05</v>
      </c>
    </row>
    <row r="160" spans="6:32" ht="15.75" thickTop="1">
      <c r="F160" s="672">
        <v>0</v>
      </c>
      <c r="G160" s="673">
        <v>0</v>
      </c>
      <c r="H160" s="673">
        <v>0</v>
      </c>
      <c r="I160" s="673">
        <v>0</v>
      </c>
      <c r="J160" s="673">
        <v>0</v>
      </c>
      <c r="K160" s="673">
        <v>0</v>
      </c>
      <c r="L160" s="673">
        <v>0</v>
      </c>
      <c r="M160" s="673">
        <v>1</v>
      </c>
      <c r="N160" s="673">
        <v>0</v>
      </c>
      <c r="O160" s="673">
        <v>0</v>
      </c>
      <c r="P160" s="673">
        <v>0</v>
      </c>
      <c r="Q160" s="673">
        <v>0</v>
      </c>
      <c r="R160" s="673">
        <v>0</v>
      </c>
      <c r="S160" s="672">
        <v>1</v>
      </c>
      <c r="T160" s="674">
        <v>0</v>
      </c>
      <c r="U160" s="675">
        <v>29</v>
      </c>
      <c r="Y160" s="398"/>
      <c r="Z160" s="398" t="s">
        <v>26</v>
      </c>
      <c r="AA160" s="398" t="s">
        <v>137</v>
      </c>
      <c r="AB160" s="398" t="s">
        <v>156</v>
      </c>
      <c r="AC160" s="398" t="s">
        <v>63</v>
      </c>
      <c r="AD160" s="398" t="s">
        <v>30</v>
      </c>
      <c r="AE160" s="398" t="s">
        <v>374</v>
      </c>
    </row>
    <row r="161" spans="6:32">
      <c r="F161" s="672">
        <v>0</v>
      </c>
      <c r="G161" s="673">
        <v>0</v>
      </c>
      <c r="H161" s="673">
        <v>0</v>
      </c>
      <c r="I161" s="673">
        <v>0</v>
      </c>
      <c r="J161" s="673">
        <v>0</v>
      </c>
      <c r="K161" s="673">
        <v>0</v>
      </c>
      <c r="L161" s="673">
        <v>0</v>
      </c>
      <c r="M161" s="673">
        <v>0</v>
      </c>
      <c r="N161" s="673">
        <v>1</v>
      </c>
      <c r="O161" s="673">
        <v>0</v>
      </c>
      <c r="P161" s="673">
        <v>0</v>
      </c>
      <c r="Q161" s="673">
        <v>0</v>
      </c>
      <c r="R161" s="673">
        <v>0</v>
      </c>
      <c r="S161" s="678">
        <v>1</v>
      </c>
      <c r="T161" s="679">
        <v>0</v>
      </c>
      <c r="U161" s="680">
        <v>3</v>
      </c>
      <c r="Y161" t="s">
        <v>138</v>
      </c>
      <c r="Z161">
        <f>COUNT(F152:T152)</f>
        <v>15</v>
      </c>
      <c r="AA161" t="e">
        <f ca="1">DEVSQ(MMULT(DESIGN(F152:T193),Z166:Z181))</f>
        <v>#NAME?</v>
      </c>
      <c r="AB161" t="e">
        <f ca="1">AA161/Z161</f>
        <v>#NAME?</v>
      </c>
      <c r="AC161" t="e">
        <f ca="1">AB161/AB162</f>
        <v>#NAME?</v>
      </c>
      <c r="AD161" t="e">
        <f ca="1">FDIST(AC161,Z161,Z162)</f>
        <v>#NAME?</v>
      </c>
      <c r="AE161" s="659" t="e">
        <f ca="1">IF(AD161&lt;AD159,"yes","no")</f>
        <v>#NAME?</v>
      </c>
    </row>
    <row r="162" spans="6:32">
      <c r="F162" s="672">
        <v>0</v>
      </c>
      <c r="G162" s="673">
        <v>0</v>
      </c>
      <c r="H162" s="673">
        <v>0</v>
      </c>
      <c r="I162" s="673">
        <v>0</v>
      </c>
      <c r="J162" s="673">
        <v>0</v>
      </c>
      <c r="K162" s="673">
        <v>0</v>
      </c>
      <c r="L162" s="673">
        <v>0</v>
      </c>
      <c r="M162" s="673">
        <v>0</v>
      </c>
      <c r="N162" s="673">
        <v>0</v>
      </c>
      <c r="O162" s="673">
        <v>1</v>
      </c>
      <c r="P162" s="673">
        <v>0</v>
      </c>
      <c r="Q162" s="673">
        <v>0</v>
      </c>
      <c r="R162" s="673">
        <v>0</v>
      </c>
      <c r="S162" s="672">
        <v>0</v>
      </c>
      <c r="T162" s="674">
        <v>1</v>
      </c>
      <c r="U162" s="675">
        <v>118</v>
      </c>
      <c r="Y162" t="s">
        <v>211</v>
      </c>
      <c r="Z162">
        <f>Z163-Z161</f>
        <v>26</v>
      </c>
      <c r="AA162" t="e">
        <f ca="1">AA163-AA161</f>
        <v>#NAME?</v>
      </c>
      <c r="AB162" t="e">
        <f ca="1">AA162/Z162</f>
        <v>#NAME?</v>
      </c>
    </row>
    <row r="163" spans="6:32">
      <c r="F163" s="672">
        <v>0</v>
      </c>
      <c r="G163" s="673">
        <v>0</v>
      </c>
      <c r="H163" s="673">
        <v>0</v>
      </c>
      <c r="I163" s="673">
        <v>0</v>
      </c>
      <c r="J163" s="673">
        <v>0</v>
      </c>
      <c r="K163" s="673">
        <v>0</v>
      </c>
      <c r="L163" s="673">
        <v>0</v>
      </c>
      <c r="M163" s="673">
        <v>0</v>
      </c>
      <c r="N163" s="673">
        <v>0</v>
      </c>
      <c r="O163" s="673">
        <v>0</v>
      </c>
      <c r="P163" s="673">
        <v>1</v>
      </c>
      <c r="Q163" s="673">
        <v>0</v>
      </c>
      <c r="R163" s="673">
        <v>0</v>
      </c>
      <c r="S163" s="672">
        <v>0</v>
      </c>
      <c r="T163" s="674">
        <v>1</v>
      </c>
      <c r="U163" s="675">
        <v>83</v>
      </c>
      <c r="Y163" s="367" t="s">
        <v>1</v>
      </c>
      <c r="Z163" s="367">
        <f>Z157-1</f>
        <v>41</v>
      </c>
      <c r="AA163" s="367">
        <f>DEVSQ(U152:U193)</f>
        <v>765790.4761904761</v>
      </c>
      <c r="AB163" s="367"/>
      <c r="AC163" s="367"/>
      <c r="AD163" s="367"/>
      <c r="AE163" s="367"/>
    </row>
    <row r="164" spans="6:32" ht="15.75" thickBot="1">
      <c r="F164" s="672">
        <v>0</v>
      </c>
      <c r="G164" s="673">
        <v>0</v>
      </c>
      <c r="H164" s="673">
        <v>0</v>
      </c>
      <c r="I164" s="673">
        <v>0</v>
      </c>
      <c r="J164" s="673">
        <v>0</v>
      </c>
      <c r="K164" s="673">
        <v>0</v>
      </c>
      <c r="L164" s="673">
        <v>0</v>
      </c>
      <c r="M164" s="673">
        <v>0</v>
      </c>
      <c r="N164" s="673">
        <v>0</v>
      </c>
      <c r="O164" s="673">
        <v>0</v>
      </c>
      <c r="P164" s="673">
        <v>0</v>
      </c>
      <c r="Q164" s="673">
        <v>1</v>
      </c>
      <c r="R164" s="673">
        <v>0</v>
      </c>
      <c r="S164" s="672">
        <v>0</v>
      </c>
      <c r="T164" s="674">
        <v>1</v>
      </c>
      <c r="U164" s="675">
        <v>38</v>
      </c>
    </row>
    <row r="165" spans="6:32" ht="15.75" thickTop="1">
      <c r="F165" s="672">
        <v>0</v>
      </c>
      <c r="G165" s="673">
        <v>0</v>
      </c>
      <c r="H165" s="673">
        <v>0</v>
      </c>
      <c r="I165" s="673">
        <v>0</v>
      </c>
      <c r="J165" s="673">
        <v>0</v>
      </c>
      <c r="K165" s="673">
        <v>0</v>
      </c>
      <c r="L165" s="673">
        <v>0</v>
      </c>
      <c r="M165" s="673">
        <v>0</v>
      </c>
      <c r="N165" s="673">
        <v>0</v>
      </c>
      <c r="O165" s="673">
        <v>0</v>
      </c>
      <c r="P165" s="673">
        <v>0</v>
      </c>
      <c r="Q165" s="673">
        <v>0</v>
      </c>
      <c r="R165" s="673">
        <v>1</v>
      </c>
      <c r="S165" s="672">
        <v>0</v>
      </c>
      <c r="T165" s="674">
        <v>1</v>
      </c>
      <c r="U165" s="675">
        <v>71</v>
      </c>
      <c r="Y165" s="398"/>
      <c r="Z165" s="398" t="s">
        <v>600</v>
      </c>
      <c r="AA165" s="398" t="s">
        <v>503</v>
      </c>
      <c r="AB165" s="398" t="s">
        <v>27</v>
      </c>
      <c r="AC165" s="398" t="s">
        <v>30</v>
      </c>
      <c r="AD165" s="398" t="s">
        <v>13</v>
      </c>
      <c r="AE165" s="398" t="s">
        <v>14</v>
      </c>
      <c r="AF165" s="398" t="s">
        <v>750</v>
      </c>
    </row>
    <row r="166" spans="6:32">
      <c r="F166" s="665">
        <v>0</v>
      </c>
      <c r="G166" s="666">
        <v>0</v>
      </c>
      <c r="H166" s="666">
        <v>0</v>
      </c>
      <c r="I166" s="666">
        <v>0</v>
      </c>
      <c r="J166" s="666">
        <v>0</v>
      </c>
      <c r="K166" s="666">
        <v>0</v>
      </c>
      <c r="L166" s="666">
        <v>0</v>
      </c>
      <c r="M166" s="666">
        <v>0</v>
      </c>
      <c r="N166" s="666">
        <v>0</v>
      </c>
      <c r="O166" s="666">
        <v>0</v>
      </c>
      <c r="P166" s="666">
        <v>0</v>
      </c>
      <c r="Q166" s="666">
        <v>0</v>
      </c>
      <c r="R166" s="666">
        <v>0</v>
      </c>
      <c r="S166" s="665">
        <v>0</v>
      </c>
      <c r="T166" s="667">
        <v>0</v>
      </c>
      <c r="U166" s="668">
        <v>278</v>
      </c>
      <c r="Y166" t="s">
        <v>212</v>
      </c>
      <c r="Z166" t="e">
        <f t="array" aca="1" ref="Z166:AA181" ca="1">RegCoeff(F152:T193,U152:U193)</f>
        <v>#NAME?</v>
      </c>
      <c r="AA166" t="e">
        <f ca="1"/>
        <v>#NAME?</v>
      </c>
      <c r="AB166" t="e">
        <f ca="1">Z166/AA166</f>
        <v>#NAME?</v>
      </c>
      <c r="AC166" t="e">
        <f ca="1">TDIST(ABS(AB166),$Z$162,2)</f>
        <v>#NAME?</v>
      </c>
      <c r="AD166" t="e">
        <f ca="1">Z166-TINV(AD$159,$Z$162)*AA166</f>
        <v>#NAME?</v>
      </c>
      <c r="AE166" t="e">
        <f ca="1">Z166+TINV(AD$159,$Z$162)*AA166</f>
        <v>#NAME?</v>
      </c>
    </row>
    <row r="167" spans="6:32">
      <c r="F167" s="672">
        <v>1</v>
      </c>
      <c r="G167" s="673">
        <v>0</v>
      </c>
      <c r="H167" s="673">
        <v>0</v>
      </c>
      <c r="I167" s="673">
        <v>0</v>
      </c>
      <c r="J167" s="673">
        <v>0</v>
      </c>
      <c r="K167" s="673">
        <v>0</v>
      </c>
      <c r="L167" s="673">
        <v>0</v>
      </c>
      <c r="M167" s="673">
        <v>0</v>
      </c>
      <c r="N167" s="673">
        <v>0</v>
      </c>
      <c r="O167" s="673">
        <v>0</v>
      </c>
      <c r="P167" s="673">
        <v>0</v>
      </c>
      <c r="Q167" s="673">
        <v>0</v>
      </c>
      <c r="R167" s="673">
        <v>0</v>
      </c>
      <c r="S167" s="672">
        <v>0</v>
      </c>
      <c r="T167" s="674">
        <v>0</v>
      </c>
      <c r="U167" s="675">
        <v>207</v>
      </c>
      <c r="Y167">
        <f t="array" ref="Y167:Y181">TRANSPOSE(F151:T151)</f>
        <v>2</v>
      </c>
      <c r="Z167" t="e">
        <f ca="1"/>
        <v>#NAME?</v>
      </c>
      <c r="AA167" t="e">
        <f ca="1"/>
        <v>#NAME?</v>
      </c>
      <c r="AB167" t="e">
        <f t="shared" ref="AB167:AB181" ca="1" si="12">Z167/AA167</f>
        <v>#NAME?</v>
      </c>
      <c r="AC167" t="e">
        <f t="shared" ref="AC167:AC181" ca="1" si="13">TDIST(ABS(AB167),$Z$162,2)</f>
        <v>#NAME?</v>
      </c>
      <c r="AD167" t="e">
        <f t="shared" ref="AD167:AD181" ca="1" si="14">Z167-TINV(AD$159,$Z$162)*AA167</f>
        <v>#NAME?</v>
      </c>
      <c r="AE167" t="e">
        <f t="shared" ref="AE167:AE181" ca="1" si="15">Z167+TINV(AD$159,$Z$162)*AA167</f>
        <v>#NAME?</v>
      </c>
      <c r="AF167" t="e">
        <f ca="1">VIF(F152:T193,1)</f>
        <v>#NAME?</v>
      </c>
    </row>
    <row r="168" spans="6:32">
      <c r="F168" s="672">
        <v>0</v>
      </c>
      <c r="G168" s="673">
        <v>1</v>
      </c>
      <c r="H168" s="673">
        <v>0</v>
      </c>
      <c r="I168" s="673">
        <v>0</v>
      </c>
      <c r="J168" s="673">
        <v>0</v>
      </c>
      <c r="K168" s="673">
        <v>0</v>
      </c>
      <c r="L168" s="673">
        <v>0</v>
      </c>
      <c r="M168" s="673">
        <v>0</v>
      </c>
      <c r="N168" s="673">
        <v>0</v>
      </c>
      <c r="O168" s="673">
        <v>0</v>
      </c>
      <c r="P168" s="673">
        <v>0</v>
      </c>
      <c r="Q168" s="673">
        <v>0</v>
      </c>
      <c r="R168" s="673">
        <v>0</v>
      </c>
      <c r="S168" s="672">
        <v>0</v>
      </c>
      <c r="T168" s="674">
        <v>0</v>
      </c>
      <c r="U168" s="675">
        <v>261</v>
      </c>
      <c r="Y168">
        <v>3</v>
      </c>
      <c r="Z168" t="e">
        <f ca="1"/>
        <v>#NAME?</v>
      </c>
      <c r="AA168" t="e">
        <f ca="1"/>
        <v>#NAME?</v>
      </c>
      <c r="AB168" t="e">
        <f t="shared" ca="1" si="12"/>
        <v>#NAME?</v>
      </c>
      <c r="AC168" t="e">
        <f t="shared" ca="1" si="13"/>
        <v>#NAME?</v>
      </c>
      <c r="AD168" t="e">
        <f t="shared" ca="1" si="14"/>
        <v>#NAME?</v>
      </c>
      <c r="AE168" t="e">
        <f t="shared" ca="1" si="15"/>
        <v>#NAME?</v>
      </c>
      <c r="AF168" t="e">
        <f ca="1">VIF(F152:T193,2)</f>
        <v>#NAME?</v>
      </c>
    </row>
    <row r="169" spans="6:32">
      <c r="F169" s="672">
        <v>0</v>
      </c>
      <c r="G169" s="673">
        <v>0</v>
      </c>
      <c r="H169" s="673">
        <v>1</v>
      </c>
      <c r="I169" s="673">
        <v>0</v>
      </c>
      <c r="J169" s="673">
        <v>0</v>
      </c>
      <c r="K169" s="673">
        <v>0</v>
      </c>
      <c r="L169" s="673">
        <v>0</v>
      </c>
      <c r="M169" s="673">
        <v>0</v>
      </c>
      <c r="N169" s="673">
        <v>0</v>
      </c>
      <c r="O169" s="673">
        <v>0</v>
      </c>
      <c r="P169" s="673">
        <v>0</v>
      </c>
      <c r="Q169" s="673">
        <v>0</v>
      </c>
      <c r="R169" s="673">
        <v>0</v>
      </c>
      <c r="S169" s="672">
        <v>0</v>
      </c>
      <c r="T169" s="674">
        <v>0</v>
      </c>
      <c r="U169" s="675">
        <v>286</v>
      </c>
      <c r="Y169">
        <v>4</v>
      </c>
      <c r="Z169" t="e">
        <f ca="1"/>
        <v>#NAME?</v>
      </c>
      <c r="AA169" t="e">
        <f ca="1"/>
        <v>#NAME?</v>
      </c>
      <c r="AB169" t="e">
        <f t="shared" ca="1" si="12"/>
        <v>#NAME?</v>
      </c>
      <c r="AC169" t="e">
        <f t="shared" ca="1" si="13"/>
        <v>#NAME?</v>
      </c>
      <c r="AD169" t="e">
        <f t="shared" ca="1" si="14"/>
        <v>#NAME?</v>
      </c>
      <c r="AE169" t="e">
        <f t="shared" ca="1" si="15"/>
        <v>#NAME?</v>
      </c>
      <c r="AF169" t="e">
        <f ca="1">VIF(F152:T193,3)</f>
        <v>#NAME?</v>
      </c>
    </row>
    <row r="170" spans="6:32">
      <c r="F170" s="672">
        <v>0</v>
      </c>
      <c r="G170" s="673">
        <v>0</v>
      </c>
      <c r="H170" s="673">
        <v>0</v>
      </c>
      <c r="I170" s="673">
        <v>1</v>
      </c>
      <c r="J170" s="673">
        <v>0</v>
      </c>
      <c r="K170" s="673">
        <v>0</v>
      </c>
      <c r="L170" s="673">
        <v>0</v>
      </c>
      <c r="M170" s="673">
        <v>0</v>
      </c>
      <c r="N170" s="673">
        <v>0</v>
      </c>
      <c r="O170" s="673">
        <v>0</v>
      </c>
      <c r="P170" s="673">
        <v>0</v>
      </c>
      <c r="Q170" s="673">
        <v>0</v>
      </c>
      <c r="R170" s="673">
        <v>0</v>
      </c>
      <c r="S170" s="678">
        <v>0</v>
      </c>
      <c r="T170" s="679">
        <v>0</v>
      </c>
      <c r="U170" s="675">
        <v>306</v>
      </c>
      <c r="Y170">
        <v>5</v>
      </c>
      <c r="Z170" t="e">
        <f ca="1"/>
        <v>#NAME?</v>
      </c>
      <c r="AA170" t="e">
        <f ca="1"/>
        <v>#NAME?</v>
      </c>
      <c r="AB170" t="e">
        <f t="shared" ca="1" si="12"/>
        <v>#NAME?</v>
      </c>
      <c r="AC170" t="e">
        <f t="shared" ca="1" si="13"/>
        <v>#NAME?</v>
      </c>
      <c r="AD170" t="e">
        <f t="shared" ca="1" si="14"/>
        <v>#NAME?</v>
      </c>
      <c r="AE170" t="e">
        <f t="shared" ca="1" si="15"/>
        <v>#NAME?</v>
      </c>
      <c r="AF170" t="e">
        <f ca="1">VIF(F152:T193,4)</f>
        <v>#NAME?</v>
      </c>
    </row>
    <row r="171" spans="6:32">
      <c r="F171" s="672">
        <v>0</v>
      </c>
      <c r="G171" s="673">
        <v>0</v>
      </c>
      <c r="H171" s="673">
        <v>0</v>
      </c>
      <c r="I171" s="673">
        <v>0</v>
      </c>
      <c r="J171" s="673">
        <v>1</v>
      </c>
      <c r="K171" s="673">
        <v>0</v>
      </c>
      <c r="L171" s="673">
        <v>0</v>
      </c>
      <c r="M171" s="673">
        <v>0</v>
      </c>
      <c r="N171" s="673">
        <v>0</v>
      </c>
      <c r="O171" s="673">
        <v>0</v>
      </c>
      <c r="P171" s="673">
        <v>0</v>
      </c>
      <c r="Q171" s="673">
        <v>0</v>
      </c>
      <c r="R171" s="673">
        <v>0</v>
      </c>
      <c r="S171" s="665">
        <v>1</v>
      </c>
      <c r="T171" s="667">
        <v>0</v>
      </c>
      <c r="U171" s="668">
        <v>172</v>
      </c>
      <c r="Y171">
        <v>6</v>
      </c>
      <c r="Z171" t="e">
        <f ca="1"/>
        <v>#NAME?</v>
      </c>
      <c r="AA171" t="e">
        <f ca="1"/>
        <v>#NAME?</v>
      </c>
      <c r="AB171" t="e">
        <f t="shared" ca="1" si="12"/>
        <v>#NAME?</v>
      </c>
      <c r="AC171" t="e">
        <f t="shared" ca="1" si="13"/>
        <v>#NAME?</v>
      </c>
      <c r="AD171" t="e">
        <f t="shared" ca="1" si="14"/>
        <v>#NAME?</v>
      </c>
      <c r="AE171" t="e">
        <f t="shared" ca="1" si="15"/>
        <v>#NAME?</v>
      </c>
      <c r="AF171" t="e">
        <f ca="1">VIF(F152:T193,5)</f>
        <v>#NAME?</v>
      </c>
    </row>
    <row r="172" spans="6:32">
      <c r="F172" s="672">
        <v>0</v>
      </c>
      <c r="G172" s="673">
        <v>0</v>
      </c>
      <c r="H172" s="673">
        <v>0</v>
      </c>
      <c r="I172" s="673">
        <v>0</v>
      </c>
      <c r="J172" s="673">
        <v>0</v>
      </c>
      <c r="K172" s="673">
        <v>1</v>
      </c>
      <c r="L172" s="673">
        <v>0</v>
      </c>
      <c r="M172" s="673">
        <v>0</v>
      </c>
      <c r="N172" s="673">
        <v>0</v>
      </c>
      <c r="O172" s="673">
        <v>0</v>
      </c>
      <c r="P172" s="673">
        <v>0</v>
      </c>
      <c r="Q172" s="673">
        <v>0</v>
      </c>
      <c r="R172" s="673">
        <v>0</v>
      </c>
      <c r="S172" s="672">
        <v>1</v>
      </c>
      <c r="T172" s="674">
        <v>0</v>
      </c>
      <c r="U172" s="675">
        <v>116</v>
      </c>
      <c r="Y172">
        <v>7</v>
      </c>
      <c r="Z172" t="e">
        <f ca="1"/>
        <v>#NAME?</v>
      </c>
      <c r="AA172" t="e">
        <f ca="1"/>
        <v>#NAME?</v>
      </c>
      <c r="AB172" t="e">
        <f t="shared" ca="1" si="12"/>
        <v>#NAME?</v>
      </c>
      <c r="AC172" t="e">
        <f t="shared" ca="1" si="13"/>
        <v>#NAME?</v>
      </c>
      <c r="AD172" t="e">
        <f t="shared" ca="1" si="14"/>
        <v>#NAME?</v>
      </c>
      <c r="AE172" t="e">
        <f t="shared" ca="1" si="15"/>
        <v>#NAME?</v>
      </c>
      <c r="AF172" t="e">
        <f ca="1">VIF(F152:T193,6)</f>
        <v>#NAME?</v>
      </c>
    </row>
    <row r="173" spans="6:32">
      <c r="F173" s="672">
        <v>0</v>
      </c>
      <c r="G173" s="673">
        <v>0</v>
      </c>
      <c r="H173" s="673">
        <v>0</v>
      </c>
      <c r="I173" s="673">
        <v>0</v>
      </c>
      <c r="J173" s="673">
        <v>0</v>
      </c>
      <c r="K173" s="673">
        <v>0</v>
      </c>
      <c r="L173" s="673">
        <v>1</v>
      </c>
      <c r="M173" s="673">
        <v>0</v>
      </c>
      <c r="N173" s="673">
        <v>0</v>
      </c>
      <c r="O173" s="673">
        <v>0</v>
      </c>
      <c r="P173" s="673">
        <v>0</v>
      </c>
      <c r="Q173" s="673">
        <v>0</v>
      </c>
      <c r="R173" s="673">
        <v>0</v>
      </c>
      <c r="S173" s="672">
        <v>1</v>
      </c>
      <c r="T173" s="674">
        <v>0</v>
      </c>
      <c r="U173" s="675">
        <v>168</v>
      </c>
      <c r="Y173">
        <v>8</v>
      </c>
      <c r="Z173" t="e">
        <f ca="1"/>
        <v>#NAME?</v>
      </c>
      <c r="AA173" t="e">
        <f ca="1"/>
        <v>#NAME?</v>
      </c>
      <c r="AB173" t="e">
        <f t="shared" ca="1" si="12"/>
        <v>#NAME?</v>
      </c>
      <c r="AC173" t="e">
        <f t="shared" ca="1" si="13"/>
        <v>#NAME?</v>
      </c>
      <c r="AD173" t="e">
        <f t="shared" ca="1" si="14"/>
        <v>#NAME?</v>
      </c>
      <c r="AE173" t="e">
        <f t="shared" ca="1" si="15"/>
        <v>#NAME?</v>
      </c>
      <c r="AF173" t="e">
        <f ca="1">VIF(F152:T193,7)</f>
        <v>#NAME?</v>
      </c>
    </row>
    <row r="174" spans="6:32">
      <c r="F174" s="672">
        <v>0</v>
      </c>
      <c r="G174" s="673">
        <v>0</v>
      </c>
      <c r="H174" s="673">
        <v>0</v>
      </c>
      <c r="I174" s="673">
        <v>0</v>
      </c>
      <c r="J174" s="673">
        <v>0</v>
      </c>
      <c r="K174" s="673">
        <v>0</v>
      </c>
      <c r="L174" s="673">
        <v>0</v>
      </c>
      <c r="M174" s="673">
        <v>1</v>
      </c>
      <c r="N174" s="673">
        <v>0</v>
      </c>
      <c r="O174" s="673">
        <v>0</v>
      </c>
      <c r="P174" s="673">
        <v>0</v>
      </c>
      <c r="Q174" s="673">
        <v>0</v>
      </c>
      <c r="R174" s="673">
        <v>0</v>
      </c>
      <c r="S174" s="672">
        <v>1</v>
      </c>
      <c r="T174" s="674">
        <v>0</v>
      </c>
      <c r="U174" s="675">
        <v>81</v>
      </c>
      <c r="Y174">
        <v>9</v>
      </c>
      <c r="Z174" t="e">
        <f ca="1"/>
        <v>#NAME?</v>
      </c>
      <c r="AA174" t="e">
        <f ca="1"/>
        <v>#NAME?</v>
      </c>
      <c r="AB174" t="e">
        <f t="shared" ca="1" si="12"/>
        <v>#NAME?</v>
      </c>
      <c r="AC174" t="e">
        <f t="shared" ca="1" si="13"/>
        <v>#NAME?</v>
      </c>
      <c r="AD174" t="e">
        <f t="shared" ca="1" si="14"/>
        <v>#NAME?</v>
      </c>
      <c r="AE174" t="e">
        <f t="shared" ca="1" si="15"/>
        <v>#NAME?</v>
      </c>
      <c r="AF174" t="e">
        <f ca="1">VIF(F152:T193,8)</f>
        <v>#NAME?</v>
      </c>
    </row>
    <row r="175" spans="6:32">
      <c r="F175" s="672">
        <v>0</v>
      </c>
      <c r="G175" s="673">
        <v>0</v>
      </c>
      <c r="H175" s="673">
        <v>0</v>
      </c>
      <c r="I175" s="673">
        <v>0</v>
      </c>
      <c r="J175" s="673">
        <v>0</v>
      </c>
      <c r="K175" s="673">
        <v>0</v>
      </c>
      <c r="L175" s="673">
        <v>0</v>
      </c>
      <c r="M175" s="673">
        <v>0</v>
      </c>
      <c r="N175" s="673">
        <v>1</v>
      </c>
      <c r="O175" s="673">
        <v>0</v>
      </c>
      <c r="P175" s="673">
        <v>0</v>
      </c>
      <c r="Q175" s="673">
        <v>0</v>
      </c>
      <c r="R175" s="673">
        <v>0</v>
      </c>
      <c r="S175" s="678">
        <v>1</v>
      </c>
      <c r="T175" s="679">
        <v>0</v>
      </c>
      <c r="U175" s="680">
        <v>54</v>
      </c>
      <c r="Y175">
        <v>10</v>
      </c>
      <c r="Z175" t="e">
        <f ca="1"/>
        <v>#NAME?</v>
      </c>
      <c r="AA175" t="e">
        <f ca="1"/>
        <v>#NAME?</v>
      </c>
      <c r="AB175" t="e">
        <f t="shared" ca="1" si="12"/>
        <v>#NAME?</v>
      </c>
      <c r="AC175" t="e">
        <f t="shared" ca="1" si="13"/>
        <v>#NAME?</v>
      </c>
      <c r="AD175" t="e">
        <f t="shared" ca="1" si="14"/>
        <v>#NAME?</v>
      </c>
      <c r="AE175" t="e">
        <f t="shared" ca="1" si="15"/>
        <v>#NAME?</v>
      </c>
      <c r="AF175" t="e">
        <f ca="1">VIF(F152:T193,9)</f>
        <v>#NAME?</v>
      </c>
    </row>
    <row r="176" spans="6:32">
      <c r="F176" s="672">
        <v>0</v>
      </c>
      <c r="G176" s="673">
        <v>0</v>
      </c>
      <c r="H176" s="673">
        <v>0</v>
      </c>
      <c r="I176" s="673">
        <v>0</v>
      </c>
      <c r="J176" s="673">
        <v>0</v>
      </c>
      <c r="K176" s="673">
        <v>0</v>
      </c>
      <c r="L176" s="673">
        <v>0</v>
      </c>
      <c r="M176" s="673">
        <v>0</v>
      </c>
      <c r="N176" s="673">
        <v>0</v>
      </c>
      <c r="O176" s="673">
        <v>1</v>
      </c>
      <c r="P176" s="673">
        <v>0</v>
      </c>
      <c r="Q176" s="673">
        <v>0</v>
      </c>
      <c r="R176" s="673">
        <v>0</v>
      </c>
      <c r="S176" s="672">
        <v>0</v>
      </c>
      <c r="T176" s="674">
        <v>1</v>
      </c>
      <c r="U176" s="675">
        <v>124</v>
      </c>
      <c r="Y176">
        <v>11</v>
      </c>
      <c r="Z176" t="e">
        <f ca="1"/>
        <v>#NAME?</v>
      </c>
      <c r="AA176" t="e">
        <f ca="1"/>
        <v>#NAME?</v>
      </c>
      <c r="AB176" t="e">
        <f t="shared" ca="1" si="12"/>
        <v>#NAME?</v>
      </c>
      <c r="AC176" t="e">
        <f t="shared" ca="1" si="13"/>
        <v>#NAME?</v>
      </c>
      <c r="AD176" t="e">
        <f t="shared" ca="1" si="14"/>
        <v>#NAME?</v>
      </c>
      <c r="AE176" t="e">
        <f t="shared" ca="1" si="15"/>
        <v>#NAME?</v>
      </c>
      <c r="AF176" t="e">
        <f ca="1">VIF(F152:T193,10)</f>
        <v>#NAME?</v>
      </c>
    </row>
    <row r="177" spans="6:32">
      <c r="F177" s="672">
        <v>0</v>
      </c>
      <c r="G177" s="673">
        <v>0</v>
      </c>
      <c r="H177" s="673">
        <v>0</v>
      </c>
      <c r="I177" s="673">
        <v>0</v>
      </c>
      <c r="J177" s="673">
        <v>0</v>
      </c>
      <c r="K177" s="673">
        <v>0</v>
      </c>
      <c r="L177" s="673">
        <v>0</v>
      </c>
      <c r="M177" s="673">
        <v>0</v>
      </c>
      <c r="N177" s="673">
        <v>0</v>
      </c>
      <c r="O177" s="673">
        <v>0</v>
      </c>
      <c r="P177" s="673">
        <v>1</v>
      </c>
      <c r="Q177" s="673">
        <v>0</v>
      </c>
      <c r="R177" s="673">
        <v>0</v>
      </c>
      <c r="S177" s="672">
        <v>0</v>
      </c>
      <c r="T177" s="674">
        <v>1</v>
      </c>
      <c r="U177" s="675">
        <v>266</v>
      </c>
      <c r="Y177">
        <v>12</v>
      </c>
      <c r="Z177" t="e">
        <f ca="1"/>
        <v>#NAME?</v>
      </c>
      <c r="AA177" t="e">
        <f ca="1"/>
        <v>#NAME?</v>
      </c>
      <c r="AB177" t="e">
        <f t="shared" ca="1" si="12"/>
        <v>#NAME?</v>
      </c>
      <c r="AC177" t="e">
        <f t="shared" ca="1" si="13"/>
        <v>#NAME?</v>
      </c>
      <c r="AD177" t="e">
        <f t="shared" ca="1" si="14"/>
        <v>#NAME?</v>
      </c>
      <c r="AE177" t="e">
        <f t="shared" ca="1" si="15"/>
        <v>#NAME?</v>
      </c>
      <c r="AF177" t="e">
        <f ca="1">VIF(F152:T193,11)</f>
        <v>#NAME?</v>
      </c>
    </row>
    <row r="178" spans="6:32">
      <c r="F178" s="672">
        <v>0</v>
      </c>
      <c r="G178" s="673">
        <v>0</v>
      </c>
      <c r="H178" s="673">
        <v>0</v>
      </c>
      <c r="I178" s="673">
        <v>0</v>
      </c>
      <c r="J178" s="673">
        <v>0</v>
      </c>
      <c r="K178" s="673">
        <v>0</v>
      </c>
      <c r="L178" s="673">
        <v>0</v>
      </c>
      <c r="M178" s="673">
        <v>0</v>
      </c>
      <c r="N178" s="673">
        <v>0</v>
      </c>
      <c r="O178" s="673">
        <v>0</v>
      </c>
      <c r="P178" s="673">
        <v>0</v>
      </c>
      <c r="Q178" s="673">
        <v>1</v>
      </c>
      <c r="R178" s="673">
        <v>0</v>
      </c>
      <c r="S178" s="672">
        <v>0</v>
      </c>
      <c r="T178" s="674">
        <v>1</v>
      </c>
      <c r="U178" s="675">
        <v>207</v>
      </c>
      <c r="Y178">
        <v>13</v>
      </c>
      <c r="Z178" t="e">
        <f ca="1"/>
        <v>#NAME?</v>
      </c>
      <c r="AA178" t="e">
        <f ca="1"/>
        <v>#NAME?</v>
      </c>
      <c r="AB178" t="e">
        <f t="shared" ca="1" si="12"/>
        <v>#NAME?</v>
      </c>
      <c r="AC178" t="e">
        <f t="shared" ca="1" si="13"/>
        <v>#NAME?</v>
      </c>
      <c r="AD178" t="e">
        <f t="shared" ca="1" si="14"/>
        <v>#NAME?</v>
      </c>
      <c r="AE178" t="e">
        <f t="shared" ca="1" si="15"/>
        <v>#NAME?</v>
      </c>
      <c r="AF178" t="e">
        <f ca="1">VIF(F152:T193,12)</f>
        <v>#NAME?</v>
      </c>
    </row>
    <row r="179" spans="6:32">
      <c r="F179" s="672">
        <v>0</v>
      </c>
      <c r="G179" s="673">
        <v>0</v>
      </c>
      <c r="H179" s="673">
        <v>0</v>
      </c>
      <c r="I179" s="673">
        <v>0</v>
      </c>
      <c r="J179" s="673">
        <v>0</v>
      </c>
      <c r="K179" s="673">
        <v>0</v>
      </c>
      <c r="L179" s="673">
        <v>0</v>
      </c>
      <c r="M179" s="673">
        <v>0</v>
      </c>
      <c r="N179" s="673">
        <v>0</v>
      </c>
      <c r="O179" s="673">
        <v>0</v>
      </c>
      <c r="P179" s="673">
        <v>0</v>
      </c>
      <c r="Q179" s="673">
        <v>0</v>
      </c>
      <c r="R179" s="673">
        <v>1</v>
      </c>
      <c r="S179" s="672">
        <v>0</v>
      </c>
      <c r="T179" s="674">
        <v>1</v>
      </c>
      <c r="U179" s="675">
        <v>285</v>
      </c>
      <c r="Y179">
        <v>14</v>
      </c>
      <c r="Z179" t="e">
        <f ca="1"/>
        <v>#NAME?</v>
      </c>
      <c r="AA179" t="e">
        <f ca="1"/>
        <v>#NAME?</v>
      </c>
      <c r="AB179" t="e">
        <f t="shared" ca="1" si="12"/>
        <v>#NAME?</v>
      </c>
      <c r="AC179" t="e">
        <f t="shared" ca="1" si="13"/>
        <v>#NAME?</v>
      </c>
      <c r="AD179" t="e">
        <f t="shared" ca="1" si="14"/>
        <v>#NAME?</v>
      </c>
      <c r="AE179" t="e">
        <f t="shared" ca="1" si="15"/>
        <v>#NAME?</v>
      </c>
      <c r="AF179" t="e">
        <f ca="1">VIF(F152:T193,13)</f>
        <v>#NAME?</v>
      </c>
    </row>
    <row r="180" spans="6:32">
      <c r="F180" s="665">
        <v>0</v>
      </c>
      <c r="G180" s="666">
        <v>0</v>
      </c>
      <c r="H180" s="666">
        <v>0</v>
      </c>
      <c r="I180" s="666">
        <v>0</v>
      </c>
      <c r="J180" s="666">
        <v>0</v>
      </c>
      <c r="K180" s="666">
        <v>0</v>
      </c>
      <c r="L180" s="666">
        <v>0</v>
      </c>
      <c r="M180" s="666">
        <v>0</v>
      </c>
      <c r="N180" s="666">
        <v>0</v>
      </c>
      <c r="O180" s="666">
        <v>0</v>
      </c>
      <c r="P180" s="666">
        <v>0</v>
      </c>
      <c r="Q180" s="666">
        <v>0</v>
      </c>
      <c r="R180" s="666">
        <v>0</v>
      </c>
      <c r="S180" s="665">
        <v>0</v>
      </c>
      <c r="T180" s="667">
        <v>0</v>
      </c>
      <c r="U180" s="668">
        <v>442</v>
      </c>
      <c r="Y180" t="str">
        <v>mid</v>
      </c>
      <c r="Z180" t="e">
        <f ca="1"/>
        <v>#NAME?</v>
      </c>
      <c r="AA180" t="e">
        <f ca="1"/>
        <v>#NAME?</v>
      </c>
      <c r="AB180" t="e">
        <f t="shared" ca="1" si="12"/>
        <v>#NAME?</v>
      </c>
      <c r="AC180" t="e">
        <f t="shared" ca="1" si="13"/>
        <v>#NAME?</v>
      </c>
      <c r="AD180" t="e">
        <f t="shared" ca="1" si="14"/>
        <v>#NAME?</v>
      </c>
      <c r="AE180" t="e">
        <f t="shared" ca="1" si="15"/>
        <v>#NAME?</v>
      </c>
      <c r="AF180" t="e">
        <f ca="1">VIF(F152:T193,14)</f>
        <v>#NAME?</v>
      </c>
    </row>
    <row r="181" spans="6:32">
      <c r="F181" s="672">
        <v>1</v>
      </c>
      <c r="G181" s="673">
        <v>0</v>
      </c>
      <c r="H181" s="673">
        <v>0</v>
      </c>
      <c r="I181" s="673">
        <v>0</v>
      </c>
      <c r="J181" s="673">
        <v>0</v>
      </c>
      <c r="K181" s="673">
        <v>0</v>
      </c>
      <c r="L181" s="673">
        <v>0</v>
      </c>
      <c r="M181" s="673">
        <v>0</v>
      </c>
      <c r="N181" s="673">
        <v>0</v>
      </c>
      <c r="O181" s="673">
        <v>0</v>
      </c>
      <c r="P181" s="673">
        <v>0</v>
      </c>
      <c r="Q181" s="673">
        <v>0</v>
      </c>
      <c r="R181" s="673">
        <v>0</v>
      </c>
      <c r="S181" s="672">
        <v>0</v>
      </c>
      <c r="T181" s="674">
        <v>0</v>
      </c>
      <c r="U181" s="675">
        <v>341</v>
      </c>
      <c r="Y181" s="367" t="str">
        <v>old</v>
      </c>
      <c r="Z181" s="367" t="e">
        <f ca="1"/>
        <v>#NAME?</v>
      </c>
      <c r="AA181" s="367" t="e">
        <f ca="1"/>
        <v>#NAME?</v>
      </c>
      <c r="AB181" s="367" t="e">
        <f t="shared" ca="1" si="12"/>
        <v>#NAME?</v>
      </c>
      <c r="AC181" s="367" t="e">
        <f t="shared" ca="1" si="13"/>
        <v>#NAME?</v>
      </c>
      <c r="AD181" s="367" t="e">
        <f t="shared" ca="1" si="14"/>
        <v>#NAME?</v>
      </c>
      <c r="AE181" s="367" t="e">
        <f t="shared" ca="1" si="15"/>
        <v>#NAME?</v>
      </c>
      <c r="AF181" s="367" t="e">
        <f ca="1">VIF(F152:T193,15)</f>
        <v>#NAME?</v>
      </c>
    </row>
    <row r="182" spans="6:32">
      <c r="F182" s="672">
        <v>0</v>
      </c>
      <c r="G182" s="673">
        <v>1</v>
      </c>
      <c r="H182" s="673">
        <v>0</v>
      </c>
      <c r="I182" s="673">
        <v>0</v>
      </c>
      <c r="J182" s="673">
        <v>0</v>
      </c>
      <c r="K182" s="673">
        <v>0</v>
      </c>
      <c r="L182" s="673">
        <v>0</v>
      </c>
      <c r="M182" s="673">
        <v>0</v>
      </c>
      <c r="N182" s="673">
        <v>0</v>
      </c>
      <c r="O182" s="673">
        <v>0</v>
      </c>
      <c r="P182" s="673">
        <v>0</v>
      </c>
      <c r="Q182" s="673">
        <v>0</v>
      </c>
      <c r="R182" s="673">
        <v>0</v>
      </c>
      <c r="S182" s="672">
        <v>0</v>
      </c>
      <c r="T182" s="674">
        <v>0</v>
      </c>
      <c r="U182" s="675">
        <v>384</v>
      </c>
    </row>
    <row r="183" spans="6:32">
      <c r="F183" s="672">
        <v>0</v>
      </c>
      <c r="G183" s="673">
        <v>0</v>
      </c>
      <c r="H183" s="673">
        <v>1</v>
      </c>
      <c r="I183" s="673">
        <v>0</v>
      </c>
      <c r="J183" s="673">
        <v>0</v>
      </c>
      <c r="K183" s="673">
        <v>0</v>
      </c>
      <c r="L183" s="673">
        <v>0</v>
      </c>
      <c r="M183" s="673">
        <v>0</v>
      </c>
      <c r="N183" s="673">
        <v>0</v>
      </c>
      <c r="O183" s="673">
        <v>0</v>
      </c>
      <c r="P183" s="673">
        <v>0</v>
      </c>
      <c r="Q183" s="673">
        <v>0</v>
      </c>
      <c r="R183" s="673">
        <v>0</v>
      </c>
      <c r="S183" s="672">
        <v>0</v>
      </c>
      <c r="T183" s="674">
        <v>0</v>
      </c>
      <c r="U183" s="675">
        <v>401</v>
      </c>
    </row>
    <row r="184" spans="6:32">
      <c r="F184" s="672">
        <v>0</v>
      </c>
      <c r="G184" s="673">
        <v>0</v>
      </c>
      <c r="H184" s="673">
        <v>0</v>
      </c>
      <c r="I184" s="673">
        <v>1</v>
      </c>
      <c r="J184" s="673">
        <v>0</v>
      </c>
      <c r="K184" s="673">
        <v>0</v>
      </c>
      <c r="L184" s="673">
        <v>0</v>
      </c>
      <c r="M184" s="673">
        <v>0</v>
      </c>
      <c r="N184" s="673">
        <v>0</v>
      </c>
      <c r="O184" s="673">
        <v>0</v>
      </c>
      <c r="P184" s="673">
        <v>0</v>
      </c>
      <c r="Q184" s="673">
        <v>0</v>
      </c>
      <c r="R184" s="673">
        <v>0</v>
      </c>
      <c r="S184" s="678">
        <v>0</v>
      </c>
      <c r="T184" s="679">
        <v>0</v>
      </c>
      <c r="U184" s="680">
        <v>432</v>
      </c>
    </row>
    <row r="185" spans="6:32">
      <c r="F185" s="672">
        <v>0</v>
      </c>
      <c r="G185" s="673">
        <v>0</v>
      </c>
      <c r="H185" s="673">
        <v>0</v>
      </c>
      <c r="I185" s="673">
        <v>0</v>
      </c>
      <c r="J185" s="673">
        <v>1</v>
      </c>
      <c r="K185" s="673">
        <v>0</v>
      </c>
      <c r="L185" s="673">
        <v>0</v>
      </c>
      <c r="M185" s="673">
        <v>0</v>
      </c>
      <c r="N185" s="673">
        <v>0</v>
      </c>
      <c r="O185" s="673">
        <v>0</v>
      </c>
      <c r="P185" s="673">
        <v>0</v>
      </c>
      <c r="Q185" s="673">
        <v>0</v>
      </c>
      <c r="R185" s="673">
        <v>0</v>
      </c>
      <c r="S185" s="665">
        <v>1</v>
      </c>
      <c r="T185" s="667">
        <v>0</v>
      </c>
      <c r="U185" s="668">
        <v>307</v>
      </c>
    </row>
    <row r="186" spans="6:32">
      <c r="F186" s="672">
        <v>0</v>
      </c>
      <c r="G186" s="673">
        <v>0</v>
      </c>
      <c r="H186" s="673">
        <v>0</v>
      </c>
      <c r="I186" s="673">
        <v>0</v>
      </c>
      <c r="J186" s="673">
        <v>0</v>
      </c>
      <c r="K186" s="673">
        <v>1</v>
      </c>
      <c r="L186" s="673">
        <v>0</v>
      </c>
      <c r="M186" s="673">
        <v>0</v>
      </c>
      <c r="N186" s="673">
        <v>0</v>
      </c>
      <c r="O186" s="673">
        <v>0</v>
      </c>
      <c r="P186" s="673">
        <v>0</v>
      </c>
      <c r="Q186" s="673">
        <v>0</v>
      </c>
      <c r="R186" s="673">
        <v>0</v>
      </c>
      <c r="S186" s="672">
        <v>1</v>
      </c>
      <c r="T186" s="674">
        <v>0</v>
      </c>
      <c r="U186" s="675">
        <v>425</v>
      </c>
    </row>
    <row r="187" spans="6:32">
      <c r="F187" s="672">
        <v>0</v>
      </c>
      <c r="G187" s="673">
        <v>0</v>
      </c>
      <c r="H187" s="673">
        <v>0</v>
      </c>
      <c r="I187" s="673">
        <v>0</v>
      </c>
      <c r="J187" s="673">
        <v>0</v>
      </c>
      <c r="K187" s="673">
        <v>0</v>
      </c>
      <c r="L187" s="673">
        <v>1</v>
      </c>
      <c r="M187" s="673">
        <v>0</v>
      </c>
      <c r="N187" s="673">
        <v>0</v>
      </c>
      <c r="O187" s="673">
        <v>0</v>
      </c>
      <c r="P187" s="673">
        <v>0</v>
      </c>
      <c r="Q187" s="673">
        <v>0</v>
      </c>
      <c r="R187" s="673">
        <v>0</v>
      </c>
      <c r="S187" s="672">
        <v>1</v>
      </c>
      <c r="T187" s="674">
        <v>0</v>
      </c>
      <c r="U187" s="675">
        <v>378</v>
      </c>
    </row>
    <row r="188" spans="6:32">
      <c r="F188" s="672">
        <v>0</v>
      </c>
      <c r="G188" s="673">
        <v>0</v>
      </c>
      <c r="H188" s="673">
        <v>0</v>
      </c>
      <c r="I188" s="673">
        <v>0</v>
      </c>
      <c r="J188" s="673">
        <v>0</v>
      </c>
      <c r="K188" s="673">
        <v>0</v>
      </c>
      <c r="L188" s="673">
        <v>0</v>
      </c>
      <c r="M188" s="673">
        <v>1</v>
      </c>
      <c r="N188" s="673">
        <v>0</v>
      </c>
      <c r="O188" s="673">
        <v>0</v>
      </c>
      <c r="P188" s="673">
        <v>0</v>
      </c>
      <c r="Q188" s="673">
        <v>0</v>
      </c>
      <c r="R188" s="673">
        <v>0</v>
      </c>
      <c r="S188" s="672">
        <v>1</v>
      </c>
      <c r="T188" s="674">
        <v>0</v>
      </c>
      <c r="U188" s="675">
        <v>193</v>
      </c>
    </row>
    <row r="189" spans="6:32">
      <c r="F189" s="672">
        <v>0</v>
      </c>
      <c r="G189" s="673">
        <v>0</v>
      </c>
      <c r="H189" s="673">
        <v>0</v>
      </c>
      <c r="I189" s="673">
        <v>0</v>
      </c>
      <c r="J189" s="673">
        <v>0</v>
      </c>
      <c r="K189" s="673">
        <v>0</v>
      </c>
      <c r="L189" s="673">
        <v>0</v>
      </c>
      <c r="M189" s="673">
        <v>0</v>
      </c>
      <c r="N189" s="673">
        <v>1</v>
      </c>
      <c r="O189" s="673">
        <v>0</v>
      </c>
      <c r="P189" s="673">
        <v>0</v>
      </c>
      <c r="Q189" s="673">
        <v>0</v>
      </c>
      <c r="R189" s="673">
        <v>0</v>
      </c>
      <c r="S189" s="678">
        <v>1</v>
      </c>
      <c r="T189" s="679">
        <v>0</v>
      </c>
      <c r="U189" s="680">
        <v>285</v>
      </c>
    </row>
    <row r="190" spans="6:32">
      <c r="F190" s="672">
        <v>0</v>
      </c>
      <c r="G190" s="673">
        <v>0</v>
      </c>
      <c r="H190" s="673">
        <v>0</v>
      </c>
      <c r="I190" s="673">
        <v>0</v>
      </c>
      <c r="J190" s="673">
        <v>0</v>
      </c>
      <c r="K190" s="673">
        <v>0</v>
      </c>
      <c r="L190" s="673">
        <v>0</v>
      </c>
      <c r="M190" s="673">
        <v>0</v>
      </c>
      <c r="N190" s="673">
        <v>0</v>
      </c>
      <c r="O190" s="673">
        <v>1</v>
      </c>
      <c r="P190" s="673">
        <v>0</v>
      </c>
      <c r="Q190" s="673">
        <v>0</v>
      </c>
      <c r="R190" s="673">
        <v>0</v>
      </c>
      <c r="S190" s="672">
        <v>0</v>
      </c>
      <c r="T190" s="674">
        <v>1</v>
      </c>
      <c r="U190" s="675">
        <v>365</v>
      </c>
    </row>
    <row r="191" spans="6:32">
      <c r="F191" s="672">
        <v>0</v>
      </c>
      <c r="G191" s="673">
        <v>0</v>
      </c>
      <c r="H191" s="673">
        <v>0</v>
      </c>
      <c r="I191" s="673">
        <v>0</v>
      </c>
      <c r="J191" s="673">
        <v>0</v>
      </c>
      <c r="K191" s="673">
        <v>0</v>
      </c>
      <c r="L191" s="673">
        <v>0</v>
      </c>
      <c r="M191" s="673">
        <v>0</v>
      </c>
      <c r="N191" s="673">
        <v>0</v>
      </c>
      <c r="O191" s="673">
        <v>0</v>
      </c>
      <c r="P191" s="673">
        <v>1</v>
      </c>
      <c r="Q191" s="673">
        <v>0</v>
      </c>
      <c r="R191" s="673">
        <v>0</v>
      </c>
      <c r="S191" s="672">
        <v>0</v>
      </c>
      <c r="T191" s="674">
        <v>1</v>
      </c>
      <c r="U191" s="675">
        <v>382</v>
      </c>
    </row>
    <row r="192" spans="6:32">
      <c r="F192" s="672">
        <v>0</v>
      </c>
      <c r="G192" s="673">
        <v>0</v>
      </c>
      <c r="H192" s="673">
        <v>0</v>
      </c>
      <c r="I192" s="673">
        <v>0</v>
      </c>
      <c r="J192" s="673">
        <v>0</v>
      </c>
      <c r="K192" s="673">
        <v>0</v>
      </c>
      <c r="L192" s="673">
        <v>0</v>
      </c>
      <c r="M192" s="673">
        <v>0</v>
      </c>
      <c r="N192" s="673">
        <v>0</v>
      </c>
      <c r="O192" s="673">
        <v>0</v>
      </c>
      <c r="P192" s="673">
        <v>0</v>
      </c>
      <c r="Q192" s="673">
        <v>1</v>
      </c>
      <c r="R192" s="673">
        <v>0</v>
      </c>
      <c r="S192" s="672">
        <v>0</v>
      </c>
      <c r="T192" s="674">
        <v>1</v>
      </c>
      <c r="U192" s="675">
        <v>289</v>
      </c>
    </row>
    <row r="193" spans="6:31">
      <c r="F193" s="678">
        <v>0</v>
      </c>
      <c r="G193" s="682">
        <v>0</v>
      </c>
      <c r="H193" s="682">
        <v>0</v>
      </c>
      <c r="I193" s="682">
        <v>0</v>
      </c>
      <c r="J193" s="682">
        <v>0</v>
      </c>
      <c r="K193" s="682">
        <v>0</v>
      </c>
      <c r="L193" s="682">
        <v>0</v>
      </c>
      <c r="M193" s="682">
        <v>0</v>
      </c>
      <c r="N193" s="682">
        <v>0</v>
      </c>
      <c r="O193" s="682">
        <v>0</v>
      </c>
      <c r="P193" s="682">
        <v>0</v>
      </c>
      <c r="Q193" s="682">
        <v>0</v>
      </c>
      <c r="R193" s="682">
        <v>1</v>
      </c>
      <c r="S193" s="678">
        <v>0</v>
      </c>
      <c r="T193" s="679">
        <v>1</v>
      </c>
      <c r="U193" s="680">
        <v>471</v>
      </c>
    </row>
    <row r="197" spans="6:31">
      <c r="Y197" t="s">
        <v>1016</v>
      </c>
    </row>
    <row r="198" spans="6:31">
      <c r="H198" s="659">
        <v>2</v>
      </c>
      <c r="I198" s="659">
        <v>3</v>
      </c>
      <c r="J198" s="659" t="s">
        <v>999</v>
      </c>
      <c r="K198" s="659" t="s">
        <v>1000</v>
      </c>
      <c r="L198" t="s">
        <v>1017</v>
      </c>
      <c r="M198" s="659" t="s">
        <v>1018</v>
      </c>
      <c r="N198" t="s">
        <v>1019</v>
      </c>
      <c r="O198" s="659" t="s">
        <v>1020</v>
      </c>
      <c r="P198" t="s">
        <v>1001</v>
      </c>
    </row>
    <row r="199" spans="6:31" ht="15.75" thickBot="1">
      <c r="H199" s="665">
        <v>0</v>
      </c>
      <c r="I199" s="667">
        <v>0</v>
      </c>
      <c r="J199" s="665">
        <v>0</v>
      </c>
      <c r="K199" s="667">
        <v>0</v>
      </c>
      <c r="L199" s="644">
        <f>H199*J199</f>
        <v>0</v>
      </c>
      <c r="M199" s="683">
        <f>H199*K199</f>
        <v>0</v>
      </c>
      <c r="N199" s="644">
        <f>I199*J199</f>
        <v>0</v>
      </c>
      <c r="O199" s="602">
        <f>I199*K199</f>
        <v>0</v>
      </c>
      <c r="P199" s="668">
        <v>250</v>
      </c>
      <c r="Y199" s="364" t="s">
        <v>606</v>
      </c>
      <c r="Z199" s="364"/>
      <c r="AB199" s="364"/>
      <c r="AC199" s="364"/>
    </row>
    <row r="200" spans="6:31" ht="15.75" thickTop="1">
      <c r="H200" s="672">
        <v>0</v>
      </c>
      <c r="I200" s="674">
        <v>0</v>
      </c>
      <c r="J200" s="672">
        <v>0</v>
      </c>
      <c r="K200" s="674">
        <v>0</v>
      </c>
      <c r="L200" s="294">
        <f t="shared" ref="L200:L240" si="16">H200*J200</f>
        <v>0</v>
      </c>
      <c r="M200" s="5">
        <f t="shared" ref="M200:M240" si="17">H200*K200</f>
        <v>0</v>
      </c>
      <c r="N200" s="294">
        <f t="shared" ref="N200:N240" si="18">I200*J200</f>
        <v>0</v>
      </c>
      <c r="O200" s="295">
        <f t="shared" ref="O200:O240" si="19">I200*K200</f>
        <v>0</v>
      </c>
      <c r="P200" s="675">
        <v>65</v>
      </c>
      <c r="Y200" t="s">
        <v>208</v>
      </c>
      <c r="Z200" t="e">
        <f ca="1">SQRT(Z201)</f>
        <v>#NAME?</v>
      </c>
      <c r="AB200" t="s">
        <v>498</v>
      </c>
      <c r="AC200" t="e">
        <f ca="1">Z204*LN(AA209/Z204)+2*(Z208+1)</f>
        <v>#NAME?</v>
      </c>
    </row>
    <row r="201" spans="6:31">
      <c r="H201" s="672">
        <v>0</v>
      </c>
      <c r="I201" s="674">
        <v>0</v>
      </c>
      <c r="J201" s="672">
        <v>0</v>
      </c>
      <c r="K201" s="674">
        <v>0</v>
      </c>
      <c r="L201" s="294">
        <f t="shared" si="16"/>
        <v>0</v>
      </c>
      <c r="M201" s="5">
        <f t="shared" si="17"/>
        <v>0</v>
      </c>
      <c r="N201" s="294">
        <f t="shared" si="18"/>
        <v>0</v>
      </c>
      <c r="O201" s="295">
        <f t="shared" si="19"/>
        <v>0</v>
      </c>
      <c r="P201" s="675">
        <v>251</v>
      </c>
      <c r="Y201" t="s">
        <v>201</v>
      </c>
      <c r="Z201" t="e">
        <f ca="1">AA208/AA210</f>
        <v>#NAME?</v>
      </c>
      <c r="AB201" t="s">
        <v>499</v>
      </c>
      <c r="AC201" t="e">
        <f ca="1">AC200+2*(Z208+2)*(Z208+3)/(Z204-Z208-3)</f>
        <v>#NAME?</v>
      </c>
    </row>
    <row r="202" spans="6:31">
      <c r="H202" s="672">
        <v>0</v>
      </c>
      <c r="I202" s="674">
        <v>0</v>
      </c>
      <c r="J202" s="672">
        <v>0</v>
      </c>
      <c r="K202" s="674">
        <v>0</v>
      </c>
      <c r="L202" s="294">
        <f t="shared" si="16"/>
        <v>0</v>
      </c>
      <c r="M202" s="5">
        <f t="shared" si="17"/>
        <v>0</v>
      </c>
      <c r="N202" s="294">
        <f t="shared" si="18"/>
        <v>0</v>
      </c>
      <c r="O202" s="295">
        <f t="shared" si="19"/>
        <v>0</v>
      </c>
      <c r="P202" s="675">
        <v>103</v>
      </c>
      <c r="Y202" t="s">
        <v>209</v>
      </c>
      <c r="Z202" t="e">
        <f ca="1">1-(1-Z201)*(Z204-1)/(Z204-Z208-1)</f>
        <v>#NAME?</v>
      </c>
      <c r="AB202" s="367" t="s">
        <v>762</v>
      </c>
      <c r="AC202" s="367" t="e">
        <f ca="1">Z204*LN(AA209/Z204)+(Z208+1)*LN(Z204)</f>
        <v>#NAME?</v>
      </c>
    </row>
    <row r="203" spans="6:31">
      <c r="H203" s="672">
        <v>0</v>
      </c>
      <c r="I203" s="674">
        <v>0</v>
      </c>
      <c r="J203" s="678">
        <v>0</v>
      </c>
      <c r="K203" s="679">
        <v>0</v>
      </c>
      <c r="L203" s="294">
        <f t="shared" si="16"/>
        <v>0</v>
      </c>
      <c r="M203" s="5">
        <f t="shared" si="17"/>
        <v>0</v>
      </c>
      <c r="N203" s="294">
        <f t="shared" si="18"/>
        <v>0</v>
      </c>
      <c r="O203" s="295">
        <f t="shared" si="19"/>
        <v>0</v>
      </c>
      <c r="P203" s="680">
        <v>230</v>
      </c>
      <c r="Y203" t="s">
        <v>9</v>
      </c>
      <c r="Z203" t="e">
        <f ca="1">SQRT(AB209)</f>
        <v>#NAME?</v>
      </c>
    </row>
    <row r="204" spans="6:31">
      <c r="H204" s="672">
        <v>0</v>
      </c>
      <c r="I204" s="674">
        <v>0</v>
      </c>
      <c r="J204" s="665">
        <v>1</v>
      </c>
      <c r="K204" s="667">
        <v>0</v>
      </c>
      <c r="L204" s="294">
        <f t="shared" si="16"/>
        <v>0</v>
      </c>
      <c r="M204" s="5">
        <f t="shared" si="17"/>
        <v>0</v>
      </c>
      <c r="N204" s="294">
        <f t="shared" si="18"/>
        <v>0</v>
      </c>
      <c r="O204" s="295">
        <f t="shared" si="19"/>
        <v>0</v>
      </c>
      <c r="P204" s="668">
        <v>54</v>
      </c>
      <c r="Y204" s="367" t="s">
        <v>42</v>
      </c>
      <c r="Z204" s="367">
        <f>COUNT(P199:P240)</f>
        <v>42</v>
      </c>
    </row>
    <row r="205" spans="6:31">
      <c r="H205" s="672">
        <v>0</v>
      </c>
      <c r="I205" s="674">
        <v>0</v>
      </c>
      <c r="J205" s="672">
        <v>1</v>
      </c>
      <c r="K205" s="674">
        <v>0</v>
      </c>
      <c r="L205" s="294">
        <f t="shared" si="16"/>
        <v>0</v>
      </c>
      <c r="M205" s="5">
        <f t="shared" si="17"/>
        <v>0</v>
      </c>
      <c r="N205" s="294">
        <f t="shared" si="18"/>
        <v>0</v>
      </c>
      <c r="O205" s="295">
        <f t="shared" si="19"/>
        <v>0</v>
      </c>
      <c r="P205" s="675">
        <v>20</v>
      </c>
    </row>
    <row r="206" spans="6:31" ht="15.75" thickBot="1">
      <c r="H206" s="672">
        <v>0</v>
      </c>
      <c r="I206" s="674">
        <v>0</v>
      </c>
      <c r="J206" s="672">
        <v>1</v>
      </c>
      <c r="K206" s="674">
        <v>0</v>
      </c>
      <c r="L206" s="294">
        <f t="shared" si="16"/>
        <v>0</v>
      </c>
      <c r="M206" s="5">
        <f t="shared" si="17"/>
        <v>0</v>
      </c>
      <c r="N206" s="294">
        <f t="shared" si="18"/>
        <v>0</v>
      </c>
      <c r="O206" s="295">
        <f t="shared" si="19"/>
        <v>0</v>
      </c>
      <c r="P206" s="675">
        <v>41</v>
      </c>
      <c r="Y206" t="s">
        <v>210</v>
      </c>
      <c r="AC206" s="659" t="s">
        <v>16</v>
      </c>
      <c r="AD206" s="659">
        <v>0.05</v>
      </c>
    </row>
    <row r="207" spans="6:31" ht="15.75" thickTop="1">
      <c r="H207" s="672">
        <v>0</v>
      </c>
      <c r="I207" s="674">
        <v>0</v>
      </c>
      <c r="J207" s="672">
        <v>1</v>
      </c>
      <c r="K207" s="674">
        <v>0</v>
      </c>
      <c r="L207" s="294">
        <f t="shared" si="16"/>
        <v>0</v>
      </c>
      <c r="M207" s="5">
        <f t="shared" si="17"/>
        <v>0</v>
      </c>
      <c r="N207" s="294">
        <f t="shared" si="18"/>
        <v>0</v>
      </c>
      <c r="O207" s="295">
        <f t="shared" si="19"/>
        <v>0</v>
      </c>
      <c r="P207" s="675">
        <v>29</v>
      </c>
      <c r="Y207" s="398"/>
      <c r="Z207" s="398" t="s">
        <v>26</v>
      </c>
      <c r="AA207" s="398" t="s">
        <v>137</v>
      </c>
      <c r="AB207" s="398" t="s">
        <v>156</v>
      </c>
      <c r="AC207" s="398" t="s">
        <v>63</v>
      </c>
      <c r="AD207" s="398" t="s">
        <v>30</v>
      </c>
      <c r="AE207" s="398" t="s">
        <v>374</v>
      </c>
    </row>
    <row r="208" spans="6:31">
      <c r="H208" s="672">
        <v>0</v>
      </c>
      <c r="I208" s="674">
        <v>0</v>
      </c>
      <c r="J208" s="678">
        <v>1</v>
      </c>
      <c r="K208" s="679">
        <v>0</v>
      </c>
      <c r="L208" s="294">
        <f t="shared" si="16"/>
        <v>0</v>
      </c>
      <c r="M208" s="5">
        <f t="shared" si="17"/>
        <v>0</v>
      </c>
      <c r="N208" s="294">
        <f t="shared" si="18"/>
        <v>0</v>
      </c>
      <c r="O208" s="295">
        <f t="shared" si="19"/>
        <v>0</v>
      </c>
      <c r="P208" s="680">
        <v>3</v>
      </c>
      <c r="Y208" t="s">
        <v>138</v>
      </c>
      <c r="Z208">
        <f>COUNT(H199:O199)</f>
        <v>8</v>
      </c>
      <c r="AA208" t="e">
        <f ca="1">DEVSQ(MMULT(DESIGN(H199:O240),Z213:Z221))</f>
        <v>#NAME?</v>
      </c>
      <c r="AB208" t="e">
        <f ca="1">AA208/Z208</f>
        <v>#NAME?</v>
      </c>
      <c r="AC208" t="e">
        <f ca="1">AB208/AB209</f>
        <v>#NAME?</v>
      </c>
      <c r="AD208" t="e">
        <f ca="1">FDIST(AC208,Z208,Z209)</f>
        <v>#NAME?</v>
      </c>
      <c r="AE208" s="659" t="e">
        <f ca="1">IF(AD208&lt;AD206,"yes","no")</f>
        <v>#NAME?</v>
      </c>
    </row>
    <row r="209" spans="8:32">
      <c r="H209" s="672">
        <v>0</v>
      </c>
      <c r="I209" s="674">
        <v>0</v>
      </c>
      <c r="J209" s="672">
        <v>0</v>
      </c>
      <c r="K209" s="674">
        <v>1</v>
      </c>
      <c r="L209" s="294">
        <f t="shared" si="16"/>
        <v>0</v>
      </c>
      <c r="M209" s="5">
        <f t="shared" si="17"/>
        <v>0</v>
      </c>
      <c r="N209" s="294">
        <f t="shared" si="18"/>
        <v>0</v>
      </c>
      <c r="O209" s="295">
        <f t="shared" si="19"/>
        <v>0</v>
      </c>
      <c r="P209" s="675">
        <v>118</v>
      </c>
      <c r="Y209" t="s">
        <v>211</v>
      </c>
      <c r="Z209">
        <f>Z210-Z208</f>
        <v>33</v>
      </c>
      <c r="AA209" t="e">
        <f ca="1">AA210-AA208</f>
        <v>#NAME?</v>
      </c>
      <c r="AB209" t="e">
        <f ca="1">AA209/Z209</f>
        <v>#NAME?</v>
      </c>
    </row>
    <row r="210" spans="8:32">
      <c r="H210" s="672">
        <v>0</v>
      </c>
      <c r="I210" s="674">
        <v>0</v>
      </c>
      <c r="J210" s="672">
        <v>0</v>
      </c>
      <c r="K210" s="674">
        <v>1</v>
      </c>
      <c r="L210" s="294">
        <f t="shared" si="16"/>
        <v>0</v>
      </c>
      <c r="M210" s="5">
        <f t="shared" si="17"/>
        <v>0</v>
      </c>
      <c r="N210" s="294">
        <f t="shared" si="18"/>
        <v>0</v>
      </c>
      <c r="O210" s="295">
        <f t="shared" si="19"/>
        <v>0</v>
      </c>
      <c r="P210" s="675">
        <v>83</v>
      </c>
      <c r="Y210" s="367" t="s">
        <v>1</v>
      </c>
      <c r="Z210" s="367">
        <f>Z204-1</f>
        <v>41</v>
      </c>
      <c r="AA210" s="367">
        <f>DEVSQ(P199:P240)</f>
        <v>765790.4761904761</v>
      </c>
      <c r="AB210" s="367"/>
      <c r="AC210" s="367"/>
      <c r="AD210" s="367"/>
      <c r="AE210" s="367"/>
    </row>
    <row r="211" spans="8:32" ht="15.75" thickBot="1">
      <c r="H211" s="672">
        <v>0</v>
      </c>
      <c r="I211" s="674">
        <v>0</v>
      </c>
      <c r="J211" s="672">
        <v>0</v>
      </c>
      <c r="K211" s="674">
        <v>1</v>
      </c>
      <c r="L211" s="294">
        <f t="shared" si="16"/>
        <v>0</v>
      </c>
      <c r="M211" s="5">
        <f t="shared" si="17"/>
        <v>0</v>
      </c>
      <c r="N211" s="294">
        <f t="shared" si="18"/>
        <v>0</v>
      </c>
      <c r="O211" s="295">
        <f t="shared" si="19"/>
        <v>0</v>
      </c>
      <c r="P211" s="675">
        <v>38</v>
      </c>
    </row>
    <row r="212" spans="8:32" ht="15.75" thickTop="1">
      <c r="H212" s="672">
        <v>0</v>
      </c>
      <c r="I212" s="674">
        <v>0</v>
      </c>
      <c r="J212" s="672">
        <v>0</v>
      </c>
      <c r="K212" s="674">
        <v>1</v>
      </c>
      <c r="L212" s="294">
        <f t="shared" si="16"/>
        <v>0</v>
      </c>
      <c r="M212" s="5">
        <f t="shared" si="17"/>
        <v>0</v>
      </c>
      <c r="N212" s="294">
        <f t="shared" si="18"/>
        <v>0</v>
      </c>
      <c r="O212" s="295">
        <f t="shared" si="19"/>
        <v>0</v>
      </c>
      <c r="P212" s="675">
        <v>71</v>
      </c>
      <c r="Y212" s="398"/>
      <c r="Z212" s="398" t="s">
        <v>600</v>
      </c>
      <c r="AA212" s="398" t="s">
        <v>503</v>
      </c>
      <c r="AB212" s="398" t="s">
        <v>27</v>
      </c>
      <c r="AC212" s="398" t="s">
        <v>30</v>
      </c>
      <c r="AD212" s="398" t="s">
        <v>13</v>
      </c>
      <c r="AE212" s="398" t="s">
        <v>14</v>
      </c>
      <c r="AF212" s="398" t="s">
        <v>750</v>
      </c>
    </row>
    <row r="213" spans="8:32">
      <c r="H213" s="665">
        <v>1</v>
      </c>
      <c r="I213" s="667">
        <v>0</v>
      </c>
      <c r="J213" s="666">
        <v>0</v>
      </c>
      <c r="K213" s="667">
        <v>0</v>
      </c>
      <c r="L213" s="294">
        <f t="shared" si="16"/>
        <v>0</v>
      </c>
      <c r="M213" s="5">
        <f t="shared" si="17"/>
        <v>0</v>
      </c>
      <c r="N213" s="294">
        <f t="shared" si="18"/>
        <v>0</v>
      </c>
      <c r="O213" s="295">
        <f t="shared" si="19"/>
        <v>0</v>
      </c>
      <c r="P213" s="668">
        <v>278</v>
      </c>
      <c r="Y213" t="s">
        <v>212</v>
      </c>
      <c r="Z213" t="e">
        <f t="array" aca="1" ref="Z213:AA221" ca="1">RegCoeff(H199:O240,P199:P240)</f>
        <v>#NAME?</v>
      </c>
      <c r="AA213" t="e">
        <f ca="1"/>
        <v>#NAME?</v>
      </c>
      <c r="AB213" t="e">
        <f ca="1">Z213/AA213</f>
        <v>#NAME?</v>
      </c>
      <c r="AC213" t="e">
        <f ca="1">TDIST(ABS(AB213),$Z$209,2)</f>
        <v>#NAME?</v>
      </c>
      <c r="AD213" t="e">
        <f ca="1">Z213-TINV(AD$206,$Z$209)*AA213</f>
        <v>#NAME?</v>
      </c>
      <c r="AE213" t="e">
        <f ca="1">Z213+TINV(AD$206,$Z$209)*AA213</f>
        <v>#NAME?</v>
      </c>
    </row>
    <row r="214" spans="8:32">
      <c r="H214" s="672">
        <v>1</v>
      </c>
      <c r="I214" s="674">
        <v>0</v>
      </c>
      <c r="J214" s="673">
        <v>0</v>
      </c>
      <c r="K214" s="674">
        <v>0</v>
      </c>
      <c r="L214" s="294">
        <f t="shared" si="16"/>
        <v>0</v>
      </c>
      <c r="M214" s="5">
        <f t="shared" si="17"/>
        <v>0</v>
      </c>
      <c r="N214" s="294">
        <f t="shared" si="18"/>
        <v>0</v>
      </c>
      <c r="O214" s="295">
        <f t="shared" si="19"/>
        <v>0</v>
      </c>
      <c r="P214" s="675">
        <v>207</v>
      </c>
      <c r="Y214">
        <f t="array" ref="Y214:Y221">TRANSPOSE(H198:O198)</f>
        <v>2</v>
      </c>
      <c r="Z214" t="e">
        <f ca="1"/>
        <v>#NAME?</v>
      </c>
      <c r="AA214" t="e">
        <f ca="1"/>
        <v>#NAME?</v>
      </c>
      <c r="AB214" t="e">
        <f t="shared" ref="AB214:AB221" ca="1" si="20">Z214/AA214</f>
        <v>#NAME?</v>
      </c>
      <c r="AC214" t="e">
        <f t="shared" ref="AC214:AC221" ca="1" si="21">TDIST(ABS(AB214),$Z$209,2)</f>
        <v>#NAME?</v>
      </c>
      <c r="AD214" t="e">
        <f t="shared" ref="AD214:AD221" ca="1" si="22">Z214-TINV(AD$206,$Z$209)*AA214</f>
        <v>#NAME?</v>
      </c>
      <c r="AE214" t="e">
        <f t="shared" ref="AE214:AE221" ca="1" si="23">Z214+TINV(AD$206,$Z$209)*AA214</f>
        <v>#NAME?</v>
      </c>
      <c r="AF214" t="e">
        <f ca="1">VIF(H199:O240,1)</f>
        <v>#NAME?</v>
      </c>
    </row>
    <row r="215" spans="8:32">
      <c r="H215" s="672">
        <v>1</v>
      </c>
      <c r="I215" s="674">
        <v>0</v>
      </c>
      <c r="J215" s="673">
        <v>0</v>
      </c>
      <c r="K215" s="674">
        <v>0</v>
      </c>
      <c r="L215" s="294">
        <f t="shared" si="16"/>
        <v>0</v>
      </c>
      <c r="M215" s="5">
        <f t="shared" si="17"/>
        <v>0</v>
      </c>
      <c r="N215" s="294">
        <f t="shared" si="18"/>
        <v>0</v>
      </c>
      <c r="O215" s="295">
        <f t="shared" si="19"/>
        <v>0</v>
      </c>
      <c r="P215" s="675">
        <v>261</v>
      </c>
      <c r="Y215">
        <v>3</v>
      </c>
      <c r="Z215" t="e">
        <f ca="1"/>
        <v>#NAME?</v>
      </c>
      <c r="AA215" t="e">
        <f ca="1"/>
        <v>#NAME?</v>
      </c>
      <c r="AB215" t="e">
        <f t="shared" ca="1" si="20"/>
        <v>#NAME?</v>
      </c>
      <c r="AC215" t="e">
        <f t="shared" ca="1" si="21"/>
        <v>#NAME?</v>
      </c>
      <c r="AD215" t="e">
        <f t="shared" ca="1" si="22"/>
        <v>#NAME?</v>
      </c>
      <c r="AE215" t="e">
        <f t="shared" ca="1" si="23"/>
        <v>#NAME?</v>
      </c>
      <c r="AF215" t="e">
        <f ca="1">VIF(H199:O240,2)</f>
        <v>#NAME?</v>
      </c>
    </row>
    <row r="216" spans="8:32">
      <c r="H216" s="672">
        <v>1</v>
      </c>
      <c r="I216" s="674">
        <v>0</v>
      </c>
      <c r="J216" s="673">
        <v>0</v>
      </c>
      <c r="K216" s="674">
        <v>0</v>
      </c>
      <c r="L216" s="294">
        <f t="shared" si="16"/>
        <v>0</v>
      </c>
      <c r="M216" s="5">
        <f t="shared" si="17"/>
        <v>0</v>
      </c>
      <c r="N216" s="294">
        <f t="shared" si="18"/>
        <v>0</v>
      </c>
      <c r="O216" s="295">
        <f t="shared" si="19"/>
        <v>0</v>
      </c>
      <c r="P216" s="675">
        <v>286</v>
      </c>
      <c r="Y216" t="str">
        <v>mid</v>
      </c>
      <c r="Z216" t="e">
        <f ca="1"/>
        <v>#NAME?</v>
      </c>
      <c r="AA216" t="e">
        <f ca="1"/>
        <v>#NAME?</v>
      </c>
      <c r="AB216" t="e">
        <f t="shared" ca="1" si="20"/>
        <v>#NAME?</v>
      </c>
      <c r="AC216" t="e">
        <f t="shared" ca="1" si="21"/>
        <v>#NAME?</v>
      </c>
      <c r="AD216" t="e">
        <f t="shared" ca="1" si="22"/>
        <v>#NAME?</v>
      </c>
      <c r="AE216" t="e">
        <f t="shared" ca="1" si="23"/>
        <v>#NAME?</v>
      </c>
      <c r="AF216" t="e">
        <f ca="1">VIF(H199:O240,3)</f>
        <v>#NAME?</v>
      </c>
    </row>
    <row r="217" spans="8:32">
      <c r="H217" s="672">
        <v>1</v>
      </c>
      <c r="I217" s="674">
        <v>0</v>
      </c>
      <c r="J217" s="682">
        <v>0</v>
      </c>
      <c r="K217" s="679">
        <v>0</v>
      </c>
      <c r="L217" s="294">
        <f t="shared" si="16"/>
        <v>0</v>
      </c>
      <c r="M217" s="5">
        <f t="shared" si="17"/>
        <v>0</v>
      </c>
      <c r="N217" s="294">
        <f t="shared" si="18"/>
        <v>0</v>
      </c>
      <c r="O217" s="295">
        <f t="shared" si="19"/>
        <v>0</v>
      </c>
      <c r="P217" s="675">
        <v>306</v>
      </c>
      <c r="Y217" t="str">
        <v>old</v>
      </c>
      <c r="Z217" t="e">
        <f ca="1"/>
        <v>#NAME?</v>
      </c>
      <c r="AA217" t="e">
        <f ca="1"/>
        <v>#NAME?</v>
      </c>
      <c r="AB217" t="e">
        <f t="shared" ca="1" si="20"/>
        <v>#NAME?</v>
      </c>
      <c r="AC217" t="e">
        <f t="shared" ca="1" si="21"/>
        <v>#NAME?</v>
      </c>
      <c r="AD217" t="e">
        <f t="shared" ca="1" si="22"/>
        <v>#NAME?</v>
      </c>
      <c r="AE217" t="e">
        <f t="shared" ca="1" si="23"/>
        <v>#NAME?</v>
      </c>
      <c r="AF217" t="e">
        <f ca="1">VIF(H199:O240,4)</f>
        <v>#NAME?</v>
      </c>
    </row>
    <row r="218" spans="8:32">
      <c r="H218" s="672">
        <v>1</v>
      </c>
      <c r="I218" s="674">
        <v>0</v>
      </c>
      <c r="J218" s="666">
        <v>1</v>
      </c>
      <c r="K218" s="667">
        <v>0</v>
      </c>
      <c r="L218" s="294">
        <f t="shared" si="16"/>
        <v>1</v>
      </c>
      <c r="M218" s="5">
        <f t="shared" si="17"/>
        <v>0</v>
      </c>
      <c r="N218" s="294">
        <f t="shared" si="18"/>
        <v>0</v>
      </c>
      <c r="O218" s="295">
        <f t="shared" si="19"/>
        <v>0</v>
      </c>
      <c r="P218" s="668">
        <v>172</v>
      </c>
      <c r="Y218" t="str">
        <v>mid2</v>
      </c>
      <c r="Z218" t="e">
        <f ca="1"/>
        <v>#NAME?</v>
      </c>
      <c r="AA218" t="e">
        <f ca="1"/>
        <v>#NAME?</v>
      </c>
      <c r="AB218" t="e">
        <f t="shared" ca="1" si="20"/>
        <v>#NAME?</v>
      </c>
      <c r="AC218" t="e">
        <f t="shared" ca="1" si="21"/>
        <v>#NAME?</v>
      </c>
      <c r="AD218" t="e">
        <f t="shared" ca="1" si="22"/>
        <v>#NAME?</v>
      </c>
      <c r="AE218" t="e">
        <f t="shared" ca="1" si="23"/>
        <v>#NAME?</v>
      </c>
      <c r="AF218" t="e">
        <f ca="1">VIF(H199:O240,5)</f>
        <v>#NAME?</v>
      </c>
    </row>
    <row r="219" spans="8:32">
      <c r="H219" s="672">
        <v>1</v>
      </c>
      <c r="I219" s="674">
        <v>0</v>
      </c>
      <c r="J219" s="673">
        <v>1</v>
      </c>
      <c r="K219" s="674">
        <v>0</v>
      </c>
      <c r="L219" s="294">
        <f t="shared" si="16"/>
        <v>1</v>
      </c>
      <c r="M219" s="5">
        <f t="shared" si="17"/>
        <v>0</v>
      </c>
      <c r="N219" s="294">
        <f t="shared" si="18"/>
        <v>0</v>
      </c>
      <c r="O219" s="295">
        <f t="shared" si="19"/>
        <v>0</v>
      </c>
      <c r="P219" s="675">
        <v>116</v>
      </c>
      <c r="Y219" t="str">
        <v>old2</v>
      </c>
      <c r="Z219" t="e">
        <f ca="1"/>
        <v>#NAME?</v>
      </c>
      <c r="AA219" t="e">
        <f ca="1"/>
        <v>#NAME?</v>
      </c>
      <c r="AB219" t="e">
        <f t="shared" ca="1" si="20"/>
        <v>#NAME?</v>
      </c>
      <c r="AC219" t="e">
        <f t="shared" ca="1" si="21"/>
        <v>#NAME?</v>
      </c>
      <c r="AD219" t="e">
        <f t="shared" ca="1" si="22"/>
        <v>#NAME?</v>
      </c>
      <c r="AE219" t="e">
        <f t="shared" ca="1" si="23"/>
        <v>#NAME?</v>
      </c>
      <c r="AF219" t="e">
        <f ca="1">VIF(H199:O240,6)</f>
        <v>#NAME?</v>
      </c>
    </row>
    <row r="220" spans="8:32">
      <c r="H220" s="672">
        <v>1</v>
      </c>
      <c r="I220" s="674">
        <v>0</v>
      </c>
      <c r="J220" s="673">
        <v>1</v>
      </c>
      <c r="K220" s="674">
        <v>0</v>
      </c>
      <c r="L220" s="294">
        <f t="shared" si="16"/>
        <v>1</v>
      </c>
      <c r="M220" s="5">
        <f t="shared" si="17"/>
        <v>0</v>
      </c>
      <c r="N220" s="294">
        <f t="shared" si="18"/>
        <v>0</v>
      </c>
      <c r="O220" s="295">
        <f t="shared" si="19"/>
        <v>0</v>
      </c>
      <c r="P220" s="675">
        <v>168</v>
      </c>
      <c r="Y220" t="str">
        <v>mid3</v>
      </c>
      <c r="Z220" t="e">
        <f ca="1"/>
        <v>#NAME?</v>
      </c>
      <c r="AA220" t="e">
        <f ca="1"/>
        <v>#NAME?</v>
      </c>
      <c r="AB220" t="e">
        <f t="shared" ca="1" si="20"/>
        <v>#NAME?</v>
      </c>
      <c r="AC220" t="e">
        <f t="shared" ca="1" si="21"/>
        <v>#NAME?</v>
      </c>
      <c r="AD220" t="e">
        <f t="shared" ca="1" si="22"/>
        <v>#NAME?</v>
      </c>
      <c r="AE220" t="e">
        <f t="shared" ca="1" si="23"/>
        <v>#NAME?</v>
      </c>
      <c r="AF220" t="e">
        <f ca="1">VIF(H199:O240,7)</f>
        <v>#NAME?</v>
      </c>
    </row>
    <row r="221" spans="8:32">
      <c r="H221" s="672">
        <v>1</v>
      </c>
      <c r="I221" s="674">
        <v>0</v>
      </c>
      <c r="J221" s="673">
        <v>1</v>
      </c>
      <c r="K221" s="674">
        <v>0</v>
      </c>
      <c r="L221" s="294">
        <f t="shared" si="16"/>
        <v>1</v>
      </c>
      <c r="M221" s="5">
        <f t="shared" si="17"/>
        <v>0</v>
      </c>
      <c r="N221" s="294">
        <f t="shared" si="18"/>
        <v>0</v>
      </c>
      <c r="O221" s="295">
        <f t="shared" si="19"/>
        <v>0</v>
      </c>
      <c r="P221" s="675">
        <v>81</v>
      </c>
      <c r="Y221" s="367" t="str">
        <v>old3</v>
      </c>
      <c r="Z221" s="367" t="e">
        <f ca="1"/>
        <v>#NAME?</v>
      </c>
      <c r="AA221" s="367" t="e">
        <f ca="1"/>
        <v>#NAME?</v>
      </c>
      <c r="AB221" s="367" t="e">
        <f t="shared" ca="1" si="20"/>
        <v>#NAME?</v>
      </c>
      <c r="AC221" s="367" t="e">
        <f t="shared" ca="1" si="21"/>
        <v>#NAME?</v>
      </c>
      <c r="AD221" s="367" t="e">
        <f t="shared" ca="1" si="22"/>
        <v>#NAME?</v>
      </c>
      <c r="AE221" s="367" t="e">
        <f t="shared" ca="1" si="23"/>
        <v>#NAME?</v>
      </c>
      <c r="AF221" s="367" t="e">
        <f ca="1">VIF(H199:O240,8)</f>
        <v>#NAME?</v>
      </c>
    </row>
    <row r="222" spans="8:32">
      <c r="H222" s="672">
        <v>1</v>
      </c>
      <c r="I222" s="674">
        <v>0</v>
      </c>
      <c r="J222" s="682">
        <v>1</v>
      </c>
      <c r="K222" s="679">
        <v>0</v>
      </c>
      <c r="L222" s="294">
        <f t="shared" si="16"/>
        <v>1</v>
      </c>
      <c r="M222" s="5">
        <f t="shared" si="17"/>
        <v>0</v>
      </c>
      <c r="N222" s="294">
        <f t="shared" si="18"/>
        <v>0</v>
      </c>
      <c r="O222" s="295">
        <f t="shared" si="19"/>
        <v>0</v>
      </c>
      <c r="P222" s="680">
        <v>54</v>
      </c>
    </row>
    <row r="223" spans="8:32">
      <c r="H223" s="672">
        <v>1</v>
      </c>
      <c r="I223" s="674">
        <v>0</v>
      </c>
      <c r="J223" s="673">
        <v>0</v>
      </c>
      <c r="K223" s="674">
        <v>1</v>
      </c>
      <c r="L223" s="294">
        <f t="shared" si="16"/>
        <v>0</v>
      </c>
      <c r="M223" s="5">
        <f t="shared" si="17"/>
        <v>1</v>
      </c>
      <c r="N223" s="294">
        <f t="shared" si="18"/>
        <v>0</v>
      </c>
      <c r="O223" s="295">
        <f t="shared" si="19"/>
        <v>0</v>
      </c>
      <c r="P223" s="675">
        <v>124</v>
      </c>
    </row>
    <row r="224" spans="8:32">
      <c r="H224" s="672">
        <v>1</v>
      </c>
      <c r="I224" s="674">
        <v>0</v>
      </c>
      <c r="J224" s="673">
        <v>0</v>
      </c>
      <c r="K224" s="674">
        <v>1</v>
      </c>
      <c r="L224" s="294">
        <f t="shared" si="16"/>
        <v>0</v>
      </c>
      <c r="M224" s="5">
        <f t="shared" si="17"/>
        <v>1</v>
      </c>
      <c r="N224" s="294">
        <f t="shared" si="18"/>
        <v>0</v>
      </c>
      <c r="O224" s="295">
        <f t="shared" si="19"/>
        <v>0</v>
      </c>
      <c r="P224" s="675">
        <v>266</v>
      </c>
      <c r="Y224" t="s">
        <v>1021</v>
      </c>
    </row>
    <row r="225" spans="8:32">
      <c r="H225" s="672">
        <v>1</v>
      </c>
      <c r="I225" s="674">
        <v>0</v>
      </c>
      <c r="J225" s="673">
        <v>0</v>
      </c>
      <c r="K225" s="674">
        <v>1</v>
      </c>
      <c r="L225" s="294">
        <f t="shared" si="16"/>
        <v>0</v>
      </c>
      <c r="M225" s="5">
        <f t="shared" si="17"/>
        <v>1</v>
      </c>
      <c r="N225" s="294">
        <f t="shared" si="18"/>
        <v>0</v>
      </c>
      <c r="O225" s="295">
        <f t="shared" si="19"/>
        <v>0</v>
      </c>
      <c r="P225" s="675">
        <v>207</v>
      </c>
    </row>
    <row r="226" spans="8:32" ht="15.75" thickBot="1">
      <c r="H226" s="672">
        <v>1</v>
      </c>
      <c r="I226" s="674">
        <v>0</v>
      </c>
      <c r="J226" s="673">
        <v>0</v>
      </c>
      <c r="K226" s="674">
        <v>1</v>
      </c>
      <c r="L226" s="294">
        <f t="shared" si="16"/>
        <v>0</v>
      </c>
      <c r="M226" s="5">
        <f t="shared" si="17"/>
        <v>1</v>
      </c>
      <c r="N226" s="294">
        <f t="shared" si="18"/>
        <v>0</v>
      </c>
      <c r="O226" s="295">
        <f t="shared" si="19"/>
        <v>0</v>
      </c>
      <c r="P226" s="675">
        <v>285</v>
      </c>
      <c r="Y226" s="364" t="s">
        <v>606</v>
      </c>
      <c r="Z226" s="364"/>
      <c r="AB226" s="364"/>
      <c r="AC226" s="364"/>
    </row>
    <row r="227" spans="8:32" ht="15.75" thickTop="1">
      <c r="H227" s="665">
        <v>0</v>
      </c>
      <c r="I227" s="667">
        <v>1</v>
      </c>
      <c r="J227" s="666">
        <v>0</v>
      </c>
      <c r="K227" s="667">
        <v>0</v>
      </c>
      <c r="L227" s="294">
        <f t="shared" si="16"/>
        <v>0</v>
      </c>
      <c r="M227" s="5">
        <f t="shared" si="17"/>
        <v>0</v>
      </c>
      <c r="N227" s="294">
        <f t="shared" si="18"/>
        <v>0</v>
      </c>
      <c r="O227" s="295">
        <f t="shared" si="19"/>
        <v>0</v>
      </c>
      <c r="P227" s="668">
        <v>442</v>
      </c>
      <c r="Y227" t="s">
        <v>208</v>
      </c>
      <c r="Z227" t="e">
        <f ca="1">SQRT(Z228)</f>
        <v>#NAME?</v>
      </c>
      <c r="AB227" t="s">
        <v>498</v>
      </c>
      <c r="AC227" t="e">
        <f ca="1">Z231*LN(AA236/Z231)+2*(Z235+1)</f>
        <v>#NAME?</v>
      </c>
    </row>
    <row r="228" spans="8:32">
      <c r="H228" s="672">
        <v>0</v>
      </c>
      <c r="I228" s="674">
        <v>1</v>
      </c>
      <c r="J228" s="673">
        <v>0</v>
      </c>
      <c r="K228" s="674">
        <v>0</v>
      </c>
      <c r="L228" s="294">
        <f t="shared" si="16"/>
        <v>0</v>
      </c>
      <c r="M228" s="5">
        <f t="shared" si="17"/>
        <v>0</v>
      </c>
      <c r="N228" s="294">
        <f t="shared" si="18"/>
        <v>0</v>
      </c>
      <c r="O228" s="295">
        <f t="shared" si="19"/>
        <v>0</v>
      </c>
      <c r="P228" s="675">
        <v>341</v>
      </c>
      <c r="Y228" t="s">
        <v>201</v>
      </c>
      <c r="Z228" t="e">
        <f ca="1">AA235/AA237</f>
        <v>#NAME?</v>
      </c>
      <c r="AB228" t="s">
        <v>499</v>
      </c>
      <c r="AC228" t="e">
        <f ca="1">AC227+2*(Z235+2)*(Z235+3)/(Z231-Z235-3)</f>
        <v>#NAME?</v>
      </c>
    </row>
    <row r="229" spans="8:32">
      <c r="H229" s="672">
        <v>0</v>
      </c>
      <c r="I229" s="674">
        <v>1</v>
      </c>
      <c r="J229" s="673">
        <v>0</v>
      </c>
      <c r="K229" s="674">
        <v>0</v>
      </c>
      <c r="L229" s="294">
        <f t="shared" si="16"/>
        <v>0</v>
      </c>
      <c r="M229" s="5">
        <f t="shared" si="17"/>
        <v>0</v>
      </c>
      <c r="N229" s="294">
        <f t="shared" si="18"/>
        <v>0</v>
      </c>
      <c r="O229" s="295">
        <f t="shared" si="19"/>
        <v>0</v>
      </c>
      <c r="P229" s="675">
        <v>384</v>
      </c>
      <c r="Y229" t="s">
        <v>209</v>
      </c>
      <c r="Z229" t="e">
        <f ca="1">1-(1-Z228)*(Z231-1)/(Z231-Z235-1)</f>
        <v>#NAME?</v>
      </c>
      <c r="AB229" s="367" t="s">
        <v>762</v>
      </c>
      <c r="AC229" s="367" t="e">
        <f ca="1">Z231*LN(AA236/Z231)+(Z235+1)*LN(Z231)</f>
        <v>#NAME?</v>
      </c>
    </row>
    <row r="230" spans="8:32">
      <c r="H230" s="672">
        <v>0</v>
      </c>
      <c r="I230" s="674">
        <v>1</v>
      </c>
      <c r="J230" s="673">
        <v>0</v>
      </c>
      <c r="K230" s="674">
        <v>0</v>
      </c>
      <c r="L230" s="294">
        <f t="shared" si="16"/>
        <v>0</v>
      </c>
      <c r="M230" s="5">
        <f t="shared" si="17"/>
        <v>0</v>
      </c>
      <c r="N230" s="294">
        <f t="shared" si="18"/>
        <v>0</v>
      </c>
      <c r="O230" s="295">
        <f t="shared" si="19"/>
        <v>0</v>
      </c>
      <c r="P230" s="675">
        <v>401</v>
      </c>
      <c r="Y230" t="s">
        <v>9</v>
      </c>
      <c r="Z230" t="e">
        <f ca="1">SQRT(AB236)</f>
        <v>#NAME?</v>
      </c>
    </row>
    <row r="231" spans="8:32">
      <c r="H231" s="672">
        <v>0</v>
      </c>
      <c r="I231" s="674">
        <v>1</v>
      </c>
      <c r="J231" s="682">
        <v>0</v>
      </c>
      <c r="K231" s="679">
        <v>0</v>
      </c>
      <c r="L231" s="294">
        <f t="shared" si="16"/>
        <v>0</v>
      </c>
      <c r="M231" s="5">
        <f t="shared" si="17"/>
        <v>0</v>
      </c>
      <c r="N231" s="294">
        <f t="shared" si="18"/>
        <v>0</v>
      </c>
      <c r="O231" s="295">
        <f t="shared" si="19"/>
        <v>0</v>
      </c>
      <c r="P231" s="680">
        <v>432</v>
      </c>
      <c r="Y231" s="367" t="s">
        <v>42</v>
      </c>
      <c r="Z231" s="367">
        <f>COUNT(W4:W45)</f>
        <v>42</v>
      </c>
    </row>
    <row r="232" spans="8:32">
      <c r="H232" s="672">
        <v>0</v>
      </c>
      <c r="I232" s="674">
        <v>1</v>
      </c>
      <c r="J232" s="666">
        <v>1</v>
      </c>
      <c r="K232" s="667">
        <v>0</v>
      </c>
      <c r="L232" s="294">
        <f t="shared" si="16"/>
        <v>0</v>
      </c>
      <c r="M232" s="5">
        <f t="shared" si="17"/>
        <v>0</v>
      </c>
      <c r="N232" s="294">
        <f t="shared" si="18"/>
        <v>1</v>
      </c>
      <c r="O232" s="295">
        <f t="shared" si="19"/>
        <v>0</v>
      </c>
      <c r="P232" s="668">
        <v>307</v>
      </c>
    </row>
    <row r="233" spans="8:32" ht="15.75" thickBot="1">
      <c r="H233" s="672">
        <v>0</v>
      </c>
      <c r="I233" s="674">
        <v>1</v>
      </c>
      <c r="J233" s="673">
        <v>1</v>
      </c>
      <c r="K233" s="674">
        <v>0</v>
      </c>
      <c r="L233" s="294">
        <f t="shared" si="16"/>
        <v>0</v>
      </c>
      <c r="M233" s="5">
        <f t="shared" si="17"/>
        <v>0</v>
      </c>
      <c r="N233" s="294">
        <f t="shared" si="18"/>
        <v>1</v>
      </c>
      <c r="O233" s="295">
        <f t="shared" si="19"/>
        <v>0</v>
      </c>
      <c r="P233" s="675">
        <v>425</v>
      </c>
      <c r="Y233" t="s">
        <v>210</v>
      </c>
      <c r="AC233" s="659" t="s">
        <v>16</v>
      </c>
      <c r="AD233" s="659">
        <v>0.05</v>
      </c>
    </row>
    <row r="234" spans="8:32" ht="15.75" thickTop="1">
      <c r="H234" s="672">
        <v>0</v>
      </c>
      <c r="I234" s="674">
        <v>1</v>
      </c>
      <c r="J234" s="673">
        <v>1</v>
      </c>
      <c r="K234" s="674">
        <v>0</v>
      </c>
      <c r="L234" s="294">
        <f t="shared" si="16"/>
        <v>0</v>
      </c>
      <c r="M234" s="5">
        <f t="shared" si="17"/>
        <v>0</v>
      </c>
      <c r="N234" s="294">
        <f t="shared" si="18"/>
        <v>1</v>
      </c>
      <c r="O234" s="295">
        <f t="shared" si="19"/>
        <v>0</v>
      </c>
      <c r="P234" s="675">
        <v>378</v>
      </c>
      <c r="Y234" s="398"/>
      <c r="Z234" s="398" t="s">
        <v>26</v>
      </c>
      <c r="AA234" s="398" t="s">
        <v>137</v>
      </c>
      <c r="AB234" s="398" t="s">
        <v>156</v>
      </c>
      <c r="AC234" s="398" t="s">
        <v>63</v>
      </c>
      <c r="AD234" s="398" t="s">
        <v>30</v>
      </c>
      <c r="AE234" s="398" t="s">
        <v>374</v>
      </c>
    </row>
    <row r="235" spans="8:32">
      <c r="H235" s="672">
        <v>0</v>
      </c>
      <c r="I235" s="674">
        <v>1</v>
      </c>
      <c r="J235" s="673">
        <v>1</v>
      </c>
      <c r="K235" s="674">
        <v>0</v>
      </c>
      <c r="L235" s="294">
        <f t="shared" si="16"/>
        <v>0</v>
      </c>
      <c r="M235" s="5">
        <f t="shared" si="17"/>
        <v>0</v>
      </c>
      <c r="N235" s="294">
        <f t="shared" si="18"/>
        <v>1</v>
      </c>
      <c r="O235" s="295">
        <f t="shared" si="19"/>
        <v>0</v>
      </c>
      <c r="P235" s="675">
        <v>193</v>
      </c>
      <c r="Y235" t="s">
        <v>138</v>
      </c>
      <c r="Z235">
        <f>COUNT(S4:T4)</f>
        <v>2</v>
      </c>
      <c r="AA235" t="e">
        <f ca="1">DEVSQ(MMULT(DESIGN(S4:T45),Z240:Z242))</f>
        <v>#NAME?</v>
      </c>
      <c r="AB235" t="e">
        <f ca="1">AA235/Z235</f>
        <v>#NAME?</v>
      </c>
      <c r="AC235" t="e">
        <f ca="1">AB235/AB236</f>
        <v>#NAME?</v>
      </c>
      <c r="AD235" t="e">
        <f ca="1">FDIST(AC235,Z235,Z236)</f>
        <v>#NAME?</v>
      </c>
      <c r="AE235" s="659" t="e">
        <f ca="1">IF(AD235&lt;AD233,"yes","no")</f>
        <v>#NAME?</v>
      </c>
    </row>
    <row r="236" spans="8:32">
      <c r="H236" s="672">
        <v>0</v>
      </c>
      <c r="I236" s="674">
        <v>1</v>
      </c>
      <c r="J236" s="682">
        <v>1</v>
      </c>
      <c r="K236" s="679">
        <v>0</v>
      </c>
      <c r="L236" s="294">
        <f t="shared" si="16"/>
        <v>0</v>
      </c>
      <c r="M236" s="5">
        <f t="shared" si="17"/>
        <v>0</v>
      </c>
      <c r="N236" s="294">
        <f t="shared" si="18"/>
        <v>1</v>
      </c>
      <c r="O236" s="295">
        <f t="shared" si="19"/>
        <v>0</v>
      </c>
      <c r="P236" s="680">
        <v>285</v>
      </c>
      <c r="Y236" t="s">
        <v>211</v>
      </c>
      <c r="Z236">
        <f>Z237-Z235</f>
        <v>39</v>
      </c>
      <c r="AA236" t="e">
        <f ca="1">AA237-AA235</f>
        <v>#NAME?</v>
      </c>
      <c r="AB236" t="e">
        <f ca="1">AA236/Z236</f>
        <v>#NAME?</v>
      </c>
    </row>
    <row r="237" spans="8:32">
      <c r="H237" s="672">
        <v>0</v>
      </c>
      <c r="I237" s="674">
        <v>1</v>
      </c>
      <c r="J237" s="673">
        <v>0</v>
      </c>
      <c r="K237" s="674">
        <v>1</v>
      </c>
      <c r="L237" s="294">
        <f t="shared" si="16"/>
        <v>0</v>
      </c>
      <c r="M237" s="5">
        <f t="shared" si="17"/>
        <v>0</v>
      </c>
      <c r="N237" s="294">
        <f t="shared" si="18"/>
        <v>0</v>
      </c>
      <c r="O237" s="295">
        <f t="shared" si="19"/>
        <v>1</v>
      </c>
      <c r="P237" s="675">
        <v>365</v>
      </c>
      <c r="Y237" s="367" t="s">
        <v>1</v>
      </c>
      <c r="Z237" s="367">
        <f>Z231-1</f>
        <v>41</v>
      </c>
      <c r="AA237" s="367">
        <f>DEVSQ(W4:W45)</f>
        <v>765790.4761904761</v>
      </c>
      <c r="AB237" s="367"/>
      <c r="AC237" s="367"/>
      <c r="AD237" s="367"/>
      <c r="AE237" s="367"/>
    </row>
    <row r="238" spans="8:32" ht="15.75" thickBot="1">
      <c r="H238" s="672">
        <v>0</v>
      </c>
      <c r="I238" s="674">
        <v>1</v>
      </c>
      <c r="J238" s="673">
        <v>0</v>
      </c>
      <c r="K238" s="674">
        <v>1</v>
      </c>
      <c r="L238" s="294">
        <f t="shared" si="16"/>
        <v>0</v>
      </c>
      <c r="M238" s="5">
        <f t="shared" si="17"/>
        <v>0</v>
      </c>
      <c r="N238" s="294">
        <f t="shared" si="18"/>
        <v>0</v>
      </c>
      <c r="O238" s="295">
        <f t="shared" si="19"/>
        <v>1</v>
      </c>
      <c r="P238" s="675">
        <v>382</v>
      </c>
    </row>
    <row r="239" spans="8:32" ht="15.75" thickTop="1">
      <c r="H239" s="672">
        <v>0</v>
      </c>
      <c r="I239" s="674">
        <v>1</v>
      </c>
      <c r="J239" s="673">
        <v>0</v>
      </c>
      <c r="K239" s="674">
        <v>1</v>
      </c>
      <c r="L239" s="294">
        <f t="shared" si="16"/>
        <v>0</v>
      </c>
      <c r="M239" s="5">
        <f t="shared" si="17"/>
        <v>0</v>
      </c>
      <c r="N239" s="294">
        <f t="shared" si="18"/>
        <v>0</v>
      </c>
      <c r="O239" s="295">
        <f t="shared" si="19"/>
        <v>1</v>
      </c>
      <c r="P239" s="675">
        <v>289</v>
      </c>
      <c r="Y239" s="398"/>
      <c r="Z239" s="398" t="s">
        <v>600</v>
      </c>
      <c r="AA239" s="398" t="s">
        <v>503</v>
      </c>
      <c r="AB239" s="398" t="s">
        <v>27</v>
      </c>
      <c r="AC239" s="398" t="s">
        <v>30</v>
      </c>
      <c r="AD239" s="398" t="s">
        <v>13</v>
      </c>
      <c r="AE239" s="398" t="s">
        <v>14</v>
      </c>
      <c r="AF239" s="398" t="s">
        <v>750</v>
      </c>
    </row>
    <row r="240" spans="8:32">
      <c r="H240" s="678">
        <v>0</v>
      </c>
      <c r="I240" s="679">
        <v>1</v>
      </c>
      <c r="J240" s="682">
        <v>0</v>
      </c>
      <c r="K240" s="679">
        <v>1</v>
      </c>
      <c r="L240" s="284">
        <f t="shared" si="16"/>
        <v>0</v>
      </c>
      <c r="M240" s="367">
        <f t="shared" si="17"/>
        <v>0</v>
      </c>
      <c r="N240" s="284">
        <f t="shared" si="18"/>
        <v>0</v>
      </c>
      <c r="O240" s="288">
        <f t="shared" si="19"/>
        <v>1</v>
      </c>
      <c r="P240" s="680">
        <v>471</v>
      </c>
      <c r="Y240" t="s">
        <v>212</v>
      </c>
      <c r="Z240" t="e">
        <f t="array" aca="1" ref="Z240:AA242" ca="1">RegCoeff(S4:T45,W4:W45)</f>
        <v>#NAME?</v>
      </c>
      <c r="AA240" t="e">
        <f ca="1"/>
        <v>#NAME?</v>
      </c>
      <c r="AB240" t="e">
        <f ca="1">Z240/AA240</f>
        <v>#NAME?</v>
      </c>
      <c r="AC240" t="e">
        <f ca="1">TDIST(ABS(AB240),$Z$236,2)</f>
        <v>#NAME?</v>
      </c>
      <c r="AD240" t="e">
        <f ca="1">Z240-TINV(AD$233,$Z$236)*AA240</f>
        <v>#NAME?</v>
      </c>
      <c r="AE240" t="e">
        <f ca="1">Z240+TINV(AD$233,$Z$236)*AA240</f>
        <v>#NAME?</v>
      </c>
    </row>
    <row r="241" spans="25:32">
      <c r="Y241">
        <f t="array" ref="Y241:Y242">TRANSPOSE(S3:T3)</f>
        <v>2</v>
      </c>
      <c r="Z241" t="e">
        <f ca="1"/>
        <v>#NAME?</v>
      </c>
      <c r="AA241" t="e">
        <f ca="1"/>
        <v>#NAME?</v>
      </c>
      <c r="AB241" t="e">
        <f ca="1">Z241/AA241</f>
        <v>#NAME?</v>
      </c>
      <c r="AC241" t="e">
        <f ca="1">TDIST(ABS(AB241),$Z$236,2)</f>
        <v>#NAME?</v>
      </c>
      <c r="AD241" t="e">
        <f ca="1">Z241-TINV(AD$233,$Z$236)*AA241</f>
        <v>#NAME?</v>
      </c>
      <c r="AE241" t="e">
        <f ca="1">Z241+TINV(AD$233,$Z$236)*AA241</f>
        <v>#NAME?</v>
      </c>
      <c r="AF241" t="e">
        <f ca="1">VIF(S4:T45,1)</f>
        <v>#NAME?</v>
      </c>
    </row>
    <row r="242" spans="25:32">
      <c r="Y242" s="367">
        <v>3</v>
      </c>
      <c r="Z242" s="367" t="e">
        <f ca="1"/>
        <v>#NAME?</v>
      </c>
      <c r="AA242" s="367" t="e">
        <f ca="1"/>
        <v>#NAME?</v>
      </c>
      <c r="AB242" s="367" t="e">
        <f ca="1">Z242/AA242</f>
        <v>#NAME?</v>
      </c>
      <c r="AC242" s="367" t="e">
        <f ca="1">TDIST(ABS(AB242),$Z$236,2)</f>
        <v>#NAME?</v>
      </c>
      <c r="AD242" s="367" t="e">
        <f ca="1">Z242-TINV(AD$233,$Z$236)*AA242</f>
        <v>#NAME?</v>
      </c>
      <c r="AE242" s="367" t="e">
        <f ca="1">Z242+TINV(AD$233,$Z$236)*AA242</f>
        <v>#NAME?</v>
      </c>
      <c r="AF242" s="367" t="e">
        <f ca="1">VIF(S4:T45,2)</f>
        <v>#NAME?</v>
      </c>
    </row>
  </sheetData>
  <mergeCells count="3">
    <mergeCell ref="F2:R2"/>
    <mergeCell ref="S2:T2"/>
    <mergeCell ref="U2:V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4"/>
  <dimension ref="A1:V43"/>
  <sheetViews>
    <sheetView zoomScaleNormal="100" workbookViewId="0"/>
  </sheetViews>
  <sheetFormatPr defaultRowHeight="15"/>
  <cols>
    <col min="9" max="9" width="9.140625" customWidth="1"/>
    <col min="10" max="10" width="10.42578125" customWidth="1"/>
    <col min="16" max="16" width="17" customWidth="1"/>
    <col min="21" max="21" width="9.140625" customWidth="1"/>
  </cols>
  <sheetData>
    <row r="1" spans="1:22">
      <c r="A1" s="1" t="s">
        <v>990</v>
      </c>
    </row>
    <row r="3" spans="1:22">
      <c r="A3" s="558" t="s">
        <v>2</v>
      </c>
      <c r="B3" s="11" t="s">
        <v>996</v>
      </c>
      <c r="C3" s="11" t="s">
        <v>997</v>
      </c>
      <c r="D3" s="11" t="s">
        <v>998</v>
      </c>
      <c r="F3" t="s">
        <v>1022</v>
      </c>
      <c r="J3" t="s">
        <v>12</v>
      </c>
      <c r="P3" t="s">
        <v>992</v>
      </c>
    </row>
    <row r="4" spans="1:22">
      <c r="A4" s="644" t="s">
        <v>1002</v>
      </c>
      <c r="B4" s="662">
        <v>250</v>
      </c>
      <c r="C4" s="663">
        <v>278</v>
      </c>
      <c r="D4" s="664">
        <v>442</v>
      </c>
    </row>
    <row r="5" spans="1:22" ht="15.75" thickBot="1">
      <c r="A5" s="294"/>
      <c r="B5" s="669">
        <v>65</v>
      </c>
      <c r="C5" s="670">
        <v>207</v>
      </c>
      <c r="D5" s="671">
        <v>341</v>
      </c>
      <c r="F5" t="e">
        <f t="array" aca="1" ref="F5:H43" ca="1">Anova2Std(A3:D16)</f>
        <v>#NAME?</v>
      </c>
      <c r="G5" t="e">
        <f ca="1"/>
        <v>#NAME?</v>
      </c>
      <c r="H5" t="e">
        <f ca="1"/>
        <v>#NAME?</v>
      </c>
      <c r="J5" t="s">
        <v>626</v>
      </c>
      <c r="K5" t="str">
        <f ca="1">IF(COUNTIF(K7:M9,K7)=COUNT(K7:M9),"balanced","unbalanced")</f>
        <v>balanced</v>
      </c>
      <c r="P5" t="s">
        <v>210</v>
      </c>
      <c r="T5" s="659" t="s">
        <v>16</v>
      </c>
      <c r="U5" s="659">
        <v>0.05</v>
      </c>
    </row>
    <row r="6" spans="1:22" ht="15.75" thickTop="1">
      <c r="A6" s="294"/>
      <c r="B6" s="669">
        <v>251</v>
      </c>
      <c r="C6" s="670">
        <v>261</v>
      </c>
      <c r="D6" s="671">
        <v>384</v>
      </c>
      <c r="F6" t="e">
        <f ca="1"/>
        <v>#NAME?</v>
      </c>
      <c r="G6" t="e">
        <f ca="1"/>
        <v>#NAME?</v>
      </c>
      <c r="H6" t="e">
        <f ca="1"/>
        <v>#NAME?</v>
      </c>
      <c r="K6" t="e">
        <f t="array" aca="1" ref="K6:M6" ca="1">TRANSPOSE(SortUnique(G5:G43))</f>
        <v>#NAME?</v>
      </c>
      <c r="L6" t="e">
        <f ca="1"/>
        <v>#NAME?</v>
      </c>
      <c r="M6" t="e">
        <f ca="1"/>
        <v>#NAME?</v>
      </c>
      <c r="P6" s="398"/>
      <c r="Q6" s="398" t="s">
        <v>137</v>
      </c>
      <c r="R6" s="398" t="s">
        <v>26</v>
      </c>
      <c r="S6" s="398" t="s">
        <v>156</v>
      </c>
      <c r="T6" s="398" t="s">
        <v>63</v>
      </c>
      <c r="U6" s="398" t="s">
        <v>1003</v>
      </c>
      <c r="V6" s="398" t="s">
        <v>373</v>
      </c>
    </row>
    <row r="7" spans="1:22">
      <c r="A7" s="294"/>
      <c r="B7" s="669">
        <v>103</v>
      </c>
      <c r="C7" s="670">
        <v>286</v>
      </c>
      <c r="D7" s="671">
        <v>401</v>
      </c>
      <c r="F7" t="e">
        <f ca="1"/>
        <v>#NAME?</v>
      </c>
      <c r="G7" t="e">
        <f ca="1"/>
        <v>#NAME?</v>
      </c>
      <c r="H7" t="e">
        <f ca="1"/>
        <v>#NAME?</v>
      </c>
      <c r="J7" t="e">
        <f t="array" aca="1" ref="J7:J9" ca="1">SortUnique(F5:F43)</f>
        <v>#NAME?</v>
      </c>
      <c r="K7" s="544">
        <f t="array" aca="1" ref="K7" ca="1">COUNTIFS($F$5:$F$43,$J7,$G$5:$G$43,K$6)</f>
        <v>39</v>
      </c>
      <c r="L7" s="545">
        <f t="array" aca="1" ref="L7" ca="1">COUNTIFS($F$5:$F$43,$J7,$G$5:$G$43,L$6)</f>
        <v>39</v>
      </c>
      <c r="M7" s="546">
        <f t="array" aca="1" ref="M7" ca="1">COUNTIFS($F$5:$F$43,$J7,$G$5:$G$43,M$6)</f>
        <v>39</v>
      </c>
      <c r="N7">
        <f t="array" aca="1" ref="N7" ca="1">SUM(K7:M7)</f>
        <v>117</v>
      </c>
      <c r="P7" t="s">
        <v>1004</v>
      </c>
      <c r="Q7" t="e">
        <f ca="1">Q14-Q10</f>
        <v>#NAME?</v>
      </c>
      <c r="R7">
        <f ca="1">K10-1</f>
        <v>116</v>
      </c>
    </row>
    <row r="8" spans="1:22">
      <c r="A8" s="684" t="s">
        <v>1008</v>
      </c>
      <c r="B8" s="685">
        <v>54</v>
      </c>
      <c r="C8" s="686">
        <v>172</v>
      </c>
      <c r="D8" s="687">
        <v>307</v>
      </c>
      <c r="F8" t="e">
        <f ca="1"/>
        <v>#NAME?</v>
      </c>
      <c r="G8" t="e">
        <f ca="1"/>
        <v>#NAME?</v>
      </c>
      <c r="H8" t="e">
        <f ca="1"/>
        <v>#NAME?</v>
      </c>
      <c r="J8" t="e">
        <f ca="1"/>
        <v>#NAME?</v>
      </c>
      <c r="K8" s="292">
        <f t="array" aca="1" ref="K8" ca="1">COUNTIFS($F$5:$F$43,$J8,$G$5:$G$43,K$6)</f>
        <v>39</v>
      </c>
      <c r="L8" s="5">
        <f t="array" aca="1" ref="L8" ca="1">COUNTIFS($F$5:$F$43,$J8,$G$5:$G$43,L$6)</f>
        <v>39</v>
      </c>
      <c r="M8" s="43">
        <f t="array" aca="1" ref="M8" ca="1">COUNTIFS($F$5:$F$43,$J8,$G$5:$G$43,M$6)</f>
        <v>39</v>
      </c>
      <c r="N8">
        <f t="array" aca="1" ref="N8" ca="1">SUM(K8:M8)</f>
        <v>117</v>
      </c>
      <c r="P8" t="s">
        <v>1005</v>
      </c>
      <c r="Q8" t="e">
        <f ca="1">SSRRow(A3:D16)</f>
        <v>#NAME?</v>
      </c>
      <c r="R8">
        <f ca="1">COUNT(N14:N16)-1</f>
        <v>-1</v>
      </c>
      <c r="S8" t="e">
        <f ca="1">Q8/R8</f>
        <v>#NAME?</v>
      </c>
      <c r="T8" t="e">
        <f ca="1">S8/S9</f>
        <v>#NAME?</v>
      </c>
      <c r="U8" t="e">
        <f ca="1">FDIST(T8,R8,R9)</f>
        <v>#NAME?</v>
      </c>
      <c r="V8" t="e">
        <f ca="1">FINV(U5,R8,R9)</f>
        <v>#NUM!</v>
      </c>
    </row>
    <row r="9" spans="1:22">
      <c r="A9" s="293"/>
      <c r="B9" s="669">
        <v>20</v>
      </c>
      <c r="C9" s="670">
        <v>116</v>
      </c>
      <c r="D9" s="671">
        <v>425</v>
      </c>
      <c r="F9" t="e">
        <f ca="1"/>
        <v>#NAME?</v>
      </c>
      <c r="G9" t="e">
        <f ca="1"/>
        <v>#NAME?</v>
      </c>
      <c r="H9" t="e">
        <f ca="1"/>
        <v>#NAME?</v>
      </c>
      <c r="J9" t="e">
        <f ca="1"/>
        <v>#NAME?</v>
      </c>
      <c r="K9" s="688">
        <f t="array" aca="1" ref="K9" ca="1">COUNTIFS($F$5:$F$43,$J9,$G$5:$G$43,K$6)</f>
        <v>39</v>
      </c>
      <c r="L9" s="689">
        <f t="array" aca="1" ref="L9" ca="1">COUNTIFS($F$5:$F$43,$J9,$G$5:$G$43,L$6)</f>
        <v>39</v>
      </c>
      <c r="M9" s="690">
        <f t="array" aca="1" ref="M9" ca="1">COUNTIFS($F$5:$F$43,$J9,$G$5:$G$43,M$6)</f>
        <v>39</v>
      </c>
      <c r="N9">
        <f t="array" aca="1" ref="N9" ca="1">SUM(K9:M9)</f>
        <v>117</v>
      </c>
      <c r="P9" t="s">
        <v>1006</v>
      </c>
      <c r="Q9" t="e">
        <f ca="1">Q7-Q8</f>
        <v>#NAME?</v>
      </c>
      <c r="R9">
        <f ca="1">R7-R8</f>
        <v>117</v>
      </c>
      <c r="S9" t="e">
        <f ca="1">Q9/R9</f>
        <v>#NAME?</v>
      </c>
    </row>
    <row r="10" spans="1:22">
      <c r="A10" s="293"/>
      <c r="B10" s="669">
        <v>41</v>
      </c>
      <c r="C10" s="670">
        <v>168</v>
      </c>
      <c r="D10" s="671">
        <v>378</v>
      </c>
      <c r="F10" t="e">
        <f ca="1"/>
        <v>#NAME?</v>
      </c>
      <c r="G10" t="e">
        <f ca="1"/>
        <v>#NAME?</v>
      </c>
      <c r="H10" t="e">
        <f ca="1"/>
        <v>#NAME?</v>
      </c>
      <c r="K10">
        <f t="array" aca="1" ref="K10" ca="1">SUM(K7:K9)</f>
        <v>117</v>
      </c>
      <c r="L10">
        <f t="array" aca="1" ref="L10" ca="1">SUM(L7:L9)</f>
        <v>117</v>
      </c>
      <c r="M10">
        <f t="array" aca="1" ref="M10" ca="1">SUM(M7:M9)</f>
        <v>117</v>
      </c>
      <c r="N10">
        <f t="array" aca="1" ref="N10" ca="1">SUM(N7:N9)</f>
        <v>351</v>
      </c>
      <c r="P10" t="s">
        <v>1007</v>
      </c>
      <c r="Q10" t="e">
        <f ca="1">SSRW(B4:D16)</f>
        <v>#NAME?</v>
      </c>
      <c r="R10">
        <f ca="1">R14-R7</f>
        <v>234</v>
      </c>
    </row>
    <row r="11" spans="1:22">
      <c r="A11" s="293"/>
      <c r="B11" s="669">
        <v>29</v>
      </c>
      <c r="C11" s="670">
        <v>81</v>
      </c>
      <c r="D11" s="671">
        <v>193</v>
      </c>
      <c r="F11" t="e">
        <f ca="1"/>
        <v>#NAME?</v>
      </c>
      <c r="G11" t="e">
        <f ca="1"/>
        <v>#NAME?</v>
      </c>
      <c r="H11" t="e">
        <f ca="1"/>
        <v>#NAME?</v>
      </c>
      <c r="P11" t="s">
        <v>1009</v>
      </c>
      <c r="Q11" t="e">
        <f ca="1">SSBet(B4:D16)</f>
        <v>#NAME?</v>
      </c>
      <c r="R11">
        <f ca="1">COUNT(K17:M17)-1</f>
        <v>-1</v>
      </c>
      <c r="S11" t="e">
        <f ca="1">Q11/R11</f>
        <v>#NAME?</v>
      </c>
      <c r="T11" t="e">
        <f ca="1">S11/S13</f>
        <v>#NAME?</v>
      </c>
      <c r="U11" t="e">
        <f ca="1">FDIST(T11,R11,R13)</f>
        <v>#NAME?</v>
      </c>
      <c r="V11" t="e">
        <f ca="1">FINV(U5,R11,R13)</f>
        <v>#NUM!</v>
      </c>
    </row>
    <row r="12" spans="1:22">
      <c r="A12" s="289"/>
      <c r="B12" s="676">
        <v>3</v>
      </c>
      <c r="C12" s="691">
        <v>54</v>
      </c>
      <c r="D12" s="677">
        <v>285</v>
      </c>
      <c r="F12" t="e">
        <f ca="1"/>
        <v>#NAME?</v>
      </c>
      <c r="G12" t="e">
        <f ca="1"/>
        <v>#NAME?</v>
      </c>
      <c r="H12" t="e">
        <f ca="1"/>
        <v>#NAME?</v>
      </c>
      <c r="J12" t="s">
        <v>396</v>
      </c>
      <c r="P12" t="s">
        <v>1010</v>
      </c>
      <c r="Q12" t="e">
        <f ca="1">SSRInt(A3:D16)</f>
        <v>#NAME?</v>
      </c>
      <c r="R12">
        <f ca="1">R8*R11</f>
        <v>1</v>
      </c>
      <c r="S12" t="e">
        <f ca="1">Q12/R12</f>
        <v>#NAME?</v>
      </c>
      <c r="T12" t="e">
        <f ca="1">S12/S13</f>
        <v>#NAME?</v>
      </c>
      <c r="U12" t="e">
        <f ca="1">FDIST(T12,R12,R13)</f>
        <v>#NAME?</v>
      </c>
      <c r="V12">
        <f ca="1">FINV(U5,R12,R13)</f>
        <v>3.8815053755433415</v>
      </c>
    </row>
    <row r="13" spans="1:22">
      <c r="A13" s="684" t="s">
        <v>37</v>
      </c>
      <c r="B13" s="669">
        <v>118</v>
      </c>
      <c r="C13" s="670">
        <v>124</v>
      </c>
      <c r="D13" s="671">
        <v>365</v>
      </c>
      <c r="F13" t="e">
        <f ca="1"/>
        <v>#NAME?</v>
      </c>
      <c r="G13" t="e">
        <f ca="1"/>
        <v>#NAME?</v>
      </c>
      <c r="H13" t="e">
        <f ca="1"/>
        <v>#NAME?</v>
      </c>
      <c r="K13" t="e">
        <f t="array" aca="1" ref="K13:M13" ca="1">TRANSPOSE(SortUnique(G5:G43))</f>
        <v>#NAME?</v>
      </c>
      <c r="L13" t="e">
        <f ca="1"/>
        <v>#NAME?</v>
      </c>
      <c r="M13" t="e">
        <f ca="1"/>
        <v>#NAME?</v>
      </c>
      <c r="P13" t="s">
        <v>1006</v>
      </c>
      <c r="Q13" t="e">
        <f ca="1">Q10-Q11-Q12</f>
        <v>#NAME?</v>
      </c>
      <c r="R13">
        <f ca="1">R10-R11-R12</f>
        <v>234</v>
      </c>
      <c r="S13" t="e">
        <f ca="1">Q13/R13</f>
        <v>#NAME?</v>
      </c>
    </row>
    <row r="14" spans="1:22">
      <c r="A14" s="293"/>
      <c r="B14" s="669">
        <v>83</v>
      </c>
      <c r="C14" s="670">
        <v>266</v>
      </c>
      <c r="D14" s="671">
        <v>382</v>
      </c>
      <c r="F14" t="e">
        <f ca="1"/>
        <v>#NAME?</v>
      </c>
      <c r="G14" t="e">
        <f ca="1"/>
        <v>#NAME?</v>
      </c>
      <c r="H14" t="e">
        <f ca="1"/>
        <v>#NAME?</v>
      </c>
      <c r="J14" t="e">
        <f t="array" aca="1" ref="J14:J16" ca="1">SortUnique(F5:F43)</f>
        <v>#NAME?</v>
      </c>
      <c r="K14" s="544" t="e">
        <f t="array" aca="1" ref="K14" ca="1">AVERAGEIFS($H$5:$H$43,$F$5:$F$43,$J14,$G$5:$G$43,K$13)</f>
        <v>#NAME?</v>
      </c>
      <c r="L14" s="545" t="e">
        <f t="array" aca="1" ref="L14" ca="1">AVERAGEIFS($H$5:$H$43,$F$5:$F$43,$J14,$G$5:$G$43,L$13)</f>
        <v>#NAME?</v>
      </c>
      <c r="M14" s="546" t="e">
        <f t="array" aca="1" ref="M14" ca="1">AVERAGEIFS($H$5:$H$43,$F$5:$F$43,$J14,$G$5:$G$43,M$13)</f>
        <v>#NAME?</v>
      </c>
      <c r="N14" t="e">
        <f t="array" aca="1" ref="N14" ca="1">AVERAGE(K14:M14)</f>
        <v>#NAME?</v>
      </c>
      <c r="P14" s="285" t="s">
        <v>1</v>
      </c>
      <c r="Q14" s="285" t="e">
        <f ca="1">S14*R14</f>
        <v>#NAME?</v>
      </c>
      <c r="R14" s="285">
        <f ca="1">N10-1</f>
        <v>350</v>
      </c>
      <c r="S14" s="285" t="e">
        <f ca="1">N24</f>
        <v>#NAME?</v>
      </c>
      <c r="T14" s="285"/>
      <c r="U14" s="285"/>
      <c r="V14" s="285"/>
    </row>
    <row r="15" spans="1:22">
      <c r="A15" s="293"/>
      <c r="B15" s="669">
        <v>38</v>
      </c>
      <c r="C15" s="670">
        <v>207</v>
      </c>
      <c r="D15" s="671">
        <v>289</v>
      </c>
      <c r="F15" t="e">
        <f ca="1"/>
        <v>#NAME?</v>
      </c>
      <c r="G15" t="e">
        <f ca="1"/>
        <v>#NAME?</v>
      </c>
      <c r="H15" t="e">
        <f ca="1"/>
        <v>#NAME?</v>
      </c>
      <c r="J15" t="e">
        <f ca="1"/>
        <v>#NAME?</v>
      </c>
      <c r="K15" s="292" t="e">
        <f t="array" aca="1" ref="K15" ca="1">AVERAGEIFS($H$5:$H$43,$F$5:$F$43,$J15,$G$5:$G$43,K$13)</f>
        <v>#NAME?</v>
      </c>
      <c r="L15" s="5" t="e">
        <f t="array" aca="1" ref="L15" ca="1">AVERAGEIFS($H$5:$H$43,$F$5:$F$43,$J15,$G$5:$G$43,L$13)</f>
        <v>#NAME?</v>
      </c>
      <c r="M15" s="43" t="e">
        <f t="array" aca="1" ref="M15" ca="1">AVERAGEIFS($H$5:$H$43,$F$5:$F$43,$J15,$G$5:$G$43,M$13)</f>
        <v>#NAME?</v>
      </c>
      <c r="N15" t="e">
        <f t="array" aca="1" ref="N15" ca="1">AVERAGE(K15:M15)</f>
        <v>#NAME?</v>
      </c>
    </row>
    <row r="16" spans="1:22">
      <c r="A16" s="289"/>
      <c r="B16" s="676">
        <v>71</v>
      </c>
      <c r="C16" s="691">
        <v>285</v>
      </c>
      <c r="D16" s="677">
        <v>471</v>
      </c>
      <c r="F16" t="e">
        <f ca="1"/>
        <v>#NAME?</v>
      </c>
      <c r="G16" t="e">
        <f ca="1"/>
        <v>#NAME?</v>
      </c>
      <c r="H16" t="e">
        <f ca="1"/>
        <v>#NAME?</v>
      </c>
      <c r="J16" t="e">
        <f ca="1"/>
        <v>#NAME?</v>
      </c>
      <c r="K16" s="688" t="e">
        <f t="array" aca="1" ref="K16" ca="1">AVERAGEIFS($H$5:$H$43,$F$5:$F$43,$J16,$G$5:$G$43,K$13)</f>
        <v>#NAME?</v>
      </c>
      <c r="L16" s="689" t="e">
        <f t="array" aca="1" ref="L16" ca="1">AVERAGEIFS($H$5:$H$43,$F$5:$F$43,$J16,$G$5:$G$43,L$13)</f>
        <v>#NAME?</v>
      </c>
      <c r="M16" s="690" t="e">
        <f t="array" aca="1" ref="M16" ca="1">AVERAGEIFS($H$5:$H$43,$F$5:$F$43,$J16,$G$5:$G$43,M$13)</f>
        <v>#NAME?</v>
      </c>
      <c r="N16" t="e">
        <f t="array" aca="1" ref="N16" ca="1">AVERAGE(K16:M16)</f>
        <v>#NAME?</v>
      </c>
    </row>
    <row r="17" spans="6:22" ht="15.75" thickBot="1">
      <c r="F17" t="e">
        <f ca="1"/>
        <v>#NAME?</v>
      </c>
      <c r="G17" t="e">
        <f ca="1"/>
        <v>#NAME?</v>
      </c>
      <c r="H17" t="e">
        <f ca="1"/>
        <v>#NAME?</v>
      </c>
      <c r="K17" t="e">
        <f t="array" aca="1" ref="K17" ca="1">AVERAGE(K14:K16)</f>
        <v>#NAME?</v>
      </c>
      <c r="L17" t="e">
        <f t="array" aca="1" ref="L17" ca="1">AVERAGE(L14:L16)</f>
        <v>#NAME?</v>
      </c>
      <c r="M17" t="e">
        <f t="array" aca="1" ref="M17" ca="1">AVERAGE(M14:M16)</f>
        <v>#NAME?</v>
      </c>
      <c r="N17" t="e">
        <f t="array" aca="1" ref="N17" ca="1">AVERAGE(N14:N16)</f>
        <v>#NAME?</v>
      </c>
      <c r="P17" t="s">
        <v>1023</v>
      </c>
      <c r="T17" t="s">
        <v>16</v>
      </c>
      <c r="U17">
        <v>0.05</v>
      </c>
    </row>
    <row r="18" spans="6:22" ht="15.75" thickTop="1">
      <c r="F18" t="e">
        <f ca="1"/>
        <v>#NAME?</v>
      </c>
      <c r="G18" t="e">
        <f ca="1"/>
        <v>#NAME?</v>
      </c>
      <c r="H18" t="e">
        <f ca="1"/>
        <v>#NAME?</v>
      </c>
      <c r="P18" s="398" t="s">
        <v>1024</v>
      </c>
      <c r="Q18" s="398" t="s">
        <v>137</v>
      </c>
      <c r="R18" s="398" t="s">
        <v>26</v>
      </c>
      <c r="S18" s="398" t="s">
        <v>156</v>
      </c>
      <c r="T18" s="398" t="s">
        <v>63</v>
      </c>
      <c r="U18" s="398" t="s">
        <v>1003</v>
      </c>
      <c r="V18" s="398" t="s">
        <v>1025</v>
      </c>
    </row>
    <row r="19" spans="6:22">
      <c r="F19" t="e">
        <f ca="1"/>
        <v>#NAME?</v>
      </c>
      <c r="G19" t="e">
        <f ca="1"/>
        <v>#NAME?</v>
      </c>
      <c r="H19" t="e">
        <f ca="1"/>
        <v>#NAME?</v>
      </c>
      <c r="J19" t="s">
        <v>627</v>
      </c>
      <c r="P19" t="s">
        <v>384</v>
      </c>
      <c r="Q19" t="e">
        <f ca="1">Q11</f>
        <v>#NAME?</v>
      </c>
      <c r="R19" t="e">
        <f ca="1">R11*K$26</f>
        <v>#NAME?</v>
      </c>
      <c r="S19" t="e">
        <f ca="1">Q19/R19</f>
        <v>#NAME?</v>
      </c>
      <c r="T19" t="e">
        <f ca="1">S19/S21</f>
        <v>#NAME?</v>
      </c>
      <c r="U19" t="e">
        <f ca="1">F_DIST_RT(T19,R19,R21)</f>
        <v>#NAME?</v>
      </c>
      <c r="V19" t="e">
        <f ca="1">F_INV_RT(U17,R19,R21)</f>
        <v>#NAME?</v>
      </c>
    </row>
    <row r="20" spans="6:22">
      <c r="F20" t="e">
        <f ca="1"/>
        <v>#NAME?</v>
      </c>
      <c r="G20" t="e">
        <f ca="1"/>
        <v>#NAME?</v>
      </c>
      <c r="H20" t="e">
        <f ca="1"/>
        <v>#NAME?</v>
      </c>
      <c r="K20" t="e">
        <f t="array" aca="1" ref="K20:M20" ca="1">TRANSPOSE(SortUnique(G5:G43))</f>
        <v>#NAME?</v>
      </c>
      <c r="L20" t="e">
        <f ca="1"/>
        <v>#NAME?</v>
      </c>
      <c r="M20" t="e">
        <f ca="1"/>
        <v>#NAME?</v>
      </c>
      <c r="P20" t="s">
        <v>349</v>
      </c>
      <c r="Q20" t="e">
        <f ca="1">Q12</f>
        <v>#NAME?</v>
      </c>
      <c r="R20" t="e">
        <f ca="1">R12*K$26</f>
        <v>#NAME?</v>
      </c>
      <c r="S20" t="e">
        <f ca="1">Q20/R20</f>
        <v>#NAME?</v>
      </c>
      <c r="T20" t="e">
        <f ca="1">S20/S21</f>
        <v>#NAME?</v>
      </c>
      <c r="U20" t="e">
        <f ca="1">F_DIST_RT(T20,R20,R21)</f>
        <v>#NAME?</v>
      </c>
      <c r="V20" t="e">
        <f ca="1">F_INV_RT(U17,R20,R21)</f>
        <v>#NAME?</v>
      </c>
    </row>
    <row r="21" spans="6:22">
      <c r="F21" t="e">
        <f ca="1"/>
        <v>#NAME?</v>
      </c>
      <c r="G21" t="e">
        <f ca="1"/>
        <v>#NAME?</v>
      </c>
      <c r="H21" t="e">
        <f ca="1"/>
        <v>#NAME?</v>
      </c>
      <c r="J21" t="e">
        <f t="array" aca="1" ref="J21:J23" ca="1">SortUnique(F5:F43)</f>
        <v>#NAME?</v>
      </c>
      <c r="K21" s="544" t="e">
        <f t="array" aca="1" ref="K21" ca="1">VAR(IF(($F$5:$F$43=$J21)*($G$5:$G$43=K$20),$H$5:$H$43))</f>
        <v>#NAME?</v>
      </c>
      <c r="L21" s="545" t="e">
        <f t="array" aca="1" ref="L21" ca="1">VAR(IF(($F$5:$F$43=$J21)*($G$5:$G$43=L$20),$H$5:$H$43))</f>
        <v>#NAME?</v>
      </c>
      <c r="M21" s="546" t="e">
        <f t="array" aca="1" ref="M21" ca="1">VAR(IF(($F$5:$F$43=$J21)*($G$5:$G$43=M$20),$H$5:$H$43))</f>
        <v>#NAME?</v>
      </c>
      <c r="N21" t="e">
        <f t="array" aca="1" ref="N21" ca="1">VAR(IF($F$5:$F$43=$J21,$H$5:$H$43))</f>
        <v>#NAME?</v>
      </c>
      <c r="P21" t="s">
        <v>1026</v>
      </c>
      <c r="Q21" t="e">
        <f ca="1">Q13</f>
        <v>#NAME?</v>
      </c>
      <c r="R21" t="e">
        <f ca="1">R13*K$26</f>
        <v>#NAME?</v>
      </c>
      <c r="S21" t="e">
        <f ca="1">Q21/R21</f>
        <v>#NAME?</v>
      </c>
    </row>
    <row r="22" spans="6:22">
      <c r="F22" t="e">
        <f ca="1"/>
        <v>#NAME?</v>
      </c>
      <c r="G22" t="e">
        <f ca="1"/>
        <v>#NAME?</v>
      </c>
      <c r="H22" t="e">
        <f ca="1"/>
        <v>#NAME?</v>
      </c>
      <c r="J22" t="e">
        <f ca="1"/>
        <v>#NAME?</v>
      </c>
      <c r="K22" s="292" t="e">
        <f t="array" aca="1" ref="K22" ca="1">VAR(IF(($F$5:$F$43=$J22)*($G$5:$G$43=K$20),$H$5:$H$43))</f>
        <v>#NAME?</v>
      </c>
      <c r="L22" s="5" t="e">
        <f t="array" aca="1" ref="L22" ca="1">VAR(IF(($F$5:$F$43=$J22)*($G$5:$G$43=L$20),$H$5:$H$43))</f>
        <v>#NAME?</v>
      </c>
      <c r="M22" s="43" t="e">
        <f t="array" aca="1" ref="M22" ca="1">VAR(IF(($F$5:$F$43=$J22)*($G$5:$G$43=M$20),$H$5:$H$43))</f>
        <v>#NAME?</v>
      </c>
      <c r="N22" t="e">
        <f t="array" aca="1" ref="N22" ca="1">VAR(IF($F$5:$F$43=$J22,$H$5:$H$43))</f>
        <v>#NAME?</v>
      </c>
      <c r="P22" s="692"/>
      <c r="Q22" s="692"/>
      <c r="R22" s="692"/>
      <c r="S22" s="692"/>
      <c r="T22" s="692"/>
      <c r="U22" s="692"/>
      <c r="V22" s="692"/>
    </row>
    <row r="23" spans="6:22" ht="15.75" thickBot="1">
      <c r="F23" t="e">
        <f ca="1"/>
        <v>#NAME?</v>
      </c>
      <c r="G23" t="e">
        <f ca="1"/>
        <v>#NAME?</v>
      </c>
      <c r="H23" t="e">
        <f ca="1"/>
        <v>#NAME?</v>
      </c>
      <c r="J23" t="e">
        <f ca="1"/>
        <v>#NAME?</v>
      </c>
      <c r="K23" s="688" t="e">
        <f t="array" aca="1" ref="K23" ca="1">VAR(IF(($F$5:$F$43=$J23)*($G$5:$G$43=K$20),$H$5:$H$43))</f>
        <v>#NAME?</v>
      </c>
      <c r="L23" s="689" t="e">
        <f t="array" aca="1" ref="L23" ca="1">VAR(IF(($F$5:$F$43=$J23)*($G$5:$G$43=L$20),$H$5:$H$43))</f>
        <v>#NAME?</v>
      </c>
      <c r="M23" s="690" t="e">
        <f t="array" aca="1" ref="M23" ca="1">VAR(IF(($F$5:$F$43=$J23)*($G$5:$G$43=M$20),$H$5:$H$43))</f>
        <v>#NAME?</v>
      </c>
      <c r="N23" t="e">
        <f t="array" aca="1" ref="N23" ca="1">VAR(IF($F$5:$F$43=$J23,$H$5:$H$43))</f>
        <v>#NAME?</v>
      </c>
      <c r="P23" t="s">
        <v>1027</v>
      </c>
      <c r="T23" t="s">
        <v>16</v>
      </c>
      <c r="U23">
        <v>0.05</v>
      </c>
    </row>
    <row r="24" spans="6:22" ht="15.75" thickTop="1">
      <c r="F24" t="e">
        <f ca="1"/>
        <v>#NAME?</v>
      </c>
      <c r="G24" t="e">
        <f ca="1"/>
        <v>#NAME?</v>
      </c>
      <c r="H24" t="e">
        <f ca="1"/>
        <v>#NAME?</v>
      </c>
      <c r="K24" t="e">
        <f t="array" aca="1" ref="K24" ca="1">VAR(IF($G$5:$G$43=K$20,$H$5:$H$43))</f>
        <v>#NAME?</v>
      </c>
      <c r="L24" t="e">
        <f t="array" aca="1" ref="L24" ca="1">VAR(IF($G$5:$G$43=L$20,$H$5:$H$43))</f>
        <v>#NAME?</v>
      </c>
      <c r="M24" t="e">
        <f t="array" aca="1" ref="M24" ca="1">VAR(IF($G$5:$G$43=M$20,$H$5:$H$43))</f>
        <v>#NAME?</v>
      </c>
      <c r="N24" t="e">
        <f ca="1">VAR(H5:H43)</f>
        <v>#NAME?</v>
      </c>
      <c r="P24" s="398" t="s">
        <v>1024</v>
      </c>
      <c r="Q24" s="398" t="s">
        <v>137</v>
      </c>
      <c r="R24" s="398" t="s">
        <v>26</v>
      </c>
      <c r="S24" s="398" t="s">
        <v>156</v>
      </c>
      <c r="T24" s="398" t="s">
        <v>63</v>
      </c>
      <c r="U24" s="398" t="s">
        <v>1003</v>
      </c>
      <c r="V24" s="398" t="s">
        <v>1025</v>
      </c>
    </row>
    <row r="25" spans="6:22">
      <c r="F25" t="e">
        <f ca="1"/>
        <v>#NAME?</v>
      </c>
      <c r="G25" t="e">
        <f ca="1"/>
        <v>#NAME?</v>
      </c>
      <c r="H25" t="e">
        <f ca="1"/>
        <v>#NAME?</v>
      </c>
      <c r="P25" t="s">
        <v>384</v>
      </c>
      <c r="Q25" t="e">
        <f ca="1">Q11</f>
        <v>#NAME?</v>
      </c>
      <c r="R25" t="e">
        <f ca="1">R11*K$27</f>
        <v>#NAME?</v>
      </c>
      <c r="S25" t="e">
        <f ca="1">Q25/R25</f>
        <v>#NAME?</v>
      </c>
      <c r="T25" t="e">
        <f ca="1">S25/S27</f>
        <v>#NAME?</v>
      </c>
      <c r="U25" t="e">
        <f ca="1">F_DIST_RT(T25,R25,R27)</f>
        <v>#NAME?</v>
      </c>
      <c r="V25" t="e">
        <f ca="1">F_INV_RT(U23,R25,R27)</f>
        <v>#NAME?</v>
      </c>
    </row>
    <row r="26" spans="6:22">
      <c r="F26" t="e">
        <f ca="1"/>
        <v>#NAME?</v>
      </c>
      <c r="G26" t="e">
        <f ca="1"/>
        <v>#NAME?</v>
      </c>
      <c r="H26" t="e">
        <f ca="1"/>
        <v>#NAME?</v>
      </c>
      <c r="J26" t="s">
        <v>1028</v>
      </c>
      <c r="K26" s="693" t="e">
        <f ca="1">GG_Epsilon(A3:D16)</f>
        <v>#NAME?</v>
      </c>
      <c r="P26" t="s">
        <v>349</v>
      </c>
      <c r="Q26" t="e">
        <f ca="1">Q12</f>
        <v>#NAME?</v>
      </c>
      <c r="R26" t="e">
        <f ca="1">R12*K$27</f>
        <v>#NAME?</v>
      </c>
      <c r="S26" t="e">
        <f ca="1">Q26/R26</f>
        <v>#NAME?</v>
      </c>
      <c r="T26" t="e">
        <f ca="1">S26/S27</f>
        <v>#NAME?</v>
      </c>
      <c r="U26" t="e">
        <f ca="1">F_DIST_RT(T26,R26,R27)</f>
        <v>#NAME?</v>
      </c>
      <c r="V26" t="e">
        <f ca="1">F_INV_RT(U23,R26,R27)</f>
        <v>#NAME?</v>
      </c>
    </row>
    <row r="27" spans="6:22">
      <c r="F27" t="e">
        <f ca="1"/>
        <v>#NAME?</v>
      </c>
      <c r="G27" t="e">
        <f ca="1"/>
        <v>#NAME?</v>
      </c>
      <c r="H27" t="e">
        <f ca="1"/>
        <v>#NAME?</v>
      </c>
      <c r="J27" t="s">
        <v>1029</v>
      </c>
      <c r="K27" s="114" t="e">
        <f ca="1">HF_Epsilon(A3:D16)</f>
        <v>#NAME?</v>
      </c>
      <c r="P27" t="s">
        <v>1026</v>
      </c>
      <c r="Q27" t="e">
        <f ca="1">Q13</f>
        <v>#NAME?</v>
      </c>
      <c r="R27" t="e">
        <f ca="1">R13*K$27</f>
        <v>#NAME?</v>
      </c>
      <c r="S27" t="e">
        <f ca="1">Q27/R27</f>
        <v>#NAME?</v>
      </c>
    </row>
    <row r="28" spans="6:22">
      <c r="F28" t="e">
        <f ca="1"/>
        <v>#NAME?</v>
      </c>
      <c r="G28" t="e">
        <f ca="1"/>
        <v>#NAME?</v>
      </c>
      <c r="H28" t="e">
        <f ca="1"/>
        <v>#NAME?</v>
      </c>
      <c r="P28" s="692"/>
      <c r="Q28" s="692"/>
      <c r="R28" s="692"/>
      <c r="S28" s="692"/>
      <c r="T28" s="692"/>
      <c r="U28" s="692"/>
      <c r="V28" s="692"/>
    </row>
    <row r="29" spans="6:22">
      <c r="F29" t="e">
        <f ca="1"/>
        <v>#NAME?</v>
      </c>
      <c r="G29" t="e">
        <f ca="1"/>
        <v>#NAME?</v>
      </c>
      <c r="H29" t="e">
        <f ca="1"/>
        <v>#NAME?</v>
      </c>
    </row>
    <row r="30" spans="6:22">
      <c r="F30" t="e">
        <f ca="1"/>
        <v>#NAME?</v>
      </c>
      <c r="G30" t="e">
        <f ca="1"/>
        <v>#NAME?</v>
      </c>
      <c r="H30" t="e">
        <f ca="1"/>
        <v>#NAME?</v>
      </c>
    </row>
    <row r="31" spans="6:22">
      <c r="F31" t="e">
        <f ca="1"/>
        <v>#NAME?</v>
      </c>
      <c r="G31" t="e">
        <f ca="1"/>
        <v>#NAME?</v>
      </c>
      <c r="H31" t="e">
        <f ca="1"/>
        <v>#NAME?</v>
      </c>
    </row>
    <row r="32" spans="6:22">
      <c r="F32" t="e">
        <f ca="1"/>
        <v>#NAME?</v>
      </c>
      <c r="G32" t="e">
        <f ca="1"/>
        <v>#NAME?</v>
      </c>
      <c r="H32" t="e">
        <f ca="1"/>
        <v>#NAME?</v>
      </c>
    </row>
    <row r="33" spans="6:8">
      <c r="F33" t="e">
        <f ca="1"/>
        <v>#NAME?</v>
      </c>
      <c r="G33" t="e">
        <f ca="1"/>
        <v>#NAME?</v>
      </c>
      <c r="H33" t="e">
        <f ca="1"/>
        <v>#NAME?</v>
      </c>
    </row>
    <row r="34" spans="6:8">
      <c r="F34" t="e">
        <f ca="1"/>
        <v>#NAME?</v>
      </c>
      <c r="G34" t="e">
        <f ca="1"/>
        <v>#NAME?</v>
      </c>
      <c r="H34" t="e">
        <f ca="1"/>
        <v>#NAME?</v>
      </c>
    </row>
    <row r="35" spans="6:8">
      <c r="F35" t="e">
        <f ca="1"/>
        <v>#NAME?</v>
      </c>
      <c r="G35" t="e">
        <f ca="1"/>
        <v>#NAME?</v>
      </c>
      <c r="H35" t="e">
        <f ca="1"/>
        <v>#NAME?</v>
      </c>
    </row>
    <row r="36" spans="6:8">
      <c r="F36" t="e">
        <f ca="1"/>
        <v>#NAME?</v>
      </c>
      <c r="G36" t="e">
        <f ca="1"/>
        <v>#NAME?</v>
      </c>
      <c r="H36" t="e">
        <f ca="1"/>
        <v>#NAME?</v>
      </c>
    </row>
    <row r="37" spans="6:8">
      <c r="F37" t="e">
        <f ca="1"/>
        <v>#NAME?</v>
      </c>
      <c r="G37" t="e">
        <f ca="1"/>
        <v>#NAME?</v>
      </c>
      <c r="H37" t="e">
        <f ca="1"/>
        <v>#NAME?</v>
      </c>
    </row>
    <row r="38" spans="6:8">
      <c r="F38" t="e">
        <f ca="1"/>
        <v>#NAME?</v>
      </c>
      <c r="G38" t="e">
        <f ca="1"/>
        <v>#NAME?</v>
      </c>
      <c r="H38" t="e">
        <f ca="1"/>
        <v>#NAME?</v>
      </c>
    </row>
    <row r="39" spans="6:8">
      <c r="F39" t="e">
        <f ca="1"/>
        <v>#NAME?</v>
      </c>
      <c r="G39" t="e">
        <f ca="1"/>
        <v>#NAME?</v>
      </c>
      <c r="H39" t="e">
        <f ca="1"/>
        <v>#NAME?</v>
      </c>
    </row>
    <row r="40" spans="6:8">
      <c r="F40" t="e">
        <f ca="1"/>
        <v>#NAME?</v>
      </c>
      <c r="G40" t="e">
        <f ca="1"/>
        <v>#NAME?</v>
      </c>
      <c r="H40" t="e">
        <f ca="1"/>
        <v>#NAME?</v>
      </c>
    </row>
    <row r="41" spans="6:8">
      <c r="F41" t="e">
        <f ca="1"/>
        <v>#NAME?</v>
      </c>
      <c r="G41" t="e">
        <f ca="1"/>
        <v>#NAME?</v>
      </c>
      <c r="H41" t="e">
        <f ca="1"/>
        <v>#NAME?</v>
      </c>
    </row>
    <row r="42" spans="6:8">
      <c r="F42" t="e">
        <f ca="1"/>
        <v>#NAME?</v>
      </c>
      <c r="G42" t="e">
        <f ca="1"/>
        <v>#NAME?</v>
      </c>
      <c r="H42" t="e">
        <f ca="1"/>
        <v>#NAME?</v>
      </c>
    </row>
    <row r="43" spans="6:8">
      <c r="F43" t="e">
        <f ca="1"/>
        <v>#NAME?</v>
      </c>
      <c r="G43" t="e">
        <f ca="1"/>
        <v>#NAME?</v>
      </c>
      <c r="H43" t="e">
        <f ca="1"/>
        <v>#NAME?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9"/>
  <dimension ref="A1:V42"/>
  <sheetViews>
    <sheetView workbookViewId="0"/>
  </sheetViews>
  <sheetFormatPr defaultRowHeight="15"/>
  <cols>
    <col min="2" max="2" width="8" customWidth="1"/>
    <col min="3" max="3" width="6.28515625" customWidth="1"/>
    <col min="16" max="16" width="17.42578125" customWidth="1"/>
  </cols>
  <sheetData>
    <row r="1" spans="1:22">
      <c r="A1" s="1" t="s">
        <v>990</v>
      </c>
    </row>
    <row r="3" spans="1:22">
      <c r="A3" s="496" t="s">
        <v>2</v>
      </c>
      <c r="B3" s="496" t="s">
        <v>1030</v>
      </c>
      <c r="C3" s="491" t="s">
        <v>1031</v>
      </c>
      <c r="E3" t="s">
        <v>1032</v>
      </c>
      <c r="J3" t="s">
        <v>12</v>
      </c>
      <c r="P3" t="s">
        <v>992</v>
      </c>
    </row>
    <row r="4" spans="1:22">
      <c r="A4" t="s">
        <v>1002</v>
      </c>
      <c r="B4" t="s">
        <v>996</v>
      </c>
      <c r="C4">
        <v>250</v>
      </c>
    </row>
    <row r="5" spans="1:22" ht="15.75" thickBot="1">
      <c r="A5" t="s">
        <v>1002</v>
      </c>
      <c r="B5" t="s">
        <v>997</v>
      </c>
      <c r="C5">
        <v>278</v>
      </c>
      <c r="E5" t="e">
        <f t="array" aca="1" ref="E5:H20" ca="1">StdAnova2(A4:C42)</f>
        <v>#NAME?</v>
      </c>
      <c r="F5" t="e">
        <f ca="1"/>
        <v>#NAME?</v>
      </c>
      <c r="G5" t="e">
        <f ca="1"/>
        <v>#NAME?</v>
      </c>
      <c r="H5" t="e">
        <f ca="1"/>
        <v>#NAME?</v>
      </c>
      <c r="J5" t="s">
        <v>626</v>
      </c>
      <c r="K5" t="str">
        <f ca="1">IF(COUNTIF(K7:M9,K7)=COUNT(K7:M9),"balanced","unbalanced")</f>
        <v>balanced</v>
      </c>
      <c r="P5" t="s">
        <v>210</v>
      </c>
      <c r="T5" s="659" t="s">
        <v>16</v>
      </c>
      <c r="U5" s="659">
        <v>0.05</v>
      </c>
    </row>
    <row r="6" spans="1:22" ht="15.75" thickTop="1">
      <c r="A6" t="s">
        <v>1002</v>
      </c>
      <c r="B6" t="s">
        <v>998</v>
      </c>
      <c r="C6">
        <v>442</v>
      </c>
      <c r="E6" t="e">
        <f ca="1"/>
        <v>#NAME?</v>
      </c>
      <c r="F6" s="544" t="e">
        <f ca="1"/>
        <v>#NAME?</v>
      </c>
      <c r="G6" s="545" t="e">
        <f ca="1"/>
        <v>#NAME?</v>
      </c>
      <c r="H6" s="546" t="e">
        <f ca="1"/>
        <v>#NAME?</v>
      </c>
      <c r="K6" t="e">
        <f t="array" aca="1" ref="K6:M6" ca="1">TRANSPOSE(SortUnique(B4:B42))</f>
        <v>#NAME?</v>
      </c>
      <c r="L6" t="e">
        <f ca="1"/>
        <v>#NAME?</v>
      </c>
      <c r="M6" t="e">
        <f ca="1"/>
        <v>#NAME?</v>
      </c>
      <c r="P6" s="398"/>
      <c r="Q6" s="398" t="s">
        <v>137</v>
      </c>
      <c r="R6" s="398" t="s">
        <v>26</v>
      </c>
      <c r="S6" s="398" t="s">
        <v>156</v>
      </c>
      <c r="T6" s="398" t="s">
        <v>63</v>
      </c>
      <c r="U6" s="398" t="s">
        <v>1003</v>
      </c>
      <c r="V6" s="398" t="s">
        <v>373</v>
      </c>
    </row>
    <row r="7" spans="1:22">
      <c r="A7" t="s">
        <v>1002</v>
      </c>
      <c r="B7" t="s">
        <v>996</v>
      </c>
      <c r="C7">
        <v>65</v>
      </c>
      <c r="E7" t="e">
        <f ca="1"/>
        <v>#NAME?</v>
      </c>
      <c r="F7" s="292" t="e">
        <f ca="1"/>
        <v>#NAME?</v>
      </c>
      <c r="G7" s="5" t="e">
        <f ca="1"/>
        <v>#NAME?</v>
      </c>
      <c r="H7" s="43" t="e">
        <f ca="1"/>
        <v>#NAME?</v>
      </c>
      <c r="J7" t="e">
        <f t="array" aca="1" ref="J7:J9" ca="1">SortUnique(A4:A42)</f>
        <v>#NAME?</v>
      </c>
      <c r="K7" s="544">
        <f t="array" aca="1" ref="K7" ca="1">COUNTIFS($A$4:$A$42,$J7,$B$4:$B$42,K$6)</f>
        <v>0</v>
      </c>
      <c r="L7" s="545">
        <f t="array" aca="1" ref="L7" ca="1">COUNTIFS($A$4:$A$42,$J7,$B$4:$B$42,L$6)</f>
        <v>0</v>
      </c>
      <c r="M7" s="546">
        <f t="array" aca="1" ref="M7" ca="1">COUNTIFS($A$4:$A$42,$J7,$B$4:$B$42,M$6)</f>
        <v>0</v>
      </c>
      <c r="N7">
        <f t="array" aca="1" ref="N7" ca="1">SUM(K7:M7)</f>
        <v>0</v>
      </c>
      <c r="P7" t="s">
        <v>1004</v>
      </c>
      <c r="Q7" t="e">
        <f ca="1">Q14-Q10</f>
        <v>#NAME?</v>
      </c>
      <c r="R7">
        <f ca="1">K10-1</f>
        <v>-1</v>
      </c>
    </row>
    <row r="8" spans="1:22">
      <c r="A8" t="s">
        <v>1002</v>
      </c>
      <c r="B8" t="s">
        <v>997</v>
      </c>
      <c r="C8">
        <v>207</v>
      </c>
      <c r="E8" t="e">
        <f ca="1"/>
        <v>#NAME?</v>
      </c>
      <c r="F8" s="292" t="e">
        <f ca="1"/>
        <v>#NAME?</v>
      </c>
      <c r="G8" s="5" t="e">
        <f ca="1"/>
        <v>#NAME?</v>
      </c>
      <c r="H8" s="43" t="e">
        <f ca="1"/>
        <v>#NAME?</v>
      </c>
      <c r="J8" t="e">
        <f ca="1"/>
        <v>#NAME?</v>
      </c>
      <c r="K8" s="292">
        <f t="array" aca="1" ref="K8" ca="1">COUNTIFS($A$4:$A$42,$J8,$B$4:$B$42,K$6)</f>
        <v>0</v>
      </c>
      <c r="L8" s="5">
        <f t="array" aca="1" ref="L8" ca="1">COUNTIFS($A$4:$A$42,$J8,$B$4:$B$42,L$6)</f>
        <v>0</v>
      </c>
      <c r="M8" s="43">
        <f t="array" aca="1" ref="M8" ca="1">COUNTIFS($A$4:$A$42,$J8,$B$4:$B$42,M$6)</f>
        <v>0</v>
      </c>
      <c r="N8">
        <f t="array" aca="1" ref="N8" ca="1">SUM(K8:M8)</f>
        <v>0</v>
      </c>
      <c r="P8" t="s">
        <v>1005</v>
      </c>
      <c r="Q8" t="e">
        <f ca="1">SSRRow(E5:H20)</f>
        <v>#NAME?</v>
      </c>
      <c r="R8">
        <f ca="1">COUNT(N14:N16)-1</f>
        <v>-1</v>
      </c>
      <c r="S8" t="e">
        <f ca="1">Q8/R8</f>
        <v>#NAME?</v>
      </c>
      <c r="T8" t="e">
        <f ca="1">S8/S9</f>
        <v>#NAME?</v>
      </c>
      <c r="U8" t="e">
        <f ca="1">FDIST(T8,R8,R9)</f>
        <v>#NAME?</v>
      </c>
      <c r="V8" t="e">
        <f ca="1">FINV(U5,R8,R9)</f>
        <v>#NUM!</v>
      </c>
    </row>
    <row r="9" spans="1:22">
      <c r="A9" t="s">
        <v>1002</v>
      </c>
      <c r="B9" t="s">
        <v>998</v>
      </c>
      <c r="C9">
        <v>341</v>
      </c>
      <c r="E9" t="e">
        <f ca="1"/>
        <v>#NAME?</v>
      </c>
      <c r="F9" s="292" t="e">
        <f ca="1"/>
        <v>#NAME?</v>
      </c>
      <c r="G9" s="5" t="e">
        <f ca="1"/>
        <v>#NAME?</v>
      </c>
      <c r="H9" s="43" t="e">
        <f ca="1"/>
        <v>#NAME?</v>
      </c>
      <c r="J9" t="e">
        <f ca="1"/>
        <v>#NAME?</v>
      </c>
      <c r="K9" s="688">
        <f t="array" aca="1" ref="K9" ca="1">COUNTIFS($A$4:$A$42,$J9,$B$4:$B$42,K$6)</f>
        <v>0</v>
      </c>
      <c r="L9" s="689">
        <f t="array" aca="1" ref="L9" ca="1">COUNTIFS($A$4:$A$42,$J9,$B$4:$B$42,L$6)</f>
        <v>0</v>
      </c>
      <c r="M9" s="690">
        <f t="array" aca="1" ref="M9" ca="1">COUNTIFS($A$4:$A$42,$J9,$B$4:$B$42,M$6)</f>
        <v>0</v>
      </c>
      <c r="N9">
        <f t="array" aca="1" ref="N9" ca="1">SUM(K9:M9)</f>
        <v>0</v>
      </c>
      <c r="P9" t="s">
        <v>1006</v>
      </c>
      <c r="Q9" t="e">
        <f ca="1">Q7-Q8</f>
        <v>#NAME?</v>
      </c>
      <c r="R9">
        <f ca="1">R7-R8</f>
        <v>0</v>
      </c>
      <c r="S9" t="e">
        <f ca="1">Q9/R9</f>
        <v>#NAME?</v>
      </c>
    </row>
    <row r="10" spans="1:22">
      <c r="A10" t="s">
        <v>1002</v>
      </c>
      <c r="B10" t="s">
        <v>996</v>
      </c>
      <c r="C10">
        <v>251</v>
      </c>
      <c r="E10" t="e">
        <f ca="1"/>
        <v>#NAME?</v>
      </c>
      <c r="F10" s="292" t="e">
        <f ca="1"/>
        <v>#NAME?</v>
      </c>
      <c r="G10" s="5" t="e">
        <f ca="1"/>
        <v>#NAME?</v>
      </c>
      <c r="H10" s="43" t="e">
        <f ca="1"/>
        <v>#NAME?</v>
      </c>
      <c r="K10">
        <f t="array" aca="1" ref="K10" ca="1">SUM(K7:K9)</f>
        <v>0</v>
      </c>
      <c r="L10">
        <f t="array" aca="1" ref="L10" ca="1">SUM(L7:L9)</f>
        <v>0</v>
      </c>
      <c r="M10">
        <f t="array" aca="1" ref="M10" ca="1">SUM(M7:M9)</f>
        <v>0</v>
      </c>
      <c r="N10">
        <f t="array" aca="1" ref="N10" ca="1">SUM(N7:N9)</f>
        <v>0</v>
      </c>
      <c r="P10" t="s">
        <v>1007</v>
      </c>
      <c r="Q10" t="e">
        <f ca="1">SSRW(F6:H20)</f>
        <v>#NAME?</v>
      </c>
      <c r="R10">
        <f ca="1">R14-R7</f>
        <v>0</v>
      </c>
    </row>
    <row r="11" spans="1:22">
      <c r="A11" t="s">
        <v>1002</v>
      </c>
      <c r="B11" t="s">
        <v>997</v>
      </c>
      <c r="C11">
        <v>261</v>
      </c>
      <c r="E11" t="e">
        <f ca="1"/>
        <v>#NAME?</v>
      </c>
      <c r="F11" s="544" t="e">
        <f ca="1"/>
        <v>#NAME?</v>
      </c>
      <c r="G11" s="545" t="e">
        <f ca="1"/>
        <v>#NAME?</v>
      </c>
      <c r="H11" s="546" t="e">
        <f ca="1"/>
        <v>#NAME?</v>
      </c>
      <c r="P11" t="s">
        <v>1009</v>
      </c>
      <c r="Q11" t="e">
        <f ca="1">SSBet(F6:H20)</f>
        <v>#NAME?</v>
      </c>
      <c r="R11">
        <f ca="1">COUNT(K17:M17)-1</f>
        <v>-1</v>
      </c>
      <c r="S11" t="e">
        <f ca="1">Q11/R11</f>
        <v>#NAME?</v>
      </c>
      <c r="T11" t="e">
        <f ca="1">S11/S13</f>
        <v>#NAME?</v>
      </c>
      <c r="U11" t="e">
        <f ca="1">FDIST(T11,R11,R13)</f>
        <v>#NAME?</v>
      </c>
      <c r="V11" t="e">
        <f ca="1">FINV(U5,R11,R13)</f>
        <v>#NUM!</v>
      </c>
    </row>
    <row r="12" spans="1:22">
      <c r="A12" t="s">
        <v>1002</v>
      </c>
      <c r="B12" t="s">
        <v>998</v>
      </c>
      <c r="C12">
        <v>384</v>
      </c>
      <c r="E12" t="e">
        <f ca="1"/>
        <v>#NAME?</v>
      </c>
      <c r="F12" s="292" t="e">
        <f ca="1"/>
        <v>#NAME?</v>
      </c>
      <c r="G12" s="5" t="e">
        <f ca="1"/>
        <v>#NAME?</v>
      </c>
      <c r="H12" s="43" t="e">
        <f ca="1"/>
        <v>#NAME?</v>
      </c>
      <c r="J12" t="s">
        <v>396</v>
      </c>
      <c r="P12" t="s">
        <v>1010</v>
      </c>
      <c r="Q12" t="e">
        <f ca="1">SSRInt(E5:H20)</f>
        <v>#NAME?</v>
      </c>
      <c r="R12">
        <f ca="1">R8*R11</f>
        <v>1</v>
      </c>
      <c r="S12" t="e">
        <f ca="1">Q12/R12</f>
        <v>#NAME?</v>
      </c>
      <c r="T12" t="e">
        <f ca="1">S12/S13</f>
        <v>#NAME?</v>
      </c>
      <c r="U12" t="e">
        <f ca="1">FDIST(T12,R12,R13)</f>
        <v>#NAME?</v>
      </c>
      <c r="V12" t="e">
        <f ca="1">FINV(U5,R12,R13)</f>
        <v>#NUM!</v>
      </c>
    </row>
    <row r="13" spans="1:22">
      <c r="A13" t="s">
        <v>1002</v>
      </c>
      <c r="B13" t="s">
        <v>996</v>
      </c>
      <c r="C13">
        <v>103</v>
      </c>
      <c r="E13" t="e">
        <f ca="1"/>
        <v>#NAME?</v>
      </c>
      <c r="F13" s="292" t="e">
        <f ca="1"/>
        <v>#NAME?</v>
      </c>
      <c r="G13" s="5" t="e">
        <f ca="1"/>
        <v>#NAME?</v>
      </c>
      <c r="H13" s="43" t="e">
        <f ca="1"/>
        <v>#NAME?</v>
      </c>
      <c r="K13" t="e">
        <f t="array" aca="1" ref="K13:M13" ca="1">TRANSPOSE(SortUnique(B4:B42))</f>
        <v>#NAME?</v>
      </c>
      <c r="L13" t="e">
        <f ca="1"/>
        <v>#NAME?</v>
      </c>
      <c r="M13" t="e">
        <f ca="1"/>
        <v>#NAME?</v>
      </c>
      <c r="P13" t="s">
        <v>1006</v>
      </c>
      <c r="Q13" t="e">
        <f ca="1">Q10-Q11-Q12</f>
        <v>#NAME?</v>
      </c>
      <c r="R13">
        <f ca="1">R10-R11-R12</f>
        <v>0</v>
      </c>
      <c r="S13" t="e">
        <f ca="1">Q13/R13</f>
        <v>#NAME?</v>
      </c>
    </row>
    <row r="14" spans="1:22">
      <c r="A14" t="s">
        <v>1002</v>
      </c>
      <c r="B14" t="s">
        <v>997</v>
      </c>
      <c r="C14">
        <v>286</v>
      </c>
      <c r="E14" t="e">
        <f ca="1"/>
        <v>#NAME?</v>
      </c>
      <c r="F14" s="292" t="e">
        <f ca="1"/>
        <v>#NAME?</v>
      </c>
      <c r="G14" s="5" t="e">
        <f ca="1"/>
        <v>#NAME?</v>
      </c>
      <c r="H14" s="43" t="e">
        <f ca="1"/>
        <v>#NAME?</v>
      </c>
      <c r="J14" t="e">
        <f t="array" aca="1" ref="J14:J16" ca="1">SortUnique(A4:A42)</f>
        <v>#NAME?</v>
      </c>
      <c r="K14" s="544" t="e">
        <f t="array" aca="1" ref="K14" ca="1">AVERAGEIFS($C$4:$C$42,$A$4:$A$42,$J14,$B$4:$B$42,K$13)</f>
        <v>#DIV/0!</v>
      </c>
      <c r="L14" s="545" t="e">
        <f t="array" aca="1" ref="L14" ca="1">AVERAGEIFS($C$4:$C$42,$A$4:$A$42,$J14,$B$4:$B$42,L$13)</f>
        <v>#DIV/0!</v>
      </c>
      <c r="M14" s="546" t="e">
        <f t="array" aca="1" ref="M14" ca="1">AVERAGEIFS($C$4:$C$42,$A$4:$A$42,$J14,$B$4:$B$42,M$13)</f>
        <v>#DIV/0!</v>
      </c>
      <c r="N14" t="e">
        <f t="array" aca="1" ref="N14" ca="1">AVERAGE(K14:M14)</f>
        <v>#DIV/0!</v>
      </c>
      <c r="P14" s="285" t="s">
        <v>1</v>
      </c>
      <c r="Q14" s="285">
        <f ca="1">S14*R14</f>
        <v>-18717.491228070179</v>
      </c>
      <c r="R14" s="285">
        <f ca="1">N10-1</f>
        <v>-1</v>
      </c>
      <c r="S14" s="285">
        <f>N24</f>
        <v>18717.491228070179</v>
      </c>
      <c r="T14" s="285"/>
      <c r="U14" s="285"/>
      <c r="V14" s="285"/>
    </row>
    <row r="15" spans="1:22">
      <c r="A15" t="s">
        <v>1002</v>
      </c>
      <c r="B15" t="s">
        <v>998</v>
      </c>
      <c r="C15">
        <v>401</v>
      </c>
      <c r="E15" t="e">
        <f ca="1"/>
        <v>#NAME?</v>
      </c>
      <c r="F15" s="688" t="e">
        <f ca="1"/>
        <v>#NAME?</v>
      </c>
      <c r="G15" s="689" t="e">
        <f ca="1"/>
        <v>#NAME?</v>
      </c>
      <c r="H15" s="690" t="e">
        <f ca="1"/>
        <v>#NAME?</v>
      </c>
      <c r="J15" t="e">
        <f ca="1"/>
        <v>#NAME?</v>
      </c>
      <c r="K15" s="292" t="e">
        <f t="array" aca="1" ref="K15" ca="1">AVERAGEIFS($C$4:$C$42,$A$4:$A$42,$J15,$B$4:$B$42,K$13)</f>
        <v>#DIV/0!</v>
      </c>
      <c r="L15" s="5" t="e">
        <f t="array" aca="1" ref="L15" ca="1">AVERAGEIFS($C$4:$C$42,$A$4:$A$42,$J15,$B$4:$B$42,L$13)</f>
        <v>#DIV/0!</v>
      </c>
      <c r="M15" s="43" t="e">
        <f t="array" aca="1" ref="M15" ca="1">AVERAGEIFS($C$4:$C$42,$A$4:$A$42,$J15,$B$4:$B$42,M$13)</f>
        <v>#DIV/0!</v>
      </c>
      <c r="N15" t="e">
        <f t="array" aca="1" ref="N15" ca="1">AVERAGE(K15:M15)</f>
        <v>#DIV/0!</v>
      </c>
    </row>
    <row r="16" spans="1:22">
      <c r="A16" t="s">
        <v>1008</v>
      </c>
      <c r="B16" t="s">
        <v>996</v>
      </c>
      <c r="C16">
        <v>54</v>
      </c>
      <c r="E16" t="e">
        <f ca="1"/>
        <v>#NAME?</v>
      </c>
      <c r="F16" s="544" t="e">
        <f ca="1"/>
        <v>#NAME?</v>
      </c>
      <c r="G16" s="545" t="e">
        <f ca="1"/>
        <v>#NAME?</v>
      </c>
      <c r="H16" s="546" t="e">
        <f ca="1"/>
        <v>#NAME?</v>
      </c>
      <c r="J16" t="e">
        <f ca="1"/>
        <v>#NAME?</v>
      </c>
      <c r="K16" s="688" t="e">
        <f t="array" aca="1" ref="K16" ca="1">AVERAGEIFS($C$4:$C$42,$A$4:$A$42,$J16,$B$4:$B$42,K$13)</f>
        <v>#DIV/0!</v>
      </c>
      <c r="L16" s="689" t="e">
        <f t="array" aca="1" ref="L16" ca="1">AVERAGEIFS($C$4:$C$42,$A$4:$A$42,$J16,$B$4:$B$42,L$13)</f>
        <v>#DIV/0!</v>
      </c>
      <c r="M16" s="690" t="e">
        <f t="array" aca="1" ref="M16" ca="1">AVERAGEIFS($C$4:$C$42,$A$4:$A$42,$J16,$B$4:$B$42,M$13)</f>
        <v>#DIV/0!</v>
      </c>
      <c r="N16" t="e">
        <f t="array" aca="1" ref="N16" ca="1">AVERAGE(K16:M16)</f>
        <v>#DIV/0!</v>
      </c>
    </row>
    <row r="17" spans="1:22" ht="15.75" thickBot="1">
      <c r="A17" t="s">
        <v>1008</v>
      </c>
      <c r="B17" t="s">
        <v>997</v>
      </c>
      <c r="C17">
        <v>172</v>
      </c>
      <c r="E17" t="e">
        <f ca="1"/>
        <v>#NAME?</v>
      </c>
      <c r="F17" s="292" t="e">
        <f ca="1"/>
        <v>#NAME?</v>
      </c>
      <c r="G17" s="5" t="e">
        <f ca="1"/>
        <v>#NAME?</v>
      </c>
      <c r="H17" s="43" t="e">
        <f ca="1"/>
        <v>#NAME?</v>
      </c>
      <c r="K17" t="e">
        <f t="array" aca="1" ref="K17" ca="1">AVERAGE(K14:K16)</f>
        <v>#DIV/0!</v>
      </c>
      <c r="L17" t="e">
        <f t="array" aca="1" ref="L17" ca="1">AVERAGE(L14:L16)</f>
        <v>#DIV/0!</v>
      </c>
      <c r="M17" t="e">
        <f t="array" aca="1" ref="M17" ca="1">AVERAGE(M14:M16)</f>
        <v>#DIV/0!</v>
      </c>
      <c r="N17" t="e">
        <f t="array" aca="1" ref="N17" ca="1">AVERAGE(N14:N16)</f>
        <v>#DIV/0!</v>
      </c>
      <c r="P17" t="s">
        <v>1023</v>
      </c>
      <c r="T17" t="s">
        <v>16</v>
      </c>
      <c r="U17">
        <v>0.05</v>
      </c>
    </row>
    <row r="18" spans="1:22" ht="15.75" thickTop="1">
      <c r="A18" t="s">
        <v>1008</v>
      </c>
      <c r="B18" t="s">
        <v>998</v>
      </c>
      <c r="C18">
        <v>307</v>
      </c>
      <c r="E18" t="e">
        <f ca="1"/>
        <v>#NAME?</v>
      </c>
      <c r="F18" s="292" t="e">
        <f ca="1"/>
        <v>#NAME?</v>
      </c>
      <c r="G18" s="5" t="e">
        <f ca="1"/>
        <v>#NAME?</v>
      </c>
      <c r="H18" s="43" t="e">
        <f ca="1"/>
        <v>#NAME?</v>
      </c>
      <c r="P18" s="398" t="s">
        <v>1024</v>
      </c>
      <c r="Q18" s="398" t="s">
        <v>137</v>
      </c>
      <c r="R18" s="398" t="s">
        <v>26</v>
      </c>
      <c r="S18" s="398" t="s">
        <v>156</v>
      </c>
      <c r="T18" s="398" t="s">
        <v>63</v>
      </c>
      <c r="U18" s="398" t="s">
        <v>1003</v>
      </c>
      <c r="V18" s="398" t="s">
        <v>1025</v>
      </c>
    </row>
    <row r="19" spans="1:22">
      <c r="A19" t="s">
        <v>1008</v>
      </c>
      <c r="B19" t="s">
        <v>996</v>
      </c>
      <c r="C19">
        <v>20</v>
      </c>
      <c r="E19" t="e">
        <f ca="1"/>
        <v>#NAME?</v>
      </c>
      <c r="F19" s="292" t="e">
        <f ca="1"/>
        <v>#NAME?</v>
      </c>
      <c r="G19" s="5" t="e">
        <f ca="1"/>
        <v>#NAME?</v>
      </c>
      <c r="H19" s="43" t="e">
        <f ca="1"/>
        <v>#NAME?</v>
      </c>
      <c r="J19" t="s">
        <v>627</v>
      </c>
      <c r="P19" t="s">
        <v>384</v>
      </c>
      <c r="Q19" t="e">
        <f ca="1">Q11</f>
        <v>#NAME?</v>
      </c>
      <c r="R19" t="e">
        <f ca="1">R11*K$26</f>
        <v>#NAME?</v>
      </c>
      <c r="S19" t="e">
        <f ca="1">Q19/R19</f>
        <v>#NAME?</v>
      </c>
      <c r="T19" t="e">
        <f ca="1">S19/S21</f>
        <v>#NAME?</v>
      </c>
      <c r="U19" t="e">
        <f ca="1">F_DIST_RT(T19,R19,R21)</f>
        <v>#NAME?</v>
      </c>
      <c r="V19" t="e">
        <f ca="1">F_INV_RT(U17,R19,R21)</f>
        <v>#NAME?</v>
      </c>
    </row>
    <row r="20" spans="1:22">
      <c r="A20" t="s">
        <v>1008</v>
      </c>
      <c r="B20" t="s">
        <v>997</v>
      </c>
      <c r="C20">
        <v>116</v>
      </c>
      <c r="E20" t="e">
        <f ca="1"/>
        <v>#NAME?</v>
      </c>
      <c r="F20" s="688" t="e">
        <f ca="1"/>
        <v>#NAME?</v>
      </c>
      <c r="G20" s="689" t="e">
        <f ca="1"/>
        <v>#NAME?</v>
      </c>
      <c r="H20" s="690" t="e">
        <f ca="1"/>
        <v>#NAME?</v>
      </c>
      <c r="K20" t="e">
        <f t="array" aca="1" ref="K20:M20" ca="1">TRANSPOSE(SortUnique(B4:B42))</f>
        <v>#NAME?</v>
      </c>
      <c r="L20" t="e">
        <f ca="1"/>
        <v>#NAME?</v>
      </c>
      <c r="M20" t="e">
        <f ca="1"/>
        <v>#NAME?</v>
      </c>
      <c r="P20" t="s">
        <v>349</v>
      </c>
      <c r="Q20" t="e">
        <f ca="1">Q12</f>
        <v>#NAME?</v>
      </c>
      <c r="R20" t="e">
        <f ca="1">R12*K$26</f>
        <v>#NAME?</v>
      </c>
      <c r="S20" t="e">
        <f ca="1">Q20/R20</f>
        <v>#NAME?</v>
      </c>
      <c r="T20" t="e">
        <f ca="1">S20/S21</f>
        <v>#NAME?</v>
      </c>
      <c r="U20" t="e">
        <f ca="1">F_DIST_RT(T20,R20,R21)</f>
        <v>#NAME?</v>
      </c>
      <c r="V20" t="e">
        <f ca="1">F_INV_RT(U17,R20,R21)</f>
        <v>#NAME?</v>
      </c>
    </row>
    <row r="21" spans="1:22">
      <c r="A21" t="s">
        <v>1008</v>
      </c>
      <c r="B21" t="s">
        <v>998</v>
      </c>
      <c r="C21">
        <v>425</v>
      </c>
      <c r="J21" t="e">
        <f t="array" aca="1" ref="J21:J23" ca="1">SortUnique(A4:A42)</f>
        <v>#NAME?</v>
      </c>
      <c r="K21" s="544" t="e">
        <f t="array" aca="1" ref="K21" ca="1">VAR(IF(($A$4:$A$42=$J21)*($B$4:$B$42=K$20),$C$4:$C$42))</f>
        <v>#NAME?</v>
      </c>
      <c r="L21" s="545" t="e">
        <f t="array" aca="1" ref="L21" ca="1">VAR(IF(($A$4:$A$42=$J21)*($B$4:$B$42=L$20),$C$4:$C$42))</f>
        <v>#NAME?</v>
      </c>
      <c r="M21" s="546" t="e">
        <f t="array" aca="1" ref="M21" ca="1">VAR(IF(($A$4:$A$42=$J21)*($B$4:$B$42=M$20),$C$4:$C$42))</f>
        <v>#NAME?</v>
      </c>
      <c r="N21" t="e">
        <f t="array" aca="1" ref="N21" ca="1">VAR(IF($A$4:$A$42=$J21,$C$4:$C$42))</f>
        <v>#NAME?</v>
      </c>
      <c r="P21" t="s">
        <v>1026</v>
      </c>
      <c r="Q21" t="e">
        <f ca="1">Q13</f>
        <v>#NAME?</v>
      </c>
      <c r="R21" t="e">
        <f ca="1">R13*K$26</f>
        <v>#NAME?</v>
      </c>
      <c r="S21" t="e">
        <f ca="1">Q21/R21</f>
        <v>#NAME?</v>
      </c>
    </row>
    <row r="22" spans="1:22">
      <c r="A22" t="s">
        <v>1008</v>
      </c>
      <c r="B22" t="s">
        <v>996</v>
      </c>
      <c r="C22">
        <v>41</v>
      </c>
      <c r="J22" t="e">
        <f ca="1"/>
        <v>#NAME?</v>
      </c>
      <c r="K22" s="292" t="e">
        <f t="array" aca="1" ref="K22" ca="1">VAR(IF(($A$4:$A$42=$J22)*($B$4:$B$42=K$20),$C$4:$C$42))</f>
        <v>#NAME?</v>
      </c>
      <c r="L22" s="5" t="e">
        <f t="array" aca="1" ref="L22" ca="1">VAR(IF(($A$4:$A$42=$J22)*($B$4:$B$42=L$20),$C$4:$C$42))</f>
        <v>#NAME?</v>
      </c>
      <c r="M22" s="43" t="e">
        <f t="array" aca="1" ref="M22" ca="1">VAR(IF(($A$4:$A$42=$J22)*($B$4:$B$42=M$20),$C$4:$C$42))</f>
        <v>#NAME?</v>
      </c>
      <c r="N22" t="e">
        <f t="array" aca="1" ref="N22" ca="1">VAR(IF($A$4:$A$42=$J22,$C$4:$C$42))</f>
        <v>#NAME?</v>
      </c>
      <c r="P22" s="692"/>
      <c r="Q22" s="692"/>
      <c r="R22" s="692"/>
      <c r="S22" s="692"/>
      <c r="T22" s="692"/>
      <c r="U22" s="692"/>
      <c r="V22" s="692"/>
    </row>
    <row r="23" spans="1:22" ht="15.75" thickBot="1">
      <c r="A23" t="s">
        <v>1008</v>
      </c>
      <c r="B23" t="s">
        <v>997</v>
      </c>
      <c r="C23">
        <v>168</v>
      </c>
      <c r="J23" t="e">
        <f ca="1"/>
        <v>#NAME?</v>
      </c>
      <c r="K23" s="688" t="e">
        <f t="array" aca="1" ref="K23" ca="1">VAR(IF(($A$4:$A$42=$J23)*($B$4:$B$42=K$20),$C$4:$C$42))</f>
        <v>#NAME?</v>
      </c>
      <c r="L23" s="689" t="e">
        <f t="array" aca="1" ref="L23" ca="1">VAR(IF(($A$4:$A$42=$J23)*($B$4:$B$42=L$20),$C$4:$C$42))</f>
        <v>#NAME?</v>
      </c>
      <c r="M23" s="690" t="e">
        <f t="array" aca="1" ref="M23" ca="1">VAR(IF(($A$4:$A$42=$J23)*($B$4:$B$42=M$20),$C$4:$C$42))</f>
        <v>#NAME?</v>
      </c>
      <c r="N23" t="e">
        <f t="array" aca="1" ref="N23" ca="1">VAR(IF($A$4:$A$42=$J23,$C$4:$C$42))</f>
        <v>#NAME?</v>
      </c>
      <c r="P23" t="s">
        <v>1027</v>
      </c>
      <c r="T23" t="s">
        <v>16</v>
      </c>
      <c r="U23">
        <v>0.05</v>
      </c>
    </row>
    <row r="24" spans="1:22" ht="15.75" thickTop="1">
      <c r="A24" t="s">
        <v>1008</v>
      </c>
      <c r="B24" t="s">
        <v>998</v>
      </c>
      <c r="C24">
        <v>378</v>
      </c>
      <c r="K24" t="e">
        <f t="array" aca="1" ref="K24" ca="1">VAR(IF($B$4:$B$42=K$20,$C$4:$C$42))</f>
        <v>#NAME?</v>
      </c>
      <c r="L24" t="e">
        <f t="array" aca="1" ref="L24" ca="1">VAR(IF($B$4:$B$42=L$20,$C$4:$C$42))</f>
        <v>#NAME?</v>
      </c>
      <c r="M24" t="e">
        <f t="array" aca="1" ref="M24" ca="1">VAR(IF($B$4:$B$42=M$20,$C$4:$C$42))</f>
        <v>#NAME?</v>
      </c>
      <c r="N24">
        <f>VAR(C4:C42)</f>
        <v>18717.491228070179</v>
      </c>
      <c r="P24" s="398" t="s">
        <v>1024</v>
      </c>
      <c r="Q24" s="398" t="s">
        <v>137</v>
      </c>
      <c r="R24" s="398" t="s">
        <v>26</v>
      </c>
      <c r="S24" s="398" t="s">
        <v>156</v>
      </c>
      <c r="T24" s="398" t="s">
        <v>63</v>
      </c>
      <c r="U24" s="398" t="s">
        <v>1003</v>
      </c>
      <c r="V24" s="398" t="s">
        <v>1025</v>
      </c>
    </row>
    <row r="25" spans="1:22">
      <c r="A25" t="s">
        <v>1008</v>
      </c>
      <c r="B25" t="s">
        <v>996</v>
      </c>
      <c r="C25">
        <v>29</v>
      </c>
      <c r="P25" t="s">
        <v>384</v>
      </c>
      <c r="Q25" t="e">
        <f ca="1">Q11</f>
        <v>#NAME?</v>
      </c>
      <c r="R25" t="e">
        <f ca="1">R11*K$27</f>
        <v>#NAME?</v>
      </c>
      <c r="S25" t="e">
        <f ca="1">Q25/R25</f>
        <v>#NAME?</v>
      </c>
      <c r="T25" t="e">
        <f ca="1">S25/S27</f>
        <v>#NAME?</v>
      </c>
      <c r="U25" t="e">
        <f ca="1">F_DIST_RT(T25,R25,R27)</f>
        <v>#NAME?</v>
      </c>
      <c r="V25" t="e">
        <f ca="1">F_INV_RT(U23,R25,R27)</f>
        <v>#NAME?</v>
      </c>
    </row>
    <row r="26" spans="1:22">
      <c r="A26" t="s">
        <v>1008</v>
      </c>
      <c r="B26" t="s">
        <v>997</v>
      </c>
      <c r="C26">
        <v>81</v>
      </c>
      <c r="J26" t="s">
        <v>1028</v>
      </c>
      <c r="K26" s="693" t="e">
        <f ca="1">GG_Epsilon(E5:H20)</f>
        <v>#NAME?</v>
      </c>
      <c r="P26" t="s">
        <v>349</v>
      </c>
      <c r="Q26" t="e">
        <f ca="1">Q12</f>
        <v>#NAME?</v>
      </c>
      <c r="R26" t="e">
        <f ca="1">R12*K$27</f>
        <v>#NAME?</v>
      </c>
      <c r="S26" t="e">
        <f ca="1">Q26/R26</f>
        <v>#NAME?</v>
      </c>
      <c r="T26" t="e">
        <f ca="1">S26/S27</f>
        <v>#NAME?</v>
      </c>
      <c r="U26" t="e">
        <f ca="1">F_DIST_RT(T26,R26,R27)</f>
        <v>#NAME?</v>
      </c>
      <c r="V26" t="e">
        <f ca="1">F_INV_RT(U23,R26,R27)</f>
        <v>#NAME?</v>
      </c>
    </row>
    <row r="27" spans="1:22">
      <c r="A27" t="s">
        <v>1008</v>
      </c>
      <c r="B27" t="s">
        <v>998</v>
      </c>
      <c r="C27">
        <v>193</v>
      </c>
      <c r="J27" t="s">
        <v>1029</v>
      </c>
      <c r="K27" s="114" t="e">
        <f ca="1">HF_Epsilon(E5:H20)</f>
        <v>#NAME?</v>
      </c>
      <c r="P27" t="s">
        <v>1026</v>
      </c>
      <c r="Q27" t="e">
        <f ca="1">Q13</f>
        <v>#NAME?</v>
      </c>
      <c r="R27" t="e">
        <f ca="1">R13*K$27</f>
        <v>#NAME?</v>
      </c>
      <c r="S27" t="e">
        <f ca="1">Q27/R27</f>
        <v>#NAME?</v>
      </c>
    </row>
    <row r="28" spans="1:22">
      <c r="A28" t="s">
        <v>1008</v>
      </c>
      <c r="B28" t="s">
        <v>996</v>
      </c>
      <c r="C28">
        <v>3</v>
      </c>
      <c r="P28" s="692"/>
      <c r="Q28" s="692"/>
      <c r="R28" s="692"/>
      <c r="S28" s="692"/>
      <c r="T28" s="692"/>
      <c r="U28" s="692"/>
      <c r="V28" s="692"/>
    </row>
    <row r="29" spans="1:22">
      <c r="A29" t="s">
        <v>1008</v>
      </c>
      <c r="B29" t="s">
        <v>997</v>
      </c>
      <c r="C29">
        <v>54</v>
      </c>
    </row>
    <row r="30" spans="1:22">
      <c r="A30" t="s">
        <v>1008</v>
      </c>
      <c r="B30" t="s">
        <v>998</v>
      </c>
      <c r="C30">
        <v>285</v>
      </c>
    </row>
    <row r="31" spans="1:22">
      <c r="A31" t="s">
        <v>37</v>
      </c>
      <c r="B31" t="s">
        <v>996</v>
      </c>
      <c r="C31">
        <v>118</v>
      </c>
    </row>
    <row r="32" spans="1:22">
      <c r="A32" t="s">
        <v>37</v>
      </c>
      <c r="B32" t="s">
        <v>997</v>
      </c>
      <c r="C32">
        <v>124</v>
      </c>
    </row>
    <row r="33" spans="1:3">
      <c r="A33" t="s">
        <v>37</v>
      </c>
      <c r="B33" t="s">
        <v>998</v>
      </c>
      <c r="C33">
        <v>365</v>
      </c>
    </row>
    <row r="34" spans="1:3">
      <c r="A34" t="s">
        <v>37</v>
      </c>
      <c r="B34" t="s">
        <v>996</v>
      </c>
      <c r="C34">
        <v>83</v>
      </c>
    </row>
    <row r="35" spans="1:3">
      <c r="A35" t="s">
        <v>37</v>
      </c>
      <c r="B35" t="s">
        <v>997</v>
      </c>
      <c r="C35">
        <v>266</v>
      </c>
    </row>
    <row r="36" spans="1:3">
      <c r="A36" t="s">
        <v>37</v>
      </c>
      <c r="B36" t="s">
        <v>998</v>
      </c>
      <c r="C36">
        <v>382</v>
      </c>
    </row>
    <row r="37" spans="1:3">
      <c r="A37" t="s">
        <v>37</v>
      </c>
      <c r="B37" t="s">
        <v>996</v>
      </c>
      <c r="C37">
        <v>38</v>
      </c>
    </row>
    <row r="38" spans="1:3">
      <c r="A38" t="s">
        <v>37</v>
      </c>
      <c r="B38" t="s">
        <v>997</v>
      </c>
      <c r="C38">
        <v>207</v>
      </c>
    </row>
    <row r="39" spans="1:3">
      <c r="A39" t="s">
        <v>37</v>
      </c>
      <c r="B39" t="s">
        <v>998</v>
      </c>
      <c r="C39">
        <v>289</v>
      </c>
    </row>
    <row r="40" spans="1:3">
      <c r="A40" t="s">
        <v>37</v>
      </c>
      <c r="B40" t="s">
        <v>996</v>
      </c>
      <c r="C40">
        <v>71</v>
      </c>
    </row>
    <row r="41" spans="1:3">
      <c r="A41" t="s">
        <v>37</v>
      </c>
      <c r="B41" t="s">
        <v>997</v>
      </c>
      <c r="C41">
        <v>285</v>
      </c>
    </row>
    <row r="42" spans="1:3">
      <c r="A42" t="s">
        <v>37</v>
      </c>
      <c r="B42" t="s">
        <v>998</v>
      </c>
      <c r="C42">
        <v>471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123"/>
  <dimension ref="A1:AC118"/>
  <sheetViews>
    <sheetView workbookViewId="0"/>
  </sheetViews>
  <sheetFormatPr defaultRowHeight="15"/>
  <cols>
    <col min="1" max="2" width="8.28515625" customWidth="1"/>
    <col min="3" max="3" width="5.5703125" customWidth="1"/>
    <col min="4" max="8" width="5.85546875" customWidth="1"/>
    <col min="9" max="9" width="6.5703125" customWidth="1"/>
    <col min="10" max="10" width="5.42578125" customWidth="1"/>
    <col min="11" max="11" width="9.5703125" bestFit="1" customWidth="1"/>
    <col min="12" max="12" width="5.7109375" customWidth="1"/>
  </cols>
  <sheetData>
    <row r="1" spans="1:29">
      <c r="A1" s="1" t="s">
        <v>219</v>
      </c>
    </row>
    <row r="3" spans="1:29">
      <c r="A3" s="14" t="s">
        <v>289</v>
      </c>
    </row>
    <row r="5" spans="1:29" ht="17.25">
      <c r="A5" s="80" t="s">
        <v>446</v>
      </c>
      <c r="B5" s="80" t="s">
        <v>134</v>
      </c>
      <c r="D5" s="751" t="s">
        <v>291</v>
      </c>
      <c r="E5" s="751"/>
      <c r="F5" s="225"/>
      <c r="G5" s="224" t="s">
        <v>292</v>
      </c>
      <c r="I5" s="224" t="s">
        <v>60</v>
      </c>
      <c r="K5" s="68" t="s">
        <v>305</v>
      </c>
      <c r="L5" s="224"/>
      <c r="M5" s="68" t="s">
        <v>62</v>
      </c>
      <c r="O5" t="s">
        <v>445</v>
      </c>
    </row>
    <row r="6" spans="1:29">
      <c r="A6" s="40">
        <v>5</v>
      </c>
      <c r="B6" s="81">
        <v>80</v>
      </c>
      <c r="D6" s="121">
        <v>1</v>
      </c>
      <c r="E6" s="85">
        <f t="shared" ref="E6:E20" si="0">A6</f>
        <v>5</v>
      </c>
      <c r="G6" s="107">
        <f t="shared" ref="G6:G16" si="1">B6</f>
        <v>80</v>
      </c>
      <c r="I6" s="241">
        <f t="array" ref="I6:I7">MMULT(D23:E24,MMULT(TRANSPOSE(D6:E20),G6:G20))</f>
        <v>85.720421194817959</v>
      </c>
      <c r="K6" s="153">
        <f t="array" ref="K6:K20">MMULT(D6:E20,I6:I7)</f>
        <v>82.579419168662128</v>
      </c>
      <c r="M6" s="145">
        <f>G6-K6</f>
        <v>-2.5794191686621275</v>
      </c>
      <c r="O6" s="235">
        <f t="array" ref="O6:AC20">MMULT(MMULT(D6:E20,D23:E24),TRANSPOSE(D6:E20))</f>
        <v>0.16215386504574203</v>
      </c>
      <c r="P6" s="236">
        <v>4.2794867071897807E-2</v>
      </c>
      <c r="Q6" s="236">
        <v>2.9532756185915138E-2</v>
      </c>
      <c r="R6" s="236">
        <v>-0.12298151900288581</v>
      </c>
      <c r="S6" s="236">
        <v>8.2581199729845886E-2</v>
      </c>
      <c r="T6" s="236">
        <v>0.142260698716768</v>
      </c>
      <c r="U6" s="236">
        <v>0.16878492048873339</v>
      </c>
      <c r="V6" s="236">
        <v>2.2901700742923775E-2</v>
      </c>
      <c r="W6" s="236">
        <v>0.12236753238779396</v>
      </c>
      <c r="X6" s="236">
        <v>6.9319088843863202E-2</v>
      </c>
      <c r="Y6" s="236">
        <v>0.10247436605881993</v>
      </c>
      <c r="Z6" s="236">
        <v>-3.6777798243998322E-2</v>
      </c>
      <c r="AA6" s="236">
        <v>3.0085344139497427E-3</v>
      </c>
      <c r="AB6" s="236">
        <v>0.16878492048873339</v>
      </c>
      <c r="AC6" s="237">
        <v>4.2794867071897807E-2</v>
      </c>
    </row>
    <row r="7" spans="1:29">
      <c r="A7" s="40">
        <v>23</v>
      </c>
      <c r="B7" s="40">
        <v>78</v>
      </c>
      <c r="D7" s="29">
        <v>1</v>
      </c>
      <c r="E7" s="30">
        <f t="shared" si="0"/>
        <v>23</v>
      </c>
      <c r="G7" s="105">
        <f t="shared" si="1"/>
        <v>78</v>
      </c>
      <c r="I7" s="146">
        <v>-0.6282004052311656</v>
      </c>
      <c r="K7" s="154">
        <v>71.271811874501154</v>
      </c>
      <c r="M7" s="20">
        <f t="shared" ref="M7:M20" si="2">G7-K7</f>
        <v>6.7281881254988463</v>
      </c>
      <c r="O7" s="201">
        <v>4.2794867071897863E-2</v>
      </c>
      <c r="P7" s="5">
        <v>7.2634616565358912E-2</v>
      </c>
      <c r="Q7" s="5">
        <v>7.5950144286854565E-2</v>
      </c>
      <c r="R7" s="5">
        <v>0.11407871308405479</v>
      </c>
      <c r="S7" s="5">
        <v>6.2688033400871895E-2</v>
      </c>
      <c r="T7" s="5">
        <v>4.7768158654141371E-2</v>
      </c>
      <c r="U7" s="5">
        <v>4.1137103211150029E-2</v>
      </c>
      <c r="V7" s="5">
        <v>7.7607908147602406E-2</v>
      </c>
      <c r="W7" s="5">
        <v>5.2741450236384879E-2</v>
      </c>
      <c r="X7" s="5">
        <v>6.6003561122367563E-2</v>
      </c>
      <c r="Y7" s="5">
        <v>5.7714741818628387E-2</v>
      </c>
      <c r="Z7" s="5">
        <v>9.252778289433293E-2</v>
      </c>
      <c r="AA7" s="5">
        <v>8.2581199729845914E-2</v>
      </c>
      <c r="AB7" s="5">
        <v>4.1137103211150029E-2</v>
      </c>
      <c r="AC7" s="6">
        <v>7.2634616565358912E-2</v>
      </c>
    </row>
    <row r="8" spans="1:29">
      <c r="A8" s="40">
        <v>25</v>
      </c>
      <c r="B8" s="40">
        <v>60</v>
      </c>
      <c r="D8" s="29">
        <v>1</v>
      </c>
      <c r="E8" s="30">
        <f t="shared" si="0"/>
        <v>25</v>
      </c>
      <c r="G8" s="105">
        <f t="shared" si="1"/>
        <v>60</v>
      </c>
      <c r="K8" s="154">
        <v>70.015411064038815</v>
      </c>
      <c r="M8" s="20">
        <f t="shared" si="2"/>
        <v>-10.015411064038815</v>
      </c>
      <c r="O8" s="201">
        <v>2.9532756185915155E-2</v>
      </c>
      <c r="P8" s="5">
        <v>7.5950144286854537E-2</v>
      </c>
      <c r="Q8" s="5">
        <v>8.1107631853625572E-2</v>
      </c>
      <c r="R8" s="5">
        <v>0.14041873887149256</v>
      </c>
      <c r="S8" s="5">
        <v>6.0477681586541404E-2</v>
      </c>
      <c r="T8" s="5">
        <v>3.7268987536071718E-2</v>
      </c>
      <c r="U8" s="5">
        <v>2.6954012402529634E-2</v>
      </c>
      <c r="V8" s="5">
        <v>8.368637563701109E-2</v>
      </c>
      <c r="W8" s="5">
        <v>4.5005218886228285E-2</v>
      </c>
      <c r="X8" s="5">
        <v>6.5635169153312453E-2</v>
      </c>
      <c r="Y8" s="5">
        <v>5.2741450236384844E-2</v>
      </c>
      <c r="Z8" s="5">
        <v>0.10689506968748079</v>
      </c>
      <c r="AA8" s="5">
        <v>9.1422606987167657E-2</v>
      </c>
      <c r="AB8" s="5">
        <v>2.6954012402529634E-2</v>
      </c>
      <c r="AC8" s="6">
        <v>7.5950144286854537E-2</v>
      </c>
    </row>
    <row r="9" spans="1:29">
      <c r="A9" s="40">
        <v>48</v>
      </c>
      <c r="B9" s="40">
        <v>53</v>
      </c>
      <c r="D9" s="29">
        <v>1</v>
      </c>
      <c r="E9" s="30">
        <f t="shared" si="0"/>
        <v>48</v>
      </c>
      <c r="G9" s="105">
        <f t="shared" si="1"/>
        <v>53</v>
      </c>
      <c r="K9" s="154">
        <v>55.56680174372201</v>
      </c>
      <c r="M9" s="20">
        <f t="shared" si="2"/>
        <v>-2.5668017437220101</v>
      </c>
      <c r="O9" s="201">
        <v>-0.1229815190028857</v>
      </c>
      <c r="P9" s="5">
        <v>0.11407871308405484</v>
      </c>
      <c r="Q9" s="5">
        <v>0.14041873887149273</v>
      </c>
      <c r="R9" s="5">
        <v>0.44332903542702784</v>
      </c>
      <c r="S9" s="5">
        <v>3.5058635721741338E-2</v>
      </c>
      <c r="T9" s="5">
        <v>-8.3471480321728936E-2</v>
      </c>
      <c r="U9" s="5">
        <v>-0.13615153189660462</v>
      </c>
      <c r="V9" s="5">
        <v>0.15358875176521161</v>
      </c>
      <c r="W9" s="5">
        <v>-4.3961441640572169E-2</v>
      </c>
      <c r="X9" s="5">
        <v>6.1398661509179192E-2</v>
      </c>
      <c r="Y9" s="5">
        <v>-4.4514029594154014E-3</v>
      </c>
      <c r="Z9" s="5">
        <v>0.27211886780868189</v>
      </c>
      <c r="AA9" s="5">
        <v>0.19309879044636838</v>
      </c>
      <c r="AB9" s="5">
        <v>-0.13615153189660462</v>
      </c>
      <c r="AC9" s="6">
        <v>0.11407871308405484</v>
      </c>
    </row>
    <row r="10" spans="1:29">
      <c r="A10" s="82">
        <v>17</v>
      </c>
      <c r="B10" s="40">
        <v>85</v>
      </c>
      <c r="D10" s="29">
        <v>1</v>
      </c>
      <c r="E10" s="30">
        <f t="shared" si="0"/>
        <v>17</v>
      </c>
      <c r="G10" s="105">
        <f t="shared" si="1"/>
        <v>85</v>
      </c>
      <c r="I10" s="224" t="s">
        <v>337</v>
      </c>
      <c r="K10" s="154">
        <v>75.04101430588814</v>
      </c>
      <c r="M10" s="20">
        <f t="shared" si="2"/>
        <v>9.9589856941118597</v>
      </c>
      <c r="O10" s="201">
        <v>8.2581199729845928E-2</v>
      </c>
      <c r="P10" s="5">
        <v>6.2688033400871868E-2</v>
      </c>
      <c r="Q10" s="5">
        <v>6.0477681586541425E-2</v>
      </c>
      <c r="R10" s="5">
        <v>3.5058635721741255E-2</v>
      </c>
      <c r="S10" s="5">
        <v>6.931908884386323E-2</v>
      </c>
      <c r="T10" s="5">
        <v>7.9265672008350246E-2</v>
      </c>
      <c r="U10" s="5">
        <v>8.3686375637011146E-2</v>
      </c>
      <c r="V10" s="5">
        <v>5.93725056793762E-2</v>
      </c>
      <c r="W10" s="5">
        <v>7.5950144286854565E-2</v>
      </c>
      <c r="X10" s="5">
        <v>6.7108737029532767E-2</v>
      </c>
      <c r="Y10" s="5">
        <v>7.2634616565358898E-2</v>
      </c>
      <c r="Z10" s="5">
        <v>4.9425922514889177E-2</v>
      </c>
      <c r="AA10" s="5">
        <v>5.6056977957880526E-2</v>
      </c>
      <c r="AB10" s="5">
        <v>8.3686375637011146E-2</v>
      </c>
      <c r="AC10" s="6">
        <v>6.2688033400871868E-2</v>
      </c>
    </row>
    <row r="11" spans="1:29">
      <c r="A11" s="82">
        <v>8</v>
      </c>
      <c r="B11" s="40">
        <v>84</v>
      </c>
      <c r="D11" s="29">
        <v>1</v>
      </c>
      <c r="E11" s="30">
        <f t="shared" si="0"/>
        <v>8</v>
      </c>
      <c r="G11" s="105">
        <f t="shared" si="1"/>
        <v>84</v>
      </c>
      <c r="I11" s="242">
        <f>SQRT(G23)</f>
        <v>3.9065908075799749</v>
      </c>
      <c r="K11" s="154">
        <v>80.694817952968634</v>
      </c>
      <c r="M11" s="20">
        <f t="shared" si="2"/>
        <v>3.3051820470313658</v>
      </c>
      <c r="O11" s="201">
        <v>0.14226069871676802</v>
      </c>
      <c r="P11" s="5">
        <v>4.7768158654141343E-2</v>
      </c>
      <c r="Q11" s="5">
        <v>3.7268987536071718E-2</v>
      </c>
      <c r="R11" s="5">
        <v>-8.3471480321729019E-2</v>
      </c>
      <c r="S11" s="5">
        <v>7.9265672008350233E-2</v>
      </c>
      <c r="T11" s="5">
        <v>0.12651194203966357</v>
      </c>
      <c r="U11" s="5">
        <v>0.14751028427580284</v>
      </c>
      <c r="V11" s="5">
        <v>3.2019401977036899E-2</v>
      </c>
      <c r="W11" s="5">
        <v>0.11076318536255914</v>
      </c>
      <c r="X11" s="5">
        <v>6.8766500890280607E-2</v>
      </c>
      <c r="Y11" s="5">
        <v>9.5014428685454677E-2</v>
      </c>
      <c r="Z11" s="5">
        <v>-1.5226868054276449E-2</v>
      </c>
      <c r="AA11" s="5">
        <v>1.6270645299932468E-2</v>
      </c>
      <c r="AB11" s="5">
        <v>0.14751028427580284</v>
      </c>
      <c r="AC11" s="6">
        <v>4.7768158654141343E-2</v>
      </c>
    </row>
    <row r="12" spans="1:29">
      <c r="A12" s="40">
        <v>4</v>
      </c>
      <c r="B12" s="40">
        <v>73</v>
      </c>
      <c r="D12" s="29">
        <v>1</v>
      </c>
      <c r="E12" s="30">
        <f t="shared" si="0"/>
        <v>4</v>
      </c>
      <c r="G12" s="105">
        <f t="shared" si="1"/>
        <v>73</v>
      </c>
      <c r="I12" s="243">
        <f>SQRT(H24)</f>
        <v>0.17112895461639735</v>
      </c>
      <c r="K12" s="154">
        <v>83.207619573893297</v>
      </c>
      <c r="M12" s="20">
        <f t="shared" si="2"/>
        <v>-10.207619573893297</v>
      </c>
      <c r="O12" s="201">
        <v>0.16878492048873336</v>
      </c>
      <c r="P12" s="5">
        <v>4.1137103211149967E-2</v>
      </c>
      <c r="Q12" s="5">
        <v>2.6954012402529592E-2</v>
      </c>
      <c r="R12" s="5">
        <v>-0.13615153189660478</v>
      </c>
      <c r="S12" s="5">
        <v>8.3686375637011104E-2</v>
      </c>
      <c r="T12" s="5">
        <v>0.14751028427580282</v>
      </c>
      <c r="U12" s="5">
        <v>0.17587646589304357</v>
      </c>
      <c r="V12" s="5">
        <v>1.9862466998219391E-2</v>
      </c>
      <c r="W12" s="5">
        <v>0.12623564806287224</v>
      </c>
      <c r="X12" s="5">
        <v>6.9503284828390716E-2</v>
      </c>
      <c r="Y12" s="5">
        <v>0.10496101184994167</v>
      </c>
      <c r="Z12" s="5">
        <v>-4.3961441640572307E-2</v>
      </c>
      <c r="AA12" s="5">
        <v>-1.4121692147111564E-3</v>
      </c>
      <c r="AB12" s="5">
        <v>0.17587646589304357</v>
      </c>
      <c r="AC12" s="6">
        <v>4.1137103211149967E-2</v>
      </c>
    </row>
    <row r="13" spans="1:29">
      <c r="A13" s="40">
        <v>26</v>
      </c>
      <c r="B13" s="40">
        <v>79</v>
      </c>
      <c r="D13" s="29">
        <v>1</v>
      </c>
      <c r="E13" s="30">
        <f t="shared" si="0"/>
        <v>26</v>
      </c>
      <c r="G13" s="105">
        <f t="shared" si="1"/>
        <v>79</v>
      </c>
      <c r="K13" s="154">
        <v>69.387210658807646</v>
      </c>
      <c r="M13" s="20">
        <f t="shared" si="2"/>
        <v>9.6127893411923537</v>
      </c>
      <c r="O13" s="201">
        <v>2.2901700742923817E-2</v>
      </c>
      <c r="P13" s="5">
        <v>7.7607908147602378E-2</v>
      </c>
      <c r="Q13" s="5">
        <v>8.3686375637011118E-2</v>
      </c>
      <c r="R13" s="5">
        <v>0.1535887517652115</v>
      </c>
      <c r="S13" s="5">
        <v>5.9372505679376193E-2</v>
      </c>
      <c r="T13" s="5">
        <v>3.2019401977036913E-2</v>
      </c>
      <c r="U13" s="5">
        <v>1.9862466998219454E-2</v>
      </c>
      <c r="V13" s="5">
        <v>8.6725609381715474E-2</v>
      </c>
      <c r="W13" s="5">
        <v>4.1137103211150008E-2</v>
      </c>
      <c r="X13" s="5">
        <v>6.5450973168784926E-2</v>
      </c>
      <c r="Y13" s="5">
        <v>5.0254804445263104E-2</v>
      </c>
      <c r="Z13" s="5">
        <v>0.11407871308405476</v>
      </c>
      <c r="AA13" s="5">
        <v>9.584331061582857E-2</v>
      </c>
      <c r="AB13" s="5">
        <v>1.9862466998219454E-2</v>
      </c>
      <c r="AC13" s="6">
        <v>7.7607908147602378E-2</v>
      </c>
    </row>
    <row r="14" spans="1:29">
      <c r="A14" s="40">
        <v>11</v>
      </c>
      <c r="B14" s="40">
        <v>81</v>
      </c>
      <c r="D14" s="29">
        <v>1</v>
      </c>
      <c r="E14" s="30">
        <f t="shared" si="0"/>
        <v>11</v>
      </c>
      <c r="G14" s="105">
        <f t="shared" si="1"/>
        <v>81</v>
      </c>
      <c r="K14" s="154">
        <v>78.810216737275141</v>
      </c>
      <c r="M14" s="20">
        <f t="shared" si="2"/>
        <v>2.189783262724859</v>
      </c>
      <c r="O14" s="201">
        <v>0.12236753238779398</v>
      </c>
      <c r="P14" s="5">
        <v>5.2741450236384851E-2</v>
      </c>
      <c r="Q14" s="5">
        <v>4.5005218886228271E-2</v>
      </c>
      <c r="R14" s="5">
        <v>-4.396144164057228E-2</v>
      </c>
      <c r="S14" s="5">
        <v>7.5950144286854551E-2</v>
      </c>
      <c r="T14" s="5">
        <v>0.11076318536255912</v>
      </c>
      <c r="U14" s="5">
        <v>0.12623564806287227</v>
      </c>
      <c r="V14" s="5">
        <v>4.1137103211149995E-2</v>
      </c>
      <c r="W14" s="5">
        <v>9.9158838337324265E-2</v>
      </c>
      <c r="X14" s="5">
        <v>6.8213912936697985E-2</v>
      </c>
      <c r="Y14" s="5">
        <v>8.7554491312089408E-2</v>
      </c>
      <c r="Z14" s="5">
        <v>6.3240621354454241E-3</v>
      </c>
      <c r="AA14" s="5">
        <v>2.9532756185915138E-2</v>
      </c>
      <c r="AB14" s="5">
        <v>0.12623564806287227</v>
      </c>
      <c r="AC14" s="6">
        <v>5.2741450236384851E-2</v>
      </c>
    </row>
    <row r="15" spans="1:29">
      <c r="A15" s="40">
        <v>19</v>
      </c>
      <c r="B15" s="40">
        <v>75</v>
      </c>
      <c r="D15" s="29">
        <v>1</v>
      </c>
      <c r="E15" s="30">
        <f t="shared" si="0"/>
        <v>19</v>
      </c>
      <c r="G15" s="105">
        <f t="shared" si="1"/>
        <v>75</v>
      </c>
      <c r="K15" s="154">
        <v>73.784613495425816</v>
      </c>
      <c r="M15" s="20">
        <f t="shared" si="2"/>
        <v>1.2153865045741838</v>
      </c>
      <c r="O15" s="201">
        <v>6.9319088843863216E-2</v>
      </c>
      <c r="P15" s="5">
        <v>6.6003561122367507E-2</v>
      </c>
      <c r="Q15" s="5">
        <v>6.5635169153312425E-2</v>
      </c>
      <c r="R15" s="5">
        <v>6.1398661509179026E-2</v>
      </c>
      <c r="S15" s="5">
        <v>6.7108737029532739E-2</v>
      </c>
      <c r="T15" s="5">
        <v>6.8766500890280594E-2</v>
      </c>
      <c r="U15" s="5">
        <v>6.9503284828390743E-2</v>
      </c>
      <c r="V15" s="5">
        <v>6.5450973168784884E-2</v>
      </c>
      <c r="W15" s="5">
        <v>6.8213912936697971E-2</v>
      </c>
      <c r="X15" s="5">
        <v>6.6740345060477657E-2</v>
      </c>
      <c r="Y15" s="5">
        <v>6.7661324983115362E-2</v>
      </c>
      <c r="Z15" s="5">
        <v>6.379320930803703E-2</v>
      </c>
      <c r="AA15" s="5">
        <v>6.4898385215202276E-2</v>
      </c>
      <c r="AB15" s="5">
        <v>6.9503284828390743E-2</v>
      </c>
      <c r="AC15" s="6">
        <v>6.6003561122367507E-2</v>
      </c>
    </row>
    <row r="16" spans="1:29">
      <c r="A16" s="40">
        <v>14</v>
      </c>
      <c r="B16" s="40">
        <v>68</v>
      </c>
      <c r="D16" s="194">
        <v>1</v>
      </c>
      <c r="E16" s="30">
        <f t="shared" si="0"/>
        <v>14</v>
      </c>
      <c r="G16" s="239">
        <f t="shared" si="1"/>
        <v>68</v>
      </c>
      <c r="K16" s="240">
        <v>76.925615521581648</v>
      </c>
      <c r="M16" s="200">
        <f t="shared" si="2"/>
        <v>-8.9256155215816477</v>
      </c>
      <c r="O16" s="201">
        <v>0.10247436605881993</v>
      </c>
      <c r="P16" s="5">
        <v>5.7714741818628346E-2</v>
      </c>
      <c r="Q16" s="5">
        <v>5.2741450236384838E-2</v>
      </c>
      <c r="R16" s="5">
        <v>-4.4514029594155263E-3</v>
      </c>
      <c r="S16" s="5">
        <v>7.2634616565358884E-2</v>
      </c>
      <c r="T16" s="5">
        <v>9.5014428685454677E-2</v>
      </c>
      <c r="U16" s="5">
        <v>0.10496101184994169</v>
      </c>
      <c r="V16" s="5">
        <v>5.0254804445263077E-2</v>
      </c>
      <c r="W16" s="5">
        <v>8.7554491312089408E-2</v>
      </c>
      <c r="X16" s="5">
        <v>6.7661324983115362E-2</v>
      </c>
      <c r="Y16" s="5">
        <v>8.0094553938724139E-2</v>
      </c>
      <c r="Z16" s="5">
        <v>2.7874992325167283E-2</v>
      </c>
      <c r="AA16" s="5">
        <v>4.2794867071897821E-2</v>
      </c>
      <c r="AB16" s="5">
        <v>0.10496101184994169</v>
      </c>
      <c r="AC16" s="6">
        <v>5.7714741818628346E-2</v>
      </c>
    </row>
    <row r="17" spans="1:29">
      <c r="A17" s="40">
        <v>35</v>
      </c>
      <c r="B17" s="40">
        <v>72</v>
      </c>
      <c r="D17" s="194">
        <v>1</v>
      </c>
      <c r="E17" s="30">
        <f t="shared" si="0"/>
        <v>35</v>
      </c>
      <c r="G17" s="239">
        <f>B17</f>
        <v>72</v>
      </c>
      <c r="K17" s="240">
        <v>63.733407011727166</v>
      </c>
      <c r="M17" s="200">
        <f t="shared" si="2"/>
        <v>8.2665929882728335</v>
      </c>
      <c r="O17" s="201">
        <v>-3.677779824399828E-2</v>
      </c>
      <c r="P17" s="5">
        <v>9.2527782894332888E-2</v>
      </c>
      <c r="Q17" s="5">
        <v>0.1068950696874808</v>
      </c>
      <c r="R17" s="5">
        <v>0.27211886780868177</v>
      </c>
      <c r="S17" s="5">
        <v>4.942592251488917E-2</v>
      </c>
      <c r="T17" s="5">
        <v>-1.5226868054276421E-2</v>
      </c>
      <c r="U17" s="5">
        <v>-4.3961441640572238E-2</v>
      </c>
      <c r="V17" s="5">
        <v>0.11407871308405476</v>
      </c>
      <c r="W17" s="5">
        <v>6.3240621354454379E-3</v>
      </c>
      <c r="X17" s="5">
        <v>6.3793209308037085E-2</v>
      </c>
      <c r="Y17" s="5">
        <v>2.7874992325167297E-2</v>
      </c>
      <c r="Z17" s="5">
        <v>0.17873150365322035</v>
      </c>
      <c r="AA17" s="5">
        <v>0.13562964327377661</v>
      </c>
      <c r="AB17" s="5">
        <v>-4.3961441640572238E-2</v>
      </c>
      <c r="AC17" s="6">
        <v>9.2527782894332888E-2</v>
      </c>
    </row>
    <row r="18" spans="1:29">
      <c r="A18" s="40">
        <v>29</v>
      </c>
      <c r="B18" s="40">
        <v>58</v>
      </c>
      <c r="C18" s="224"/>
      <c r="D18" s="194">
        <v>1</v>
      </c>
      <c r="E18" s="30">
        <f t="shared" si="0"/>
        <v>29</v>
      </c>
      <c r="G18" s="239">
        <f>B18</f>
        <v>58</v>
      </c>
      <c r="K18" s="240">
        <v>67.502609443114153</v>
      </c>
      <c r="M18" s="200">
        <f t="shared" si="2"/>
        <v>-9.502609443114153</v>
      </c>
      <c r="O18" s="201">
        <v>3.0085344139498087E-3</v>
      </c>
      <c r="P18" s="5">
        <v>8.2581199729845928E-2</v>
      </c>
      <c r="Q18" s="5">
        <v>9.1422606987167726E-2</v>
      </c>
      <c r="R18" s="5">
        <v>0.19309879044636832</v>
      </c>
      <c r="S18" s="5">
        <v>5.605697795788056E-2</v>
      </c>
      <c r="T18" s="5">
        <v>1.6270645299932496E-2</v>
      </c>
      <c r="U18" s="5">
        <v>-1.412169214711087E-3</v>
      </c>
      <c r="V18" s="5">
        <v>9.5843310615828625E-2</v>
      </c>
      <c r="W18" s="5">
        <v>2.9532756185915179E-2</v>
      </c>
      <c r="X18" s="5">
        <v>6.4898385215202345E-2</v>
      </c>
      <c r="Y18" s="5">
        <v>4.279486707189787E-2</v>
      </c>
      <c r="Z18" s="5">
        <v>0.13562964327377669</v>
      </c>
      <c r="AA18" s="5">
        <v>0.10910542150181129</v>
      </c>
      <c r="AB18" s="5">
        <v>-1.412169214711087E-3</v>
      </c>
      <c r="AC18" s="6">
        <v>8.2581199729845928E-2</v>
      </c>
    </row>
    <row r="19" spans="1:29">
      <c r="A19" s="40">
        <v>4</v>
      </c>
      <c r="B19" s="40">
        <v>92</v>
      </c>
      <c r="C19" s="224"/>
      <c r="D19" s="194">
        <v>1</v>
      </c>
      <c r="E19" s="30">
        <f t="shared" si="0"/>
        <v>4</v>
      </c>
      <c r="G19" s="239">
        <f>B19</f>
        <v>92</v>
      </c>
      <c r="K19" s="240">
        <v>83.207619573893297</v>
      </c>
      <c r="M19" s="200">
        <f t="shared" si="2"/>
        <v>8.7923804261067033</v>
      </c>
      <c r="O19" s="201">
        <v>0.16878492048873336</v>
      </c>
      <c r="P19" s="5">
        <v>4.1137103211149967E-2</v>
      </c>
      <c r="Q19" s="5">
        <v>2.6954012402529592E-2</v>
      </c>
      <c r="R19" s="5">
        <v>-0.13615153189660478</v>
      </c>
      <c r="S19" s="5">
        <v>8.3686375637011104E-2</v>
      </c>
      <c r="T19" s="5">
        <v>0.14751028427580282</v>
      </c>
      <c r="U19" s="5">
        <v>0.17587646589304357</v>
      </c>
      <c r="V19" s="5">
        <v>1.9862466998219391E-2</v>
      </c>
      <c r="W19" s="5">
        <v>0.12623564806287224</v>
      </c>
      <c r="X19" s="5">
        <v>6.9503284828390716E-2</v>
      </c>
      <c r="Y19" s="5">
        <v>0.10496101184994167</v>
      </c>
      <c r="Z19" s="5">
        <v>-4.3961441640572307E-2</v>
      </c>
      <c r="AA19" s="5">
        <v>-1.4121692147111564E-3</v>
      </c>
      <c r="AB19" s="5">
        <v>0.17587646589304357</v>
      </c>
      <c r="AC19" s="6">
        <v>4.1137103211149967E-2</v>
      </c>
    </row>
    <row r="20" spans="1:29">
      <c r="A20" s="41">
        <v>23</v>
      </c>
      <c r="B20" s="41">
        <v>65</v>
      </c>
      <c r="D20" s="87">
        <v>1</v>
      </c>
      <c r="E20" s="88">
        <f t="shared" si="0"/>
        <v>23</v>
      </c>
      <c r="G20" s="106">
        <f>B20</f>
        <v>65</v>
      </c>
      <c r="K20" s="155">
        <v>71.271811874501154</v>
      </c>
      <c r="M20" s="146">
        <f t="shared" si="2"/>
        <v>-6.2718118745011537</v>
      </c>
      <c r="O20" s="7">
        <v>4.2794867071897863E-2</v>
      </c>
      <c r="P20" s="8">
        <v>7.2634616565358912E-2</v>
      </c>
      <c r="Q20" s="8">
        <v>7.5950144286854565E-2</v>
      </c>
      <c r="R20" s="8">
        <v>0.11407871308405479</v>
      </c>
      <c r="S20" s="8">
        <v>6.2688033400871895E-2</v>
      </c>
      <c r="T20" s="8">
        <v>4.7768158654141371E-2</v>
      </c>
      <c r="U20" s="8">
        <v>4.1137103211150029E-2</v>
      </c>
      <c r="V20" s="8">
        <v>7.7607908147602406E-2</v>
      </c>
      <c r="W20" s="8">
        <v>5.2741450236384879E-2</v>
      </c>
      <c r="X20" s="8">
        <v>6.6003561122367563E-2</v>
      </c>
      <c r="Y20" s="8">
        <v>5.7714741818628387E-2</v>
      </c>
      <c r="Z20" s="8">
        <v>9.252778289433293E-2</v>
      </c>
      <c r="AA20" s="8">
        <v>8.2581199729845914E-2</v>
      </c>
      <c r="AB20" s="8">
        <v>4.1137103211150029E-2</v>
      </c>
      <c r="AC20" s="9">
        <v>7.2634616565358912E-2</v>
      </c>
    </row>
    <row r="22" spans="1:29" ht="18.75">
      <c r="D22" s="751" t="s">
        <v>294</v>
      </c>
      <c r="E22" s="751"/>
      <c r="G22" s="751" t="s">
        <v>336</v>
      </c>
      <c r="H22" s="751"/>
      <c r="L22" t="s">
        <v>205</v>
      </c>
      <c r="M22" s="145">
        <f>DEVSQ(M6:M20)</f>
        <v>826.74234051697704</v>
      </c>
    </row>
    <row r="23" spans="1:29" ht="18">
      <c r="D23" s="235">
        <f t="array" ref="D23:E24">MINVERSE(MMULT(TRANSPOSE(D6:E20),D6:E20))</f>
        <v>0.23997666850862656</v>
      </c>
      <c r="E23" s="237">
        <v>-8.9335052495855619E-3</v>
      </c>
      <c r="G23" s="235">
        <f t="array" ref="G23:H24">M24*D23:E24</f>
        <v>15.261451737868359</v>
      </c>
      <c r="H23" s="237">
        <v>-0.56813131069715916</v>
      </c>
      <c r="L23" t="s">
        <v>203</v>
      </c>
      <c r="M23" s="20">
        <f>COUNT(A6:A20)-COUNT(A6:A6)-1</f>
        <v>13</v>
      </c>
    </row>
    <row r="24" spans="1:29" ht="18">
      <c r="D24" s="7">
        <v>-8.9335052495855601E-3</v>
      </c>
      <c r="E24" s="9">
        <v>4.6048996131884334E-4</v>
      </c>
      <c r="G24" s="7">
        <v>-0.56813131069715905</v>
      </c>
      <c r="H24" s="9">
        <v>2.9285119108100981E-2</v>
      </c>
      <c r="L24" t="s">
        <v>335</v>
      </c>
      <c r="M24" s="146">
        <f>M22/M23</f>
        <v>63.595564655152081</v>
      </c>
    </row>
    <row r="26" spans="1:29">
      <c r="M26" s="5"/>
    </row>
    <row r="27" spans="1:29">
      <c r="N27" t="s">
        <v>450</v>
      </c>
    </row>
    <row r="29" spans="1:29">
      <c r="N29" t="s">
        <v>219</v>
      </c>
      <c r="Q29" t="s">
        <v>447</v>
      </c>
      <c r="T29" t="s">
        <v>448</v>
      </c>
    </row>
    <row r="31" spans="1:29" ht="18">
      <c r="N31" s="224" t="s">
        <v>291</v>
      </c>
      <c r="O31" s="224" t="s">
        <v>62</v>
      </c>
      <c r="Q31" s="224" t="s">
        <v>291</v>
      </c>
      <c r="R31" s="224" t="s">
        <v>454</v>
      </c>
      <c r="T31" s="224" t="s">
        <v>291</v>
      </c>
      <c r="U31" s="224" t="s">
        <v>455</v>
      </c>
    </row>
    <row r="32" spans="1:29">
      <c r="N32" s="244">
        <f t="shared" ref="N32:N46" si="3">E6</f>
        <v>5</v>
      </c>
      <c r="O32" s="237">
        <f t="shared" ref="O32:O46" si="4">M6</f>
        <v>-2.5794191686621275</v>
      </c>
      <c r="Q32" s="244">
        <f>N32</f>
        <v>5</v>
      </c>
      <c r="R32" s="237">
        <f t="shared" ref="R32:R46" si="5">O32/SQRT($M$24)</f>
        <v>-0.32345100811793859</v>
      </c>
      <c r="S32">
        <v>1</v>
      </c>
      <c r="T32" s="244">
        <f>Q32</f>
        <v>5</v>
      </c>
      <c r="U32" s="237">
        <f t="array" ref="U32:U46">R32:R46/SQRT(1-INDEX(O6:AC20,S32:S46,S32:S46))</f>
        <v>-0.35336731270605498</v>
      </c>
    </row>
    <row r="33" spans="2:21">
      <c r="N33" s="194">
        <f t="shared" si="3"/>
        <v>23</v>
      </c>
      <c r="O33" s="6">
        <f t="shared" si="4"/>
        <v>6.7281881254988463</v>
      </c>
      <c r="Q33" s="194">
        <f t="shared" ref="Q33:Q46" si="6">N33</f>
        <v>23</v>
      </c>
      <c r="R33" s="6">
        <f t="shared" si="5"/>
        <v>0.84369351768774359</v>
      </c>
      <c r="S33">
        <f>S32+1</f>
        <v>2</v>
      </c>
      <c r="T33" s="194">
        <f t="shared" ref="T33:T46" si="7">Q33</f>
        <v>23</v>
      </c>
      <c r="U33" s="6">
        <v>0.87611128018264017</v>
      </c>
    </row>
    <row r="34" spans="2:21">
      <c r="N34" s="194">
        <f t="shared" si="3"/>
        <v>25</v>
      </c>
      <c r="O34" s="6">
        <f t="shared" si="4"/>
        <v>-10.015411064038815</v>
      </c>
      <c r="Q34" s="194">
        <f t="shared" si="6"/>
        <v>25</v>
      </c>
      <c r="R34" s="6">
        <f t="shared" si="5"/>
        <v>-1.2559008806076084</v>
      </c>
      <c r="S34">
        <f t="shared" ref="S34:S46" si="8">S33+1</f>
        <v>3</v>
      </c>
      <c r="T34" s="194">
        <f t="shared" si="7"/>
        <v>25</v>
      </c>
      <c r="U34" s="6">
        <v>-1.3101560983825884</v>
      </c>
    </row>
    <row r="35" spans="2:21">
      <c r="N35" s="194">
        <f t="shared" si="3"/>
        <v>48</v>
      </c>
      <c r="O35" s="6">
        <f t="shared" si="4"/>
        <v>-2.5668017437220101</v>
      </c>
      <c r="Q35" s="194">
        <f t="shared" si="6"/>
        <v>48</v>
      </c>
      <c r="R35" s="6">
        <f t="shared" si="5"/>
        <v>-0.32186882292434321</v>
      </c>
      <c r="S35">
        <f t="shared" si="8"/>
        <v>4</v>
      </c>
      <c r="T35" s="194">
        <f t="shared" si="7"/>
        <v>48</v>
      </c>
      <c r="U35" s="6">
        <v>-0.43139948969891356</v>
      </c>
    </row>
    <row r="36" spans="2:21">
      <c r="N36" s="194">
        <f t="shared" si="3"/>
        <v>17</v>
      </c>
      <c r="O36" s="6">
        <f t="shared" si="4"/>
        <v>9.9589856941118597</v>
      </c>
      <c r="Q36" s="194">
        <f t="shared" si="6"/>
        <v>17</v>
      </c>
      <c r="R36" s="6">
        <f t="shared" si="5"/>
        <v>1.2488253176250446</v>
      </c>
      <c r="S36">
        <f t="shared" si="8"/>
        <v>5</v>
      </c>
      <c r="T36" s="194">
        <f t="shared" si="7"/>
        <v>17</v>
      </c>
      <c r="U36" s="6">
        <v>1.2944977248762728</v>
      </c>
    </row>
    <row r="37" spans="2:21">
      <c r="N37" s="194">
        <f t="shared" si="3"/>
        <v>8</v>
      </c>
      <c r="O37" s="6">
        <f t="shared" si="4"/>
        <v>3.3051820470313658</v>
      </c>
      <c r="Q37" s="194">
        <f t="shared" si="6"/>
        <v>8</v>
      </c>
      <c r="R37" s="6">
        <f t="shared" si="5"/>
        <v>0.41445937834140428</v>
      </c>
      <c r="S37">
        <f t="shared" si="8"/>
        <v>6</v>
      </c>
      <c r="T37" s="194">
        <f t="shared" si="7"/>
        <v>8</v>
      </c>
      <c r="U37" s="6">
        <v>0.44345901226089324</v>
      </c>
    </row>
    <row r="38" spans="2:21">
      <c r="N38" s="194">
        <f t="shared" si="3"/>
        <v>4</v>
      </c>
      <c r="O38" s="6">
        <f t="shared" si="4"/>
        <v>-10.207619573893297</v>
      </c>
      <c r="Q38" s="194">
        <f t="shared" si="6"/>
        <v>4</v>
      </c>
      <c r="R38" s="6">
        <f t="shared" si="5"/>
        <v>-1.2800032200166485</v>
      </c>
      <c r="S38">
        <f t="shared" si="8"/>
        <v>7</v>
      </c>
      <c r="T38" s="194">
        <f t="shared" si="7"/>
        <v>4</v>
      </c>
      <c r="U38" s="6">
        <v>-1.4099863361999463</v>
      </c>
    </row>
    <row r="39" spans="2:21">
      <c r="N39" s="194">
        <f t="shared" si="3"/>
        <v>26</v>
      </c>
      <c r="O39" s="6">
        <f t="shared" si="4"/>
        <v>9.6127893411923537</v>
      </c>
      <c r="Q39" s="194">
        <f t="shared" si="6"/>
        <v>26</v>
      </c>
      <c r="R39" s="6">
        <f t="shared" si="5"/>
        <v>1.2054133895758909</v>
      </c>
      <c r="S39">
        <f t="shared" si="8"/>
        <v>8</v>
      </c>
      <c r="T39" s="194">
        <f t="shared" si="7"/>
        <v>26</v>
      </c>
      <c r="U39" s="6">
        <v>1.2613493026239915</v>
      </c>
    </row>
    <row r="40" spans="2:21">
      <c r="N40" s="194">
        <f t="shared" si="3"/>
        <v>11</v>
      </c>
      <c r="O40" s="6">
        <f t="shared" si="4"/>
        <v>2.189783262724859</v>
      </c>
      <c r="Q40" s="194">
        <f t="shared" si="6"/>
        <v>11</v>
      </c>
      <c r="R40" s="6">
        <f t="shared" si="5"/>
        <v>0.27459189746795337</v>
      </c>
      <c r="S40">
        <f t="shared" si="8"/>
        <v>9</v>
      </c>
      <c r="T40" s="194">
        <f t="shared" si="7"/>
        <v>11</v>
      </c>
      <c r="U40" s="6">
        <v>0.28931010782196626</v>
      </c>
    </row>
    <row r="41" spans="2:21">
      <c r="N41" s="194">
        <f t="shared" si="3"/>
        <v>19</v>
      </c>
      <c r="O41" s="6">
        <f t="shared" si="4"/>
        <v>1.2153865045741838</v>
      </c>
      <c r="Q41" s="194">
        <f t="shared" si="6"/>
        <v>19</v>
      </c>
      <c r="R41" s="6">
        <f t="shared" si="5"/>
        <v>0.1524056248528837</v>
      </c>
      <c r="S41">
        <f t="shared" si="8"/>
        <v>10</v>
      </c>
      <c r="T41" s="194">
        <f t="shared" si="7"/>
        <v>19</v>
      </c>
      <c r="U41" s="6">
        <v>0.15776103618215834</v>
      </c>
    </row>
    <row r="42" spans="2:21">
      <c r="N42" s="194">
        <f t="shared" si="3"/>
        <v>14</v>
      </c>
      <c r="O42" s="6">
        <f t="shared" si="4"/>
        <v>-8.9256155215816477</v>
      </c>
      <c r="Q42" s="194">
        <f t="shared" si="6"/>
        <v>14</v>
      </c>
      <c r="R42" s="6">
        <f t="shared" si="5"/>
        <v>-1.1192439653094886</v>
      </c>
      <c r="S42">
        <f t="shared" si="8"/>
        <v>11</v>
      </c>
      <c r="T42" s="194">
        <f t="shared" si="7"/>
        <v>14</v>
      </c>
      <c r="U42" s="6">
        <v>-1.1669524669732534</v>
      </c>
    </row>
    <row r="43" spans="2:21">
      <c r="N43" s="194">
        <f t="shared" si="3"/>
        <v>35</v>
      </c>
      <c r="O43" s="6">
        <f t="shared" si="4"/>
        <v>8.2665929882728335</v>
      </c>
      <c r="Q43" s="194">
        <f t="shared" si="6"/>
        <v>35</v>
      </c>
      <c r="R43" s="6">
        <f t="shared" si="5"/>
        <v>1.0366046233363364</v>
      </c>
      <c r="S43">
        <f t="shared" si="8"/>
        <v>12</v>
      </c>
      <c r="T43" s="194">
        <f t="shared" si="7"/>
        <v>35</v>
      </c>
      <c r="U43" s="6">
        <v>1.1438539062603683</v>
      </c>
    </row>
    <row r="44" spans="2:21">
      <c r="N44" s="194">
        <f t="shared" si="3"/>
        <v>29</v>
      </c>
      <c r="O44" s="6">
        <f t="shared" si="4"/>
        <v>-9.502609443114153</v>
      </c>
      <c r="Q44" s="194">
        <f t="shared" si="6"/>
        <v>29</v>
      </c>
      <c r="R44" s="6">
        <f t="shared" si="5"/>
        <v>-1.1915971787247441</v>
      </c>
      <c r="S44">
        <f t="shared" si="8"/>
        <v>13</v>
      </c>
      <c r="T44" s="194">
        <f t="shared" si="7"/>
        <v>29</v>
      </c>
      <c r="U44" s="6">
        <v>-1.2624561672637942</v>
      </c>
    </row>
    <row r="45" spans="2:21">
      <c r="N45" s="194">
        <f t="shared" si="3"/>
        <v>4</v>
      </c>
      <c r="O45" s="6">
        <f t="shared" si="4"/>
        <v>8.7923804261067033</v>
      </c>
      <c r="Q45" s="194">
        <f t="shared" si="6"/>
        <v>4</v>
      </c>
      <c r="R45" s="6">
        <f t="shared" si="5"/>
        <v>1.1025367056009348</v>
      </c>
      <c r="S45">
        <f t="shared" si="8"/>
        <v>14</v>
      </c>
      <c r="T45" s="194">
        <f t="shared" si="7"/>
        <v>4</v>
      </c>
      <c r="U45" s="6">
        <v>1.2144982651184277</v>
      </c>
    </row>
    <row r="46" spans="2:21">
      <c r="B46" t="s">
        <v>449</v>
      </c>
      <c r="N46" s="31">
        <f t="shared" si="3"/>
        <v>23</v>
      </c>
      <c r="O46" s="9">
        <f t="shared" si="4"/>
        <v>-6.2718118745011537</v>
      </c>
      <c r="Q46" s="31">
        <f t="shared" si="6"/>
        <v>23</v>
      </c>
      <c r="R46" s="9">
        <f t="shared" si="5"/>
        <v>-0.78646537878744494</v>
      </c>
      <c r="S46">
        <f t="shared" si="8"/>
        <v>15</v>
      </c>
      <c r="T46" s="31">
        <f t="shared" si="7"/>
        <v>23</v>
      </c>
      <c r="U46" s="9">
        <v>-0.81668422879101499</v>
      </c>
    </row>
    <row r="49" spans="14:17">
      <c r="N49" t="s">
        <v>32</v>
      </c>
    </row>
    <row r="51" spans="14:17">
      <c r="N51" t="s">
        <v>11</v>
      </c>
      <c r="O51">
        <f>COUNT(O32:O46)</f>
        <v>15</v>
      </c>
      <c r="P51">
        <f>2*O51</f>
        <v>30</v>
      </c>
    </row>
    <row r="52" spans="14:17">
      <c r="N52" t="s">
        <v>8</v>
      </c>
      <c r="O52">
        <f>AVERAGE(O32:O46)</f>
        <v>-1.3263464400855204E-14</v>
      </c>
    </row>
    <row r="53" spans="14:17">
      <c r="N53" t="s">
        <v>25</v>
      </c>
      <c r="O53">
        <f>STDEV(O32:O46)</f>
        <v>7.6845965621261607</v>
      </c>
    </row>
    <row r="55" spans="14:17">
      <c r="N55" t="s">
        <v>33</v>
      </c>
      <c r="O55" t="s">
        <v>34</v>
      </c>
      <c r="P55" t="s">
        <v>135</v>
      </c>
      <c r="Q55" t="s">
        <v>35</v>
      </c>
    </row>
    <row r="56" spans="14:17">
      <c r="N56">
        <v>1</v>
      </c>
      <c r="O56">
        <v>-10.207619573893297</v>
      </c>
      <c r="P56">
        <f>NORMSINV(N56/P$51)</f>
        <v>-1.8339146358159142</v>
      </c>
      <c r="Q56">
        <f>STANDARDIZE(O56,O$52,O$53)</f>
        <v>-1.3283221170258881</v>
      </c>
    </row>
    <row r="57" spans="14:17">
      <c r="N57">
        <f>N56+2</f>
        <v>3</v>
      </c>
      <c r="O57">
        <v>-10.015411064038815</v>
      </c>
      <c r="P57">
        <f t="shared" ref="P57:P70" si="9">NORMSINV(N57/P$51)</f>
        <v>-1.2815515655446006</v>
      </c>
      <c r="Q57">
        <f t="shared" ref="Q57:Q70" si="10">STANDARDIZE(O57,O$52,O$53)</f>
        <v>-1.3033099373622494</v>
      </c>
    </row>
    <row r="58" spans="14:17">
      <c r="N58">
        <f t="shared" ref="N58:N70" si="11">N57+2</f>
        <v>5</v>
      </c>
      <c r="O58">
        <v>-9.502609443114153</v>
      </c>
      <c r="P58">
        <f t="shared" si="9"/>
        <v>-0.96742156610170071</v>
      </c>
      <c r="Q58">
        <f t="shared" si="10"/>
        <v>-1.2365788322510161</v>
      </c>
    </row>
    <row r="59" spans="14:17">
      <c r="N59">
        <f t="shared" si="11"/>
        <v>7</v>
      </c>
      <c r="O59">
        <v>-8.9256155215816477</v>
      </c>
      <c r="P59">
        <f t="shared" si="9"/>
        <v>-0.72791329088164469</v>
      </c>
      <c r="Q59">
        <f t="shared" si="10"/>
        <v>-1.161494354247806</v>
      </c>
    </row>
    <row r="60" spans="14:17">
      <c r="N60">
        <f t="shared" si="11"/>
        <v>9</v>
      </c>
      <c r="O60">
        <v>-6.2718118745011537</v>
      </c>
      <c r="P60">
        <f t="shared" si="9"/>
        <v>-0.52440051270804089</v>
      </c>
      <c r="Q60">
        <f t="shared" si="10"/>
        <v>-0.81615369444532904</v>
      </c>
    </row>
    <row r="61" spans="14:17">
      <c r="N61">
        <f t="shared" si="11"/>
        <v>11</v>
      </c>
      <c r="O61">
        <v>-2.5794191686621275</v>
      </c>
      <c r="P61">
        <f t="shared" si="9"/>
        <v>-0.34069482708779553</v>
      </c>
      <c r="Q61">
        <f t="shared" si="10"/>
        <v>-0.33566097423707109</v>
      </c>
    </row>
    <row r="62" spans="14:17">
      <c r="N62">
        <f t="shared" si="11"/>
        <v>13</v>
      </c>
      <c r="O62">
        <v>-2.5668017437220101</v>
      </c>
      <c r="P62">
        <f t="shared" si="9"/>
        <v>-0.16789400478810546</v>
      </c>
      <c r="Q62">
        <f t="shared" si="10"/>
        <v>-0.33401906306605361</v>
      </c>
    </row>
    <row r="63" spans="14:17">
      <c r="N63">
        <f t="shared" si="11"/>
        <v>15</v>
      </c>
      <c r="O63">
        <v>1.2153865045741838</v>
      </c>
      <c r="P63">
        <f t="shared" si="9"/>
        <v>0</v>
      </c>
      <c r="Q63">
        <f t="shared" si="10"/>
        <v>0.15815879138851319</v>
      </c>
    </row>
    <row r="64" spans="14:17">
      <c r="N64">
        <f t="shared" si="11"/>
        <v>17</v>
      </c>
      <c r="O64">
        <v>2.189783262724859</v>
      </c>
      <c r="P64">
        <f t="shared" si="9"/>
        <v>0.16789400478810546</v>
      </c>
      <c r="Q64">
        <f t="shared" si="10"/>
        <v>0.2849574789023156</v>
      </c>
    </row>
    <row r="65" spans="14:17">
      <c r="N65">
        <f t="shared" si="11"/>
        <v>19</v>
      </c>
      <c r="O65">
        <v>3.3051820470313658</v>
      </c>
      <c r="P65">
        <f t="shared" si="9"/>
        <v>0.34069482708779542</v>
      </c>
      <c r="Q65">
        <f t="shared" si="10"/>
        <v>0.43010482337109279</v>
      </c>
    </row>
    <row r="66" spans="14:17">
      <c r="N66">
        <f t="shared" si="11"/>
        <v>21</v>
      </c>
      <c r="O66">
        <v>6.7281881254988463</v>
      </c>
      <c r="P66">
        <f t="shared" si="9"/>
        <v>0.52440051270804078</v>
      </c>
      <c r="Q66">
        <f t="shared" si="10"/>
        <v>0.87554214084041859</v>
      </c>
    </row>
    <row r="67" spans="14:17">
      <c r="N67">
        <f t="shared" si="11"/>
        <v>23</v>
      </c>
      <c r="O67">
        <v>8.2665929882728335</v>
      </c>
      <c r="P67">
        <f t="shared" si="9"/>
        <v>0.72791329088164458</v>
      </c>
      <c r="Q67">
        <f t="shared" si="10"/>
        <v>1.0757354561741181</v>
      </c>
    </row>
    <row r="68" spans="14:17">
      <c r="N68">
        <f t="shared" si="11"/>
        <v>25</v>
      </c>
      <c r="O68">
        <v>8.7923804261067033</v>
      </c>
      <c r="P68">
        <f t="shared" si="9"/>
        <v>0.96742156610170071</v>
      </c>
      <c r="Q68">
        <f t="shared" si="10"/>
        <v>1.144156411468666</v>
      </c>
    </row>
    <row r="69" spans="14:17">
      <c r="N69">
        <f t="shared" si="11"/>
        <v>27</v>
      </c>
      <c r="O69">
        <v>9.6127893411923537</v>
      </c>
      <c r="P69">
        <f t="shared" si="9"/>
        <v>1.2815515655446006</v>
      </c>
      <c r="Q69">
        <f t="shared" si="10"/>
        <v>1.2509165918441809</v>
      </c>
    </row>
    <row r="70" spans="14:17">
      <c r="N70">
        <f t="shared" si="11"/>
        <v>29</v>
      </c>
      <c r="O70">
        <v>9.9589856941118597</v>
      </c>
      <c r="P70">
        <f t="shared" si="9"/>
        <v>1.8339146358159142</v>
      </c>
      <c r="Q70">
        <f t="shared" si="10"/>
        <v>1.2959672786461074</v>
      </c>
    </row>
    <row r="73" spans="14:17">
      <c r="N73" t="s">
        <v>32</v>
      </c>
    </row>
    <row r="75" spans="14:17">
      <c r="N75" t="s">
        <v>11</v>
      </c>
      <c r="O75">
        <f>COUNT(G6:G20)</f>
        <v>15</v>
      </c>
      <c r="P75">
        <f>2*O75</f>
        <v>30</v>
      </c>
    </row>
    <row r="76" spans="14:17">
      <c r="N76" t="s">
        <v>8</v>
      </c>
      <c r="O76">
        <f>AVERAGE(G6:G20)</f>
        <v>73.533333333333331</v>
      </c>
    </row>
    <row r="77" spans="14:17">
      <c r="N77" t="s">
        <v>25</v>
      </c>
      <c r="O77">
        <f>STDEV(G6:G20)</f>
        <v>10.966616007988378</v>
      </c>
    </row>
    <row r="79" spans="14:17">
      <c r="N79" t="s">
        <v>33</v>
      </c>
      <c r="O79" t="s">
        <v>34</v>
      </c>
      <c r="P79" t="s">
        <v>135</v>
      </c>
      <c r="Q79" t="s">
        <v>35</v>
      </c>
    </row>
    <row r="80" spans="14:17">
      <c r="N80">
        <v>1</v>
      </c>
      <c r="O80">
        <v>53</v>
      </c>
      <c r="P80">
        <f>NORMSINV(N80/P$75)</f>
        <v>-1.8339146358159142</v>
      </c>
      <c r="Q80">
        <f>STANDARDIZE(O80,O$76,O$77)</f>
        <v>-1.8723490745345965</v>
      </c>
    </row>
    <row r="81" spans="14:17">
      <c r="N81">
        <f>N80+2</f>
        <v>3</v>
      </c>
      <c r="O81">
        <v>58</v>
      </c>
      <c r="P81">
        <f t="shared" ref="P81:P94" si="12">NORMSINV(N81/P$75)</f>
        <v>-1.2815515655446006</v>
      </c>
      <c r="Q81">
        <f t="shared" ref="Q81:Q94" si="13">STANDARDIZE(O81,O$76,O$77)</f>
        <v>-1.4164199167745486</v>
      </c>
    </row>
    <row r="82" spans="14:17">
      <c r="N82">
        <f t="shared" ref="N82:N94" si="14">N81+2</f>
        <v>5</v>
      </c>
      <c r="O82">
        <v>60</v>
      </c>
      <c r="P82">
        <f t="shared" si="12"/>
        <v>-0.96742156610170071</v>
      </c>
      <c r="Q82">
        <f t="shared" si="13"/>
        <v>-1.2340482536705295</v>
      </c>
    </row>
    <row r="83" spans="14:17">
      <c r="N83">
        <f t="shared" si="14"/>
        <v>7</v>
      </c>
      <c r="O83">
        <v>65</v>
      </c>
      <c r="P83">
        <f t="shared" si="12"/>
        <v>-0.72791329088164469</v>
      </c>
      <c r="Q83">
        <f t="shared" si="13"/>
        <v>-0.77811909591048156</v>
      </c>
    </row>
    <row r="84" spans="14:17">
      <c r="N84">
        <f t="shared" si="14"/>
        <v>9</v>
      </c>
      <c r="O84">
        <v>68</v>
      </c>
      <c r="P84">
        <f t="shared" si="12"/>
        <v>-0.52440051270804089</v>
      </c>
      <c r="Q84">
        <f t="shared" si="13"/>
        <v>-0.50456160125445282</v>
      </c>
    </row>
    <row r="85" spans="14:17">
      <c r="N85">
        <f t="shared" si="14"/>
        <v>11</v>
      </c>
      <c r="O85">
        <v>72</v>
      </c>
      <c r="P85">
        <f t="shared" si="12"/>
        <v>-0.34069482708779553</v>
      </c>
      <c r="Q85">
        <f t="shared" si="13"/>
        <v>-0.13981827504641453</v>
      </c>
    </row>
    <row r="86" spans="14:17">
      <c r="N86">
        <f t="shared" si="14"/>
        <v>13</v>
      </c>
      <c r="O86">
        <v>73</v>
      </c>
      <c r="P86">
        <f t="shared" si="12"/>
        <v>-0.16789400478810546</v>
      </c>
      <c r="Q86">
        <f t="shared" si="13"/>
        <v>-4.8632443494404938E-2</v>
      </c>
    </row>
    <row r="87" spans="14:17">
      <c r="N87">
        <f t="shared" si="14"/>
        <v>15</v>
      </c>
      <c r="O87">
        <v>75</v>
      </c>
      <c r="P87">
        <f t="shared" si="12"/>
        <v>0</v>
      </c>
      <c r="Q87">
        <f t="shared" si="13"/>
        <v>0.13373921960961421</v>
      </c>
    </row>
    <row r="88" spans="14:17">
      <c r="N88">
        <f t="shared" si="14"/>
        <v>17</v>
      </c>
      <c r="O88">
        <v>78</v>
      </c>
      <c r="P88">
        <f t="shared" si="12"/>
        <v>0.16789400478810546</v>
      </c>
      <c r="Q88">
        <f t="shared" si="13"/>
        <v>0.40729671426564296</v>
      </c>
    </row>
    <row r="89" spans="14:17">
      <c r="N89">
        <f t="shared" si="14"/>
        <v>19</v>
      </c>
      <c r="O89">
        <v>79</v>
      </c>
      <c r="P89">
        <f t="shared" si="12"/>
        <v>0.34069482708779542</v>
      </c>
      <c r="Q89">
        <f t="shared" si="13"/>
        <v>0.49848254581765256</v>
      </c>
    </row>
    <row r="90" spans="14:17">
      <c r="N90">
        <f t="shared" si="14"/>
        <v>21</v>
      </c>
      <c r="O90">
        <v>80</v>
      </c>
      <c r="P90">
        <f t="shared" si="12"/>
        <v>0.52440051270804078</v>
      </c>
      <c r="Q90">
        <f t="shared" si="13"/>
        <v>0.58966837736966216</v>
      </c>
    </row>
    <row r="91" spans="14:17">
      <c r="N91">
        <f t="shared" si="14"/>
        <v>23</v>
      </c>
      <c r="O91">
        <v>81</v>
      </c>
      <c r="P91">
        <f t="shared" si="12"/>
        <v>0.72791329088164458</v>
      </c>
      <c r="Q91">
        <f t="shared" si="13"/>
        <v>0.6808542089216717</v>
      </c>
    </row>
    <row r="92" spans="14:17">
      <c r="N92">
        <f t="shared" si="14"/>
        <v>25</v>
      </c>
      <c r="O92">
        <v>84</v>
      </c>
      <c r="P92">
        <f t="shared" si="12"/>
        <v>0.96742156610170071</v>
      </c>
      <c r="Q92">
        <f t="shared" si="13"/>
        <v>0.95441170357770044</v>
      </c>
    </row>
    <row r="93" spans="14:17">
      <c r="N93">
        <f t="shared" si="14"/>
        <v>27</v>
      </c>
      <c r="O93">
        <v>85</v>
      </c>
      <c r="P93">
        <f t="shared" si="12"/>
        <v>1.2815515655446006</v>
      </c>
      <c r="Q93">
        <f t="shared" si="13"/>
        <v>1.04559753512971</v>
      </c>
    </row>
    <row r="94" spans="14:17">
      <c r="N94">
        <f t="shared" si="14"/>
        <v>29</v>
      </c>
      <c r="O94">
        <v>92</v>
      </c>
      <c r="P94">
        <f t="shared" si="12"/>
        <v>1.8339146358159142</v>
      </c>
      <c r="Q94">
        <f t="shared" si="13"/>
        <v>1.683898355993777</v>
      </c>
    </row>
    <row r="97" spans="14:17">
      <c r="N97" t="s">
        <v>32</v>
      </c>
    </row>
    <row r="99" spans="14:17">
      <c r="N99" t="s">
        <v>11</v>
      </c>
      <c r="O99">
        <f>COUNT(U32:U46)</f>
        <v>15</v>
      </c>
      <c r="P99">
        <f>2*O99</f>
        <v>30</v>
      </c>
    </row>
    <row r="100" spans="14:17">
      <c r="N100" t="s">
        <v>8</v>
      </c>
      <c r="O100">
        <f>AVERAGE(U32:U46)</f>
        <v>-4.6774309792564951E-3</v>
      </c>
    </row>
    <row r="101" spans="14:17">
      <c r="N101" t="s">
        <v>25</v>
      </c>
      <c r="O101">
        <f>STDEV(U32:U46)</f>
        <v>1.026808961506215</v>
      </c>
    </row>
    <row r="103" spans="14:17">
      <c r="N103" t="s">
        <v>33</v>
      </c>
      <c r="O103" t="s">
        <v>34</v>
      </c>
      <c r="P103" t="s">
        <v>135</v>
      </c>
      <c r="Q103" t="s">
        <v>35</v>
      </c>
    </row>
    <row r="104" spans="14:17">
      <c r="N104">
        <v>1</v>
      </c>
      <c r="O104">
        <v>-4.4098569762515689</v>
      </c>
      <c r="P104">
        <f>NORMSINV(N104/P$99)</f>
        <v>-1.8339146358159142</v>
      </c>
      <c r="Q104">
        <f>STANDARDIZE(O104,O$100,O$101)</f>
        <v>-4.2901646853669853</v>
      </c>
    </row>
    <row r="105" spans="14:17">
      <c r="N105">
        <f>N104+2</f>
        <v>3</v>
      </c>
      <c r="O105">
        <v>-3.9547885483193022</v>
      </c>
      <c r="P105">
        <f t="shared" ref="P105:P118" si="15">NORMSINV(N105/P$99)</f>
        <v>-1.2815515655446006</v>
      </c>
      <c r="Q105">
        <f t="shared" ref="Q105:Q118" si="16">STANDARDIZE(O105,O$100,O$101)</f>
        <v>-3.8469776418250872</v>
      </c>
    </row>
    <row r="106" spans="14:17">
      <c r="N106">
        <f t="shared" ref="N106:N118" si="17">N105+2</f>
        <v>5</v>
      </c>
      <c r="O106">
        <v>-3.6074996744649384</v>
      </c>
      <c r="P106">
        <f t="shared" si="15"/>
        <v>-0.96742156610170071</v>
      </c>
      <c r="Q106">
        <f t="shared" si="16"/>
        <v>-3.5087561353192136</v>
      </c>
    </row>
    <row r="107" spans="14:17">
      <c r="N107">
        <f t="shared" si="17"/>
        <v>7</v>
      </c>
      <c r="O107">
        <v>-3.0521593017915123</v>
      </c>
      <c r="P107">
        <f t="shared" si="15"/>
        <v>-0.72791329088164469</v>
      </c>
      <c r="Q107">
        <f t="shared" si="16"/>
        <v>-2.9679151478595762</v>
      </c>
    </row>
    <row r="108" spans="14:17">
      <c r="N108">
        <f t="shared" si="17"/>
        <v>9</v>
      </c>
      <c r="O108">
        <v>-2.9181511633249473</v>
      </c>
      <c r="P108">
        <f t="shared" si="15"/>
        <v>-0.52440051270804089</v>
      </c>
      <c r="Q108">
        <f t="shared" si="16"/>
        <v>-2.837405828706391</v>
      </c>
    </row>
    <row r="109" spans="14:17">
      <c r="N109">
        <f t="shared" si="17"/>
        <v>11</v>
      </c>
      <c r="O109">
        <v>-0.80323912920398621</v>
      </c>
      <c r="P109">
        <f t="shared" si="15"/>
        <v>-0.34069482708779553</v>
      </c>
      <c r="Q109">
        <f t="shared" si="16"/>
        <v>-0.77771204592266907</v>
      </c>
    </row>
    <row r="110" spans="14:17">
      <c r="N110">
        <f t="shared" si="17"/>
        <v>13</v>
      </c>
      <c r="O110">
        <v>-0.48341021558419511</v>
      </c>
      <c r="P110">
        <f t="shared" si="15"/>
        <v>-0.16789400478810546</v>
      </c>
      <c r="Q110">
        <f t="shared" si="16"/>
        <v>-0.4662335473803137</v>
      </c>
    </row>
    <row r="111" spans="14:17">
      <c r="N111">
        <f t="shared" si="17"/>
        <v>15</v>
      </c>
      <c r="O111">
        <v>0.58993854401092605</v>
      </c>
      <c r="P111">
        <f t="shared" si="15"/>
        <v>0</v>
      </c>
      <c r="Q111">
        <f t="shared" si="16"/>
        <v>0.5790911428333726</v>
      </c>
    </row>
    <row r="112" spans="14:17">
      <c r="N112">
        <f t="shared" si="17"/>
        <v>17</v>
      </c>
      <c r="O112">
        <v>0.87201107950729451</v>
      </c>
      <c r="P112">
        <f t="shared" si="15"/>
        <v>0.16789400478810546</v>
      </c>
      <c r="Q112">
        <f t="shared" si="16"/>
        <v>0.85379904476149693</v>
      </c>
    </row>
    <row r="113" spans="14:17">
      <c r="N113">
        <f t="shared" si="17"/>
        <v>19</v>
      </c>
      <c r="O113">
        <v>1.1652422147908958</v>
      </c>
      <c r="P113">
        <f t="shared" si="15"/>
        <v>0.34069482708779542</v>
      </c>
      <c r="Q113">
        <f t="shared" si="16"/>
        <v>1.1393742065262167</v>
      </c>
    </row>
    <row r="114" spans="14:17">
      <c r="N114">
        <f t="shared" si="17"/>
        <v>21</v>
      </c>
      <c r="O114">
        <v>2.4519555167106906</v>
      </c>
      <c r="P114">
        <f t="shared" si="15"/>
        <v>0.52440051270804078</v>
      </c>
      <c r="Q114">
        <f t="shared" si="16"/>
        <v>2.3924927029136347</v>
      </c>
    </row>
    <row r="115" spans="14:17">
      <c r="N115">
        <f t="shared" si="17"/>
        <v>23</v>
      </c>
      <c r="O115">
        <v>2.6289915595077131</v>
      </c>
      <c r="P115">
        <f t="shared" si="15"/>
        <v>0.72791329088164458</v>
      </c>
      <c r="Q115">
        <f t="shared" si="16"/>
        <v>2.5649065105778477</v>
      </c>
    </row>
    <row r="116" spans="14:17">
      <c r="N116">
        <f t="shared" si="17"/>
        <v>25</v>
      </c>
      <c r="O116">
        <v>3.1304940898048206</v>
      </c>
      <c r="P116">
        <f t="shared" si="15"/>
        <v>0.96742156610170071</v>
      </c>
      <c r="Q116">
        <f t="shared" si="16"/>
        <v>3.0533153082196787</v>
      </c>
    </row>
    <row r="117" spans="14:17">
      <c r="N117">
        <f t="shared" si="17"/>
        <v>27</v>
      </c>
      <c r="O117">
        <v>4.0931940220702412</v>
      </c>
      <c r="P117">
        <f t="shared" si="15"/>
        <v>1.2815515655446006</v>
      </c>
      <c r="Q117">
        <f t="shared" si="16"/>
        <v>3.9908801020185627</v>
      </c>
    </row>
    <row r="118" spans="14:17">
      <c r="N118">
        <f t="shared" si="17"/>
        <v>29</v>
      </c>
      <c r="O118">
        <v>4.7432418796866473</v>
      </c>
      <c r="P118">
        <f t="shared" si="15"/>
        <v>1.8339146358159142</v>
      </c>
      <c r="Q118">
        <f t="shared" si="16"/>
        <v>4.6239558561129348</v>
      </c>
    </row>
  </sheetData>
  <mergeCells count="3">
    <mergeCell ref="D5:E5"/>
    <mergeCell ref="D22:E22"/>
    <mergeCell ref="G22:H22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124"/>
  <dimension ref="A1:AC70"/>
  <sheetViews>
    <sheetView workbookViewId="0"/>
  </sheetViews>
  <sheetFormatPr defaultRowHeight="15"/>
  <cols>
    <col min="1" max="1" width="9.5703125" customWidth="1"/>
    <col min="2" max="2" width="9" customWidth="1"/>
    <col min="3" max="3" width="9.42578125" customWidth="1"/>
    <col min="5" max="7" width="6.140625" customWidth="1"/>
    <col min="8" max="8" width="5.7109375" customWidth="1"/>
    <col min="10" max="10" width="5.5703125" customWidth="1"/>
    <col min="14" max="14" width="5.42578125" customWidth="1"/>
    <col min="16" max="16" width="6.140625" customWidth="1"/>
    <col min="18" max="18" width="5.5703125" customWidth="1"/>
  </cols>
  <sheetData>
    <row r="1" spans="1:29">
      <c r="A1" s="1" t="s">
        <v>219</v>
      </c>
    </row>
    <row r="2" spans="1:29">
      <c r="A2" s="1"/>
    </row>
    <row r="3" spans="1:29">
      <c r="A3" s="14" t="s">
        <v>451</v>
      </c>
    </row>
    <row r="5" spans="1:29" ht="15" customHeight="1">
      <c r="A5" s="112" t="s">
        <v>296</v>
      </c>
      <c r="B5" s="112" t="s">
        <v>297</v>
      </c>
      <c r="C5" s="112" t="s">
        <v>290</v>
      </c>
      <c r="E5" s="752" t="s">
        <v>291</v>
      </c>
      <c r="F5" s="752"/>
      <c r="G5" s="752"/>
      <c r="H5" s="14"/>
      <c r="I5" s="167" t="s">
        <v>292</v>
      </c>
      <c r="K5" s="224" t="s">
        <v>60</v>
      </c>
      <c r="M5" s="224" t="s">
        <v>337</v>
      </c>
      <c r="O5" s="68" t="s">
        <v>305</v>
      </c>
      <c r="Q5" s="224" t="s">
        <v>62</v>
      </c>
      <c r="S5" s="238" t="s">
        <v>445</v>
      </c>
    </row>
    <row r="6" spans="1:29" ht="15" customHeight="1">
      <c r="A6" s="224">
        <v>7</v>
      </c>
      <c r="B6" s="224">
        <v>5</v>
      </c>
      <c r="C6" s="224">
        <v>65</v>
      </c>
      <c r="E6" s="246">
        <v>1</v>
      </c>
      <c r="F6" s="236">
        <f>A6</f>
        <v>7</v>
      </c>
      <c r="G6" s="237">
        <f>B6</f>
        <v>5</v>
      </c>
      <c r="I6" s="241">
        <f>C6</f>
        <v>65</v>
      </c>
      <c r="K6" s="241">
        <f t="array" ref="K6:K8">MMULT(K11:M13,MMULT(TRANSPOSE(E6:G16),I6:I16))</f>
        <v>1.7514036585681367</v>
      </c>
      <c r="L6">
        <v>1</v>
      </c>
      <c r="M6" s="241">
        <f t="array" ref="M6:M8">SQRT(INDEX($K$16:$M$18,L6:L8,L6:L8))</f>
        <v>16.613834897060123</v>
      </c>
      <c r="O6" s="241">
        <f t="array" ref="O6:O16">MMULT(E6:G16,K6:K8)</f>
        <v>54.810499624828537</v>
      </c>
      <c r="Q6" s="241">
        <f>I6-O6</f>
        <v>10.189500375171463</v>
      </c>
      <c r="S6" s="235">
        <f t="array" ref="S6:AC16">MMULT(E6:G16,MMULT(K11:M13,TRANSPOSE(E6:G16)))</f>
        <v>0.12773939817330326</v>
      </c>
      <c r="T6" s="236">
        <v>6.8695179694170494E-2</v>
      </c>
      <c r="U6" s="236">
        <v>0.13418199694688104</v>
      </c>
      <c r="V6" s="236">
        <v>7.95622137700846E-2</v>
      </c>
      <c r="W6" s="236">
        <v>0.13927915340629762</v>
      </c>
      <c r="X6" s="236">
        <v>6.225258092059309E-2</v>
      </c>
      <c r="Y6" s="236">
        <v>-3.3429066728764167E-2</v>
      </c>
      <c r="Z6" s="236">
        <v>2.6960594064529386E-2</v>
      </c>
      <c r="AA6" s="236">
        <v>0.18745633780951648</v>
      </c>
      <c r="AB6" s="236">
        <v>8.6004812543662087E-2</v>
      </c>
      <c r="AC6" s="237">
        <v>0.12129679939972567</v>
      </c>
    </row>
    <row r="7" spans="1:29" ht="15" customHeight="1">
      <c r="A7" s="224">
        <v>3</v>
      </c>
      <c r="B7" s="224">
        <v>7</v>
      </c>
      <c r="C7" s="224">
        <v>38</v>
      </c>
      <c r="E7" s="247">
        <v>1</v>
      </c>
      <c r="F7" s="5">
        <f t="shared" ref="F7:F16" si="0">A7</f>
        <v>3</v>
      </c>
      <c r="G7" s="6">
        <f t="shared" ref="G7:G16" si="1">B7</f>
        <v>7</v>
      </c>
      <c r="I7" s="200">
        <f t="shared" ref="I7:I16" si="2">C7</f>
        <v>38</v>
      </c>
      <c r="K7" s="200">
        <v>4.8952883645113623</v>
      </c>
      <c r="L7">
        <f>L6+1</f>
        <v>2</v>
      </c>
      <c r="M7" s="200">
        <v>1.9578685795717163</v>
      </c>
      <c r="O7" s="200">
        <v>42.746177132655433</v>
      </c>
      <c r="Q7" s="200">
        <f t="shared" ref="Q7:Q16" si="3">I7-O7</f>
        <v>-4.7461771326554327</v>
      </c>
      <c r="S7" s="201">
        <v>6.8695179694170522E-2</v>
      </c>
      <c r="T7" s="5">
        <v>0.29053791818675778</v>
      </c>
      <c r="U7" s="5">
        <v>0.23379647597609268</v>
      </c>
      <c r="V7" s="5">
        <v>-8.158037724132583E-2</v>
      </c>
      <c r="W7" s="5">
        <v>-6.9316153069937325E-2</v>
      </c>
      <c r="X7" s="5">
        <v>0.12543662190483595</v>
      </c>
      <c r="Y7" s="5">
        <v>5.8992470697818877E-2</v>
      </c>
      <c r="Z7" s="5">
        <v>0.3053636575331834</v>
      </c>
      <c r="AA7" s="5">
        <v>8.0959403865559221E-2</v>
      </c>
      <c r="AB7" s="5">
        <v>8.3520919040596081E-2</v>
      </c>
      <c r="AC7" s="6">
        <v>-9.64061165877515E-2</v>
      </c>
    </row>
    <row r="8" spans="1:29" ht="15" customHeight="1">
      <c r="A8" s="224">
        <v>5</v>
      </c>
      <c r="B8" s="224">
        <v>8</v>
      </c>
      <c r="C8" s="224">
        <v>51</v>
      </c>
      <c r="E8" s="247">
        <v>1</v>
      </c>
      <c r="F8" s="5">
        <f t="shared" si="0"/>
        <v>5</v>
      </c>
      <c r="G8" s="6">
        <f t="shared" si="1"/>
        <v>8</v>
      </c>
      <c r="I8" s="200">
        <f t="shared" si="2"/>
        <v>51</v>
      </c>
      <c r="K8" s="146">
        <v>3.7584154829361722</v>
      </c>
      <c r="L8">
        <f>L7+1</f>
        <v>3</v>
      </c>
      <c r="M8" s="146">
        <v>1.8057733712252741</v>
      </c>
      <c r="O8" s="200">
        <v>56.295169344614322</v>
      </c>
      <c r="Q8" s="200">
        <f t="shared" si="3"/>
        <v>-5.2951693446143224</v>
      </c>
      <c r="S8" s="201">
        <v>0.13418199694688085</v>
      </c>
      <c r="T8" s="5">
        <v>0.2337964759760924</v>
      </c>
      <c r="U8" s="5">
        <v>0.29509172294237906</v>
      </c>
      <c r="V8" s="5">
        <v>-8.515097415198325E-2</v>
      </c>
      <c r="W8" s="5">
        <v>2.8823514191828936E-2</v>
      </c>
      <c r="X8" s="5">
        <v>7.2886749980594634E-2</v>
      </c>
      <c r="Y8" s="5">
        <v>-0.15219022484411004</v>
      </c>
      <c r="Z8" s="5">
        <v>0.17537323087272622</v>
      </c>
      <c r="AA8" s="5">
        <v>0.24815648529069334</v>
      </c>
      <c r="AB8" s="5">
        <v>7.5758751843514618E-2</v>
      </c>
      <c r="AC8" s="6">
        <v>-2.6727729048617088E-2</v>
      </c>
    </row>
    <row r="9" spans="1:29" ht="15" customHeight="1">
      <c r="A9" s="224">
        <v>8</v>
      </c>
      <c r="B9" s="224">
        <v>1</v>
      </c>
      <c r="C9" s="224">
        <v>38</v>
      </c>
      <c r="E9" s="247">
        <v>1</v>
      </c>
      <c r="F9" s="5">
        <f t="shared" si="0"/>
        <v>8</v>
      </c>
      <c r="G9" s="6">
        <f t="shared" si="1"/>
        <v>1</v>
      </c>
      <c r="I9" s="200">
        <f t="shared" si="2"/>
        <v>38</v>
      </c>
      <c r="O9" s="200">
        <v>44.672126057595207</v>
      </c>
      <c r="Q9" s="200">
        <f t="shared" si="3"/>
        <v>-6.6721260575952073</v>
      </c>
      <c r="S9" s="201">
        <v>7.9562213770084475E-2</v>
      </c>
      <c r="T9" s="5">
        <v>-8.1580377241325719E-2</v>
      </c>
      <c r="U9" s="5">
        <v>-8.5150974151983139E-2</v>
      </c>
      <c r="V9" s="5">
        <v>0.26709617325157176</v>
      </c>
      <c r="W9" s="5">
        <v>0.20220445548397092</v>
      </c>
      <c r="X9" s="5">
        <v>8.3132810680742172E-2</v>
      </c>
      <c r="Y9" s="5">
        <v>0.23216642086470551</v>
      </c>
      <c r="Z9" s="5">
        <v>-5.8759605681906246E-2</v>
      </c>
      <c r="AA9" s="5">
        <v>1.4670496002483838E-2</v>
      </c>
      <c r="AB9" s="5">
        <v>0.10238298532950392</v>
      </c>
      <c r="AC9" s="6">
        <v>0.24427540169215228</v>
      </c>
    </row>
    <row r="10" spans="1:29" ht="15" customHeight="1">
      <c r="A10" s="224">
        <v>9</v>
      </c>
      <c r="B10" s="224">
        <v>3</v>
      </c>
      <c r="C10" s="224">
        <v>55</v>
      </c>
      <c r="E10" s="247">
        <v>1</v>
      </c>
      <c r="F10" s="5">
        <f t="shared" si="0"/>
        <v>9</v>
      </c>
      <c r="G10" s="6">
        <f t="shared" si="1"/>
        <v>3</v>
      </c>
      <c r="I10" s="200">
        <f t="shared" si="2"/>
        <v>55</v>
      </c>
      <c r="K10" s="751" t="s">
        <v>294</v>
      </c>
      <c r="L10" s="751"/>
      <c r="M10" s="751"/>
      <c r="O10" s="200">
        <v>57.08424538797891</v>
      </c>
      <c r="Q10" s="200">
        <f t="shared" si="3"/>
        <v>-2.0842453879789105</v>
      </c>
      <c r="S10" s="201">
        <v>0.1392791534062976</v>
      </c>
      <c r="T10" s="5">
        <v>-6.9316153069937214E-2</v>
      </c>
      <c r="U10" s="5">
        <v>2.8823514191829158E-2</v>
      </c>
      <c r="V10" s="5">
        <v>0.20220445548397109</v>
      </c>
      <c r="W10" s="5">
        <v>0.24665579963259068</v>
      </c>
      <c r="X10" s="5">
        <v>4.113948614453157E-2</v>
      </c>
      <c r="Y10" s="5">
        <v>2.8461279722629684E-3</v>
      </c>
      <c r="Z10" s="5">
        <v>-0.11684649020673249</v>
      </c>
      <c r="AA10" s="5">
        <v>0.18373049755491749</v>
      </c>
      <c r="AB10" s="5">
        <v>9.1748816269502334E-2</v>
      </c>
      <c r="AC10" s="6">
        <v>0.24973479262076637</v>
      </c>
    </row>
    <row r="11" spans="1:29" ht="15" customHeight="1">
      <c r="A11" s="224">
        <v>5</v>
      </c>
      <c r="B11" s="224">
        <v>4</v>
      </c>
      <c r="C11" s="224">
        <v>43</v>
      </c>
      <c r="E11" s="247">
        <v>1</v>
      </c>
      <c r="F11" s="5">
        <f t="shared" si="0"/>
        <v>5</v>
      </c>
      <c r="G11" s="6">
        <f t="shared" si="1"/>
        <v>4</v>
      </c>
      <c r="I11" s="200">
        <f t="shared" si="2"/>
        <v>43</v>
      </c>
      <c r="K11" s="235">
        <f t="array" ref="K11:M13">MINVERSE(MMULT(TRANSPOSE(E6:G16),E6:G16))</f>
        <v>1.3973194649279432</v>
      </c>
      <c r="L11" s="236">
        <v>-0.14197003803461952</v>
      </c>
      <c r="M11" s="237">
        <v>-0.10639343838132949</v>
      </c>
      <c r="O11" s="200">
        <v>41.261507412869634</v>
      </c>
      <c r="Q11" s="200">
        <f t="shared" si="3"/>
        <v>1.7384925871303665</v>
      </c>
      <c r="S11" s="201">
        <v>6.2252580920592909E-2</v>
      </c>
      <c r="T11" s="5">
        <v>0.12543662190483593</v>
      </c>
      <c r="U11" s="5">
        <v>7.2886749980594717E-2</v>
      </c>
      <c r="V11" s="5">
        <v>8.313281068074202E-2</v>
      </c>
      <c r="W11" s="5">
        <v>4.1139486144531306E-2</v>
      </c>
      <c r="X11" s="5">
        <v>0.11480245284483442</v>
      </c>
      <c r="Y11" s="5">
        <v>0.17775362881316475</v>
      </c>
      <c r="Z11" s="5">
        <v>0.15695102072498662</v>
      </c>
      <c r="AA11" s="5">
        <v>2.0259256384382474E-2</v>
      </c>
      <c r="AB11" s="5">
        <v>9.3766979740743564E-2</v>
      </c>
      <c r="AC11" s="6">
        <v>5.1618411860591296E-2</v>
      </c>
    </row>
    <row r="12" spans="1:29" ht="15" customHeight="1">
      <c r="A12" s="224">
        <v>4</v>
      </c>
      <c r="B12" s="224">
        <v>0</v>
      </c>
      <c r="C12" s="224">
        <v>25</v>
      </c>
      <c r="E12" s="247">
        <v>1</v>
      </c>
      <c r="F12" s="5">
        <f t="shared" si="0"/>
        <v>4</v>
      </c>
      <c r="G12" s="6">
        <f t="shared" si="1"/>
        <v>0</v>
      </c>
      <c r="I12" s="200">
        <f t="shared" si="2"/>
        <v>25</v>
      </c>
      <c r="K12" s="201">
        <v>-0.14197003803461947</v>
      </c>
      <c r="L12" s="5">
        <v>1.9405417992703587E-2</v>
      </c>
      <c r="M12" s="6">
        <v>5.9768687417527068E-3</v>
      </c>
      <c r="O12" s="200">
        <v>21.332557116613586</v>
      </c>
      <c r="Q12" s="200">
        <f t="shared" si="3"/>
        <v>3.6674428833864141</v>
      </c>
      <c r="S12" s="201">
        <v>-3.3429066728764195E-2</v>
      </c>
      <c r="T12" s="5">
        <v>5.899247069781921E-2</v>
      </c>
      <c r="U12" s="5">
        <v>-0.15219022484410974</v>
      </c>
      <c r="V12" s="5">
        <v>0.23216642086470535</v>
      </c>
      <c r="W12" s="5">
        <v>2.8461279722627464E-3</v>
      </c>
      <c r="X12" s="5">
        <v>0.17775362881316492</v>
      </c>
      <c r="Y12" s="5">
        <v>0.57204584853424467</v>
      </c>
      <c r="Z12" s="5">
        <v>0.20582680017594307</v>
      </c>
      <c r="AA12" s="5">
        <v>-0.2627493596212066</v>
      </c>
      <c r="AB12" s="5">
        <v>0.11340526274935962</v>
      </c>
      <c r="AC12" s="6">
        <v>8.5332091386581432E-2</v>
      </c>
    </row>
    <row r="13" spans="1:29" ht="15" customHeight="1">
      <c r="A13" s="224">
        <v>2</v>
      </c>
      <c r="B13" s="224">
        <v>6</v>
      </c>
      <c r="C13" s="224">
        <v>33</v>
      </c>
      <c r="E13" s="247">
        <v>1</v>
      </c>
      <c r="F13" s="5">
        <f t="shared" si="0"/>
        <v>2</v>
      </c>
      <c r="G13" s="6">
        <f t="shared" si="1"/>
        <v>6</v>
      </c>
      <c r="I13" s="200">
        <f t="shared" si="2"/>
        <v>33</v>
      </c>
      <c r="K13" s="7">
        <v>-0.10639343838132957</v>
      </c>
      <c r="L13" s="8">
        <v>5.976868741752718E-3</v>
      </c>
      <c r="M13" s="9">
        <v>1.6507542239126507E-2</v>
      </c>
      <c r="O13" s="200">
        <v>34.092473285207895</v>
      </c>
      <c r="Q13" s="200">
        <f t="shared" si="3"/>
        <v>-1.0924732852078947</v>
      </c>
      <c r="S13" s="201">
        <v>2.6960594064529372E-2</v>
      </c>
      <c r="T13" s="5">
        <v>0.30536365753318345</v>
      </c>
      <c r="U13" s="5">
        <v>0.17537323087272649</v>
      </c>
      <c r="V13" s="5">
        <v>-5.8759605681906468E-2</v>
      </c>
      <c r="W13" s="5">
        <v>-0.1168464902067327</v>
      </c>
      <c r="X13" s="5">
        <v>0.15695102072498662</v>
      </c>
      <c r="Y13" s="5">
        <v>0.20582680017594268</v>
      </c>
      <c r="Z13" s="5">
        <v>0.36805609459494459</v>
      </c>
      <c r="AA13" s="5">
        <v>-3.1126290460296635E-2</v>
      </c>
      <c r="AB13" s="5">
        <v>8.9653031126290444E-2</v>
      </c>
      <c r="AC13" s="6">
        <v>-0.12145204274366762</v>
      </c>
    </row>
    <row r="14" spans="1:29" ht="15" customHeight="1">
      <c r="A14" s="224">
        <v>8</v>
      </c>
      <c r="B14" s="224">
        <v>7</v>
      </c>
      <c r="C14" s="224">
        <v>71</v>
      </c>
      <c r="E14" s="247">
        <v>1</v>
      </c>
      <c r="F14" s="5">
        <f t="shared" si="0"/>
        <v>8</v>
      </c>
      <c r="G14" s="6">
        <f t="shared" si="1"/>
        <v>7</v>
      </c>
      <c r="I14" s="200">
        <f t="shared" si="2"/>
        <v>71</v>
      </c>
      <c r="O14" s="200">
        <v>67.222618955212241</v>
      </c>
      <c r="Q14" s="200">
        <f t="shared" si="3"/>
        <v>3.7773810447877594</v>
      </c>
      <c r="S14" s="201">
        <v>0.18745633780951637</v>
      </c>
      <c r="T14" s="5">
        <v>8.0959403865558999E-2</v>
      </c>
      <c r="U14" s="5">
        <v>0.24815648529069334</v>
      </c>
      <c r="V14" s="5">
        <v>1.4670496002483824E-2</v>
      </c>
      <c r="W14" s="5">
        <v>0.18373049755491738</v>
      </c>
      <c r="X14" s="5">
        <v>2.0259256384382487E-2</v>
      </c>
      <c r="Y14" s="5">
        <v>-0.26274935962120671</v>
      </c>
      <c r="Z14" s="5">
        <v>-3.1126290460296857E-2</v>
      </c>
      <c r="AA14" s="5">
        <v>0.35651633936195015</v>
      </c>
      <c r="AB14" s="5">
        <v>7.5370643483660502E-2</v>
      </c>
      <c r="AC14" s="6">
        <v>0.12675619032833968</v>
      </c>
    </row>
    <row r="15" spans="1:29" ht="15" customHeight="1">
      <c r="A15" s="224">
        <v>6</v>
      </c>
      <c r="B15" s="224">
        <v>4</v>
      </c>
      <c r="C15" s="224">
        <v>51</v>
      </c>
      <c r="E15" s="247">
        <v>1</v>
      </c>
      <c r="F15" s="5">
        <f t="shared" si="0"/>
        <v>6</v>
      </c>
      <c r="G15" s="6">
        <f t="shared" si="1"/>
        <v>4</v>
      </c>
      <c r="I15" s="200">
        <f t="shared" si="2"/>
        <v>51</v>
      </c>
      <c r="K15" s="751" t="s">
        <v>336</v>
      </c>
      <c r="L15" s="751"/>
      <c r="M15" s="751"/>
      <c r="O15" s="200">
        <v>46.156795777380999</v>
      </c>
      <c r="Q15" s="200">
        <f t="shared" si="3"/>
        <v>4.8432042226190006</v>
      </c>
      <c r="S15" s="201">
        <v>8.6004812543662101E-2</v>
      </c>
      <c r="T15" s="5">
        <v>8.3520919040596164E-2</v>
      </c>
      <c r="U15" s="5">
        <v>7.5758751843514827E-2</v>
      </c>
      <c r="V15" s="5">
        <v>0.10238298532950391</v>
      </c>
      <c r="W15" s="5">
        <v>9.1748816269502292E-2</v>
      </c>
      <c r="X15" s="5">
        <v>9.3766979740743717E-2</v>
      </c>
      <c r="Y15" s="5">
        <v>0.11340526274935964</v>
      </c>
      <c r="Z15" s="5">
        <v>8.9653031126290528E-2</v>
      </c>
      <c r="AA15" s="5">
        <v>7.5370643483660626E-2</v>
      </c>
      <c r="AB15" s="5">
        <v>9.2136924629356437E-2</v>
      </c>
      <c r="AC15" s="6">
        <v>9.6250873243809515E-2</v>
      </c>
    </row>
    <row r="16" spans="1:29" ht="15" customHeight="1">
      <c r="A16" s="226">
        <v>9</v>
      </c>
      <c r="B16" s="226">
        <v>2</v>
      </c>
      <c r="C16" s="226">
        <v>49</v>
      </c>
      <c r="E16" s="248">
        <v>1</v>
      </c>
      <c r="F16" s="8">
        <f t="shared" si="0"/>
        <v>9</v>
      </c>
      <c r="G16" s="9">
        <f t="shared" si="1"/>
        <v>2</v>
      </c>
      <c r="I16" s="146">
        <f t="shared" si="2"/>
        <v>49</v>
      </c>
      <c r="K16" s="235">
        <f t="array" ref="K16:M18">Q20*K11:M13</f>
        <v>276.01950998677279</v>
      </c>
      <c r="L16" s="236">
        <v>-28.044052426579444</v>
      </c>
      <c r="M16" s="237">
        <v>-21.016428572643441</v>
      </c>
      <c r="O16" s="146">
        <v>53.325829905042738</v>
      </c>
      <c r="Q16" s="146">
        <f t="shared" si="3"/>
        <v>-4.3258299050427382</v>
      </c>
      <c r="S16" s="7">
        <v>0.12129679939972562</v>
      </c>
      <c r="T16" s="8">
        <v>-9.6406116587751334E-2</v>
      </c>
      <c r="U16" s="8">
        <v>-2.6727729048616922E-2</v>
      </c>
      <c r="V16" s="8">
        <v>0.24427540169215242</v>
      </c>
      <c r="W16" s="8">
        <v>0.24973479262076625</v>
      </c>
      <c r="X16" s="8">
        <v>5.1618411860591518E-2</v>
      </c>
      <c r="Y16" s="8">
        <v>8.5332091386581682E-2</v>
      </c>
      <c r="Z16" s="8">
        <v>-0.12145204274366739</v>
      </c>
      <c r="AA16" s="8">
        <v>0.12675619032833976</v>
      </c>
      <c r="AB16" s="8">
        <v>9.625087324380957E-2</v>
      </c>
      <c r="AC16" s="9">
        <v>0.2693213278480685</v>
      </c>
    </row>
    <row r="17" spans="1:26" ht="15" customHeight="1">
      <c r="A17" s="245"/>
      <c r="B17" s="245"/>
      <c r="C17" s="245"/>
      <c r="K17" s="201">
        <v>-28.044052426579434</v>
      </c>
      <c r="L17" s="5">
        <v>3.8332493748741703</v>
      </c>
      <c r="M17" s="6">
        <v>1.1806408074612447</v>
      </c>
    </row>
    <row r="18" spans="1:26" ht="15" customHeight="1">
      <c r="A18" s="245"/>
      <c r="B18" s="245"/>
      <c r="C18" s="245"/>
      <c r="K18" s="7">
        <v>-21.016428572643459</v>
      </c>
      <c r="L18" s="8">
        <v>1.1806408074612471</v>
      </c>
      <c r="M18" s="9">
        <v>3.2608174682262918</v>
      </c>
      <c r="P18" t="s">
        <v>205</v>
      </c>
      <c r="Q18" s="145">
        <f>DEVSQ(O6:O16)</f>
        <v>1580.2800542881239</v>
      </c>
    </row>
    <row r="19" spans="1:26" ht="15" customHeight="1">
      <c r="A19" s="245"/>
      <c r="B19" s="245"/>
      <c r="C19" s="245"/>
      <c r="P19" t="s">
        <v>203</v>
      </c>
      <c r="Q19" s="20">
        <f>COUNT(A6:A16)-COUNT(A6:B6)-1</f>
        <v>8</v>
      </c>
    </row>
    <row r="20" spans="1:26" ht="15" customHeight="1">
      <c r="A20" s="245"/>
      <c r="B20" s="245"/>
      <c r="C20" s="245"/>
      <c r="P20" t="s">
        <v>335</v>
      </c>
      <c r="Q20" s="146">
        <f>Q18/Q19</f>
        <v>197.53500678601549</v>
      </c>
    </row>
    <row r="21" spans="1:26" ht="15" customHeight="1">
      <c r="A21" s="245"/>
      <c r="B21" s="245"/>
      <c r="C21" s="245"/>
    </row>
    <row r="22" spans="1:26" ht="15" customHeight="1">
      <c r="A22" s="245" t="s">
        <v>452</v>
      </c>
      <c r="B22" s="245"/>
      <c r="C22" s="245"/>
      <c r="S22" t="s">
        <v>453</v>
      </c>
    </row>
    <row r="23" spans="1:26" ht="15" customHeight="1">
      <c r="A23" s="245"/>
      <c r="B23" s="245"/>
      <c r="C23" s="245"/>
    </row>
    <row r="24" spans="1:26" ht="15" customHeight="1">
      <c r="A24" s="245" t="s">
        <v>32</v>
      </c>
      <c r="B24" s="245"/>
      <c r="C24" s="245"/>
      <c r="S24" t="s">
        <v>219</v>
      </c>
      <c r="V24" t="s">
        <v>447</v>
      </c>
      <c r="Y24" t="s">
        <v>448</v>
      </c>
    </row>
    <row r="25" spans="1:26" ht="15" customHeight="1">
      <c r="A25" s="245"/>
      <c r="B25" s="245"/>
      <c r="C25" s="245"/>
    </row>
    <row r="26" spans="1:26" ht="15" customHeight="1">
      <c r="A26" s="245" t="s">
        <v>11</v>
      </c>
      <c r="B26" s="245">
        <f>COUNT(C6:C16)</f>
        <v>11</v>
      </c>
      <c r="C26" s="245">
        <f>2*B26</f>
        <v>22</v>
      </c>
      <c r="S26" s="224" t="s">
        <v>296</v>
      </c>
      <c r="T26" s="224" t="s">
        <v>62</v>
      </c>
      <c r="U26" s="224"/>
      <c r="V26" s="224" t="s">
        <v>296</v>
      </c>
      <c r="W26" s="224" t="s">
        <v>456</v>
      </c>
      <c r="X26" s="224"/>
      <c r="Y26" s="224" t="s">
        <v>290</v>
      </c>
      <c r="Z26" s="224" t="s">
        <v>457</v>
      </c>
    </row>
    <row r="27" spans="1:26" ht="15" customHeight="1">
      <c r="A27" s="245" t="s">
        <v>8</v>
      </c>
      <c r="B27" s="245">
        <f>AVERAGE(C6:C16)</f>
        <v>47.18181818181818</v>
      </c>
      <c r="C27" s="245"/>
      <c r="S27" s="235">
        <f>F6</f>
        <v>7</v>
      </c>
      <c r="T27" s="237">
        <f>Q6</f>
        <v>10.189500375171463</v>
      </c>
      <c r="V27" s="235">
        <f>S27</f>
        <v>7</v>
      </c>
      <c r="W27" s="237">
        <f>T27/SQRT($Q$20)</f>
        <v>0.72498805947326206</v>
      </c>
      <c r="X27">
        <v>1</v>
      </c>
      <c r="Y27" s="251">
        <f t="array" ref="Y27:Y37">W27:W37/SQRT(1-INDEX(S6:AC16,X27:X37,X27:X37))</f>
        <v>0.77626092500939581</v>
      </c>
      <c r="Z27" s="251">
        <f t="shared" ref="Z27:Z37" si="4">I6</f>
        <v>65</v>
      </c>
    </row>
    <row r="28" spans="1:26" ht="15" customHeight="1">
      <c r="A28" s="245" t="s">
        <v>25</v>
      </c>
      <c r="B28" s="245">
        <f>STDEV(C6:C16)</f>
        <v>13.629513430920284</v>
      </c>
      <c r="C28" s="245"/>
      <c r="S28" s="201">
        <f t="shared" ref="S28:S37" si="5">F7</f>
        <v>3</v>
      </c>
      <c r="T28" s="6">
        <f t="shared" ref="T28:T37" si="6">Q7</f>
        <v>-4.7461771326554327</v>
      </c>
      <c r="V28" s="201">
        <f t="shared" ref="V28:V37" si="7">S28</f>
        <v>3</v>
      </c>
      <c r="W28" s="6">
        <f t="shared" ref="W28:W37" si="8">T28/SQRT($Q$20)</f>
        <v>-0.33769288214608184</v>
      </c>
      <c r="X28">
        <v>2</v>
      </c>
      <c r="Y28" s="200">
        <v>-0.40091962202771336</v>
      </c>
      <c r="Z28" s="200">
        <f t="shared" si="4"/>
        <v>38</v>
      </c>
    </row>
    <row r="29" spans="1:26">
      <c r="S29" s="201">
        <f t="shared" si="5"/>
        <v>5</v>
      </c>
      <c r="T29" s="6">
        <f t="shared" si="6"/>
        <v>-5.2951693446143224</v>
      </c>
      <c r="V29" s="201">
        <f t="shared" si="7"/>
        <v>5</v>
      </c>
      <c r="W29" s="6">
        <f t="shared" si="8"/>
        <v>-0.37675395322507593</v>
      </c>
      <c r="X29">
        <v>3</v>
      </c>
      <c r="Y29" s="200">
        <v>-0.44873662056771335</v>
      </c>
      <c r="Z29" s="200">
        <f t="shared" si="4"/>
        <v>51</v>
      </c>
    </row>
    <row r="30" spans="1:26">
      <c r="A30" t="s">
        <v>33</v>
      </c>
      <c r="B30" t="s">
        <v>34</v>
      </c>
      <c r="C30" t="s">
        <v>135</v>
      </c>
      <c r="D30" t="s">
        <v>35</v>
      </c>
      <c r="S30" s="201">
        <f t="shared" si="5"/>
        <v>8</v>
      </c>
      <c r="T30" s="6">
        <f t="shared" si="6"/>
        <v>-6.6721260575952073</v>
      </c>
      <c r="V30" s="201">
        <f t="shared" si="7"/>
        <v>8</v>
      </c>
      <c r="W30" s="6">
        <f t="shared" si="8"/>
        <v>-0.47472511359277891</v>
      </c>
      <c r="X30">
        <v>4</v>
      </c>
      <c r="Y30" s="200">
        <v>-0.55452191252345118</v>
      </c>
      <c r="Z30" s="200">
        <f t="shared" si="4"/>
        <v>38</v>
      </c>
    </row>
    <row r="31" spans="1:26">
      <c r="A31">
        <v>1</v>
      </c>
      <c r="B31">
        <v>25</v>
      </c>
      <c r="C31">
        <f>NORMSINV(A31/C$26)</f>
        <v>-1.6906216295848977</v>
      </c>
      <c r="D31">
        <f>STANDARDIZE(B31,B$27,B$28)</f>
        <v>-1.6274842307646806</v>
      </c>
      <c r="S31" s="201">
        <f t="shared" si="5"/>
        <v>9</v>
      </c>
      <c r="T31" s="6">
        <f t="shared" si="6"/>
        <v>-2.0842453879789105</v>
      </c>
      <c r="V31" s="201">
        <f t="shared" si="7"/>
        <v>9</v>
      </c>
      <c r="W31" s="6">
        <f t="shared" si="8"/>
        <v>-0.14829510414258162</v>
      </c>
      <c r="X31">
        <v>5</v>
      </c>
      <c r="Y31" s="200">
        <v>-0.17085594259939102</v>
      </c>
      <c r="Z31" s="200">
        <f t="shared" si="4"/>
        <v>55</v>
      </c>
    </row>
    <row r="32" spans="1:26">
      <c r="A32">
        <f>A31+2</f>
        <v>3</v>
      </c>
      <c r="B32">
        <v>33</v>
      </c>
      <c r="C32">
        <f t="shared" ref="C32:C41" si="9">NORMSINV(A32/C$26)</f>
        <v>-1.096803562093513</v>
      </c>
      <c r="D32">
        <f t="shared" ref="D32:D41" si="10">STANDARDIZE(B32,B$27,B$28)</f>
        <v>-1.0405227049151236</v>
      </c>
      <c r="S32" s="201">
        <f t="shared" si="5"/>
        <v>5</v>
      </c>
      <c r="T32" s="6">
        <f t="shared" si="6"/>
        <v>1.7384925871303665</v>
      </c>
      <c r="V32" s="201">
        <f t="shared" si="7"/>
        <v>5</v>
      </c>
      <c r="W32" s="6">
        <f t="shared" si="8"/>
        <v>0.12369461904368265</v>
      </c>
      <c r="X32">
        <v>6</v>
      </c>
      <c r="Y32" s="200">
        <v>0.13147122406662365</v>
      </c>
      <c r="Z32" s="200">
        <f t="shared" si="4"/>
        <v>43</v>
      </c>
    </row>
    <row r="33" spans="1:26">
      <c r="A33">
        <f t="shared" ref="A33:A41" si="11">A32+2</f>
        <v>5</v>
      </c>
      <c r="B33">
        <v>38</v>
      </c>
      <c r="C33">
        <f t="shared" si="9"/>
        <v>-0.74785859476330196</v>
      </c>
      <c r="D33">
        <f t="shared" si="10"/>
        <v>-0.67367175125915046</v>
      </c>
      <c r="S33" s="201">
        <f t="shared" si="5"/>
        <v>4</v>
      </c>
      <c r="T33" s="6">
        <f t="shared" si="6"/>
        <v>3.6674428833864141</v>
      </c>
      <c r="V33" s="201">
        <f t="shared" si="7"/>
        <v>4</v>
      </c>
      <c r="W33" s="6">
        <f t="shared" si="8"/>
        <v>0.26094039956405612</v>
      </c>
      <c r="X33">
        <v>7</v>
      </c>
      <c r="Y33" s="200">
        <v>0.39888040416573833</v>
      </c>
      <c r="Z33" s="200">
        <f t="shared" si="4"/>
        <v>25</v>
      </c>
    </row>
    <row r="34" spans="1:26">
      <c r="A34">
        <f t="shared" si="11"/>
        <v>7</v>
      </c>
      <c r="B34">
        <v>38</v>
      </c>
      <c r="C34">
        <f t="shared" si="9"/>
        <v>-0.47278912099226744</v>
      </c>
      <c r="D34">
        <f t="shared" si="10"/>
        <v>-0.67367175125915046</v>
      </c>
      <c r="S34" s="201">
        <f t="shared" si="5"/>
        <v>2</v>
      </c>
      <c r="T34" s="6">
        <f t="shared" si="6"/>
        <v>-1.0924732852078947</v>
      </c>
      <c r="V34" s="201">
        <f t="shared" si="7"/>
        <v>2</v>
      </c>
      <c r="W34" s="6">
        <f t="shared" si="8"/>
        <v>-7.7730021876163222E-2</v>
      </c>
      <c r="X34">
        <v>8</v>
      </c>
      <c r="Y34" s="200">
        <v>-9.7779885651430545E-2</v>
      </c>
      <c r="Z34" s="200">
        <f t="shared" si="4"/>
        <v>33</v>
      </c>
    </row>
    <row r="35" spans="1:26">
      <c r="A35">
        <f t="shared" si="11"/>
        <v>9</v>
      </c>
      <c r="B35">
        <v>43</v>
      </c>
      <c r="C35">
        <f t="shared" si="9"/>
        <v>-0.22988411757923208</v>
      </c>
      <c r="D35">
        <f t="shared" si="10"/>
        <v>-0.30682079760317738</v>
      </c>
      <c r="S35" s="201">
        <f t="shared" si="5"/>
        <v>8</v>
      </c>
      <c r="T35" s="6">
        <f t="shared" si="6"/>
        <v>3.7773810447877594</v>
      </c>
      <c r="V35" s="201">
        <f t="shared" si="7"/>
        <v>8</v>
      </c>
      <c r="W35" s="6">
        <f t="shared" si="8"/>
        <v>0.26876255485742384</v>
      </c>
      <c r="X35">
        <v>9</v>
      </c>
      <c r="Y35" s="200">
        <v>0.33504257588057895</v>
      </c>
      <c r="Z35" s="200">
        <f t="shared" si="4"/>
        <v>71</v>
      </c>
    </row>
    <row r="36" spans="1:26">
      <c r="A36">
        <f t="shared" si="11"/>
        <v>11</v>
      </c>
      <c r="B36">
        <v>49</v>
      </c>
      <c r="C36">
        <f t="shared" si="9"/>
        <v>0</v>
      </c>
      <c r="D36">
        <f t="shared" si="10"/>
        <v>0.13340034678399038</v>
      </c>
      <c r="S36" s="201">
        <f t="shared" si="5"/>
        <v>6</v>
      </c>
      <c r="T36" s="6">
        <f t="shared" si="6"/>
        <v>4.8432042226190006</v>
      </c>
      <c r="V36" s="201">
        <f t="shared" si="7"/>
        <v>6</v>
      </c>
      <c r="W36" s="6">
        <f t="shared" si="8"/>
        <v>0.34459640823460619</v>
      </c>
      <c r="X36">
        <v>10</v>
      </c>
      <c r="Y36" s="200">
        <v>0.36166007666644429</v>
      </c>
      <c r="Z36" s="200">
        <f t="shared" si="4"/>
        <v>51</v>
      </c>
    </row>
    <row r="37" spans="1:26">
      <c r="A37">
        <f t="shared" si="11"/>
        <v>13</v>
      </c>
      <c r="B37">
        <v>51</v>
      </c>
      <c r="C37">
        <f t="shared" si="9"/>
        <v>0.22988411757923222</v>
      </c>
      <c r="D37">
        <f t="shared" si="10"/>
        <v>0.28014072824637959</v>
      </c>
      <c r="S37" s="7">
        <f t="shared" si="5"/>
        <v>9</v>
      </c>
      <c r="T37" s="9">
        <f t="shared" si="6"/>
        <v>-4.3258299050427382</v>
      </c>
      <c r="V37" s="7">
        <f t="shared" si="7"/>
        <v>9</v>
      </c>
      <c r="W37" s="9">
        <f t="shared" si="8"/>
        <v>-0.30778496619031398</v>
      </c>
      <c r="X37">
        <v>11</v>
      </c>
      <c r="Y37" s="146">
        <v>-0.36006771891297884</v>
      </c>
      <c r="Z37" s="146">
        <f t="shared" si="4"/>
        <v>49</v>
      </c>
    </row>
    <row r="38" spans="1:26">
      <c r="A38">
        <f t="shared" si="11"/>
        <v>15</v>
      </c>
      <c r="B38">
        <v>51</v>
      </c>
      <c r="C38">
        <f t="shared" si="9"/>
        <v>0.47278912099226728</v>
      </c>
      <c r="D38">
        <f t="shared" si="10"/>
        <v>0.28014072824637959</v>
      </c>
    </row>
    <row r="39" spans="1:26">
      <c r="A39">
        <f t="shared" si="11"/>
        <v>17</v>
      </c>
      <c r="B39">
        <v>55</v>
      </c>
      <c r="C39">
        <f t="shared" si="9"/>
        <v>0.74785859476330196</v>
      </c>
      <c r="D39">
        <f t="shared" si="10"/>
        <v>0.57362149117115813</v>
      </c>
    </row>
    <row r="40" spans="1:26">
      <c r="A40">
        <f t="shared" si="11"/>
        <v>19</v>
      </c>
      <c r="B40">
        <v>65</v>
      </c>
      <c r="C40">
        <f t="shared" si="9"/>
        <v>1.096803562093513</v>
      </c>
      <c r="D40">
        <f t="shared" si="10"/>
        <v>1.3073233984831043</v>
      </c>
    </row>
    <row r="41" spans="1:26">
      <c r="A41">
        <f t="shared" si="11"/>
        <v>21</v>
      </c>
      <c r="B41">
        <v>71</v>
      </c>
      <c r="C41">
        <f t="shared" si="9"/>
        <v>1.6906216295848984</v>
      </c>
      <c r="D41">
        <f t="shared" si="10"/>
        <v>1.7475445428702721</v>
      </c>
    </row>
    <row r="55" spans="19:26">
      <c r="S55" t="s">
        <v>453</v>
      </c>
    </row>
    <row r="57" spans="19:26">
      <c r="S57" t="s">
        <v>219</v>
      </c>
      <c r="V57" t="s">
        <v>447</v>
      </c>
      <c r="Y57" t="s">
        <v>448</v>
      </c>
    </row>
    <row r="59" spans="19:26">
      <c r="S59" s="232" t="s">
        <v>296</v>
      </c>
      <c r="T59" s="232" t="s">
        <v>62</v>
      </c>
      <c r="U59" s="232"/>
      <c r="V59" s="232" t="s">
        <v>296</v>
      </c>
      <c r="W59" s="232" t="s">
        <v>456</v>
      </c>
      <c r="X59" s="232"/>
      <c r="Y59" s="232" t="s">
        <v>296</v>
      </c>
      <c r="Z59" s="232" t="s">
        <v>457</v>
      </c>
    </row>
    <row r="60" spans="19:26">
      <c r="S60" s="249">
        <f>B6</f>
        <v>5</v>
      </c>
      <c r="T60" s="250">
        <f>Q6</f>
        <v>10.189500375171463</v>
      </c>
      <c r="V60" s="235">
        <f>S60</f>
        <v>5</v>
      </c>
      <c r="W60" s="237">
        <f>T60/SQRT($Q$20)</f>
        <v>0.72498805947326206</v>
      </c>
      <c r="X60">
        <v>1</v>
      </c>
      <c r="Y60" s="235">
        <f>V60</f>
        <v>5</v>
      </c>
      <c r="Z60" s="237">
        <f t="array" ref="Z60:Z70">W60:W70/SQRT(1-INDEX(S39:AC49,X60:X70,X60:X70))</f>
        <v>0.72498805947326206</v>
      </c>
    </row>
    <row r="61" spans="19:26">
      <c r="S61" s="4">
        <f t="shared" ref="S61:S70" si="12">B7</f>
        <v>7</v>
      </c>
      <c r="T61" s="6">
        <f t="shared" ref="T61:T70" si="13">Q7</f>
        <v>-4.7461771326554327</v>
      </c>
      <c r="V61" s="201">
        <f t="shared" ref="V61:V70" si="14">S61</f>
        <v>7</v>
      </c>
      <c r="W61" s="6">
        <f t="shared" ref="W61:W70" si="15">T61/SQRT($Q$20)</f>
        <v>-0.33769288214608184</v>
      </c>
      <c r="X61">
        <v>2</v>
      </c>
      <c r="Y61" s="201">
        <f t="shared" ref="Y61:Y70" si="16">V61</f>
        <v>7</v>
      </c>
      <c r="Z61" s="6">
        <v>-0.33769288214608184</v>
      </c>
    </row>
    <row r="62" spans="19:26">
      <c r="S62" s="4">
        <f t="shared" si="12"/>
        <v>8</v>
      </c>
      <c r="T62" s="6">
        <f t="shared" si="13"/>
        <v>-5.2951693446143224</v>
      </c>
      <c r="V62" s="201">
        <f t="shared" si="14"/>
        <v>8</v>
      </c>
      <c r="W62" s="6">
        <f t="shared" si="15"/>
        <v>-0.37675395322507593</v>
      </c>
      <c r="X62">
        <v>3</v>
      </c>
      <c r="Y62" s="201">
        <f t="shared" si="16"/>
        <v>8</v>
      </c>
      <c r="Z62" s="6">
        <v>-0.37675395322507593</v>
      </c>
    </row>
    <row r="63" spans="19:26">
      <c r="S63" s="4">
        <f t="shared" si="12"/>
        <v>1</v>
      </c>
      <c r="T63" s="6">
        <f t="shared" si="13"/>
        <v>-6.6721260575952073</v>
      </c>
      <c r="V63" s="201">
        <f t="shared" si="14"/>
        <v>1</v>
      </c>
      <c r="W63" s="6">
        <f t="shared" si="15"/>
        <v>-0.47472511359277891</v>
      </c>
      <c r="X63">
        <v>4</v>
      </c>
      <c r="Y63" s="201">
        <f t="shared" si="16"/>
        <v>1</v>
      </c>
      <c r="Z63" s="6">
        <v>-0.47472511359277891</v>
      </c>
    </row>
    <row r="64" spans="19:26">
      <c r="S64" s="4">
        <f t="shared" si="12"/>
        <v>3</v>
      </c>
      <c r="T64" s="6">
        <f t="shared" si="13"/>
        <v>-2.0842453879789105</v>
      </c>
      <c r="V64" s="201">
        <f t="shared" si="14"/>
        <v>3</v>
      </c>
      <c r="W64" s="6">
        <f t="shared" si="15"/>
        <v>-0.14829510414258162</v>
      </c>
      <c r="X64">
        <v>5</v>
      </c>
      <c r="Y64" s="201">
        <f t="shared" si="16"/>
        <v>3</v>
      </c>
      <c r="Z64" s="6">
        <v>-0.14829510414258162</v>
      </c>
    </row>
    <row r="65" spans="19:26">
      <c r="S65" s="4">
        <f t="shared" si="12"/>
        <v>4</v>
      </c>
      <c r="T65" s="6">
        <f t="shared" si="13"/>
        <v>1.7384925871303665</v>
      </c>
      <c r="V65" s="201">
        <f t="shared" si="14"/>
        <v>4</v>
      </c>
      <c r="W65" s="6">
        <f t="shared" si="15"/>
        <v>0.12369461904368265</v>
      </c>
      <c r="X65">
        <v>6</v>
      </c>
      <c r="Y65" s="201">
        <f t="shared" si="16"/>
        <v>4</v>
      </c>
      <c r="Z65" s="6">
        <v>0.12369461904368265</v>
      </c>
    </row>
    <row r="66" spans="19:26">
      <c r="S66" s="4">
        <f t="shared" si="12"/>
        <v>0</v>
      </c>
      <c r="T66" s="6">
        <f t="shared" si="13"/>
        <v>3.6674428833864141</v>
      </c>
      <c r="V66" s="201">
        <f t="shared" si="14"/>
        <v>0</v>
      </c>
      <c r="W66" s="6">
        <f t="shared" si="15"/>
        <v>0.26094039956405612</v>
      </c>
      <c r="X66">
        <v>7</v>
      </c>
      <c r="Y66" s="201">
        <f t="shared" si="16"/>
        <v>0</v>
      </c>
      <c r="Z66" s="6">
        <v>0.26094039956405612</v>
      </c>
    </row>
    <row r="67" spans="19:26">
      <c r="S67" s="4">
        <f t="shared" si="12"/>
        <v>6</v>
      </c>
      <c r="T67" s="6">
        <f t="shared" si="13"/>
        <v>-1.0924732852078947</v>
      </c>
      <c r="V67" s="201">
        <f t="shared" si="14"/>
        <v>6</v>
      </c>
      <c r="W67" s="6">
        <f t="shared" si="15"/>
        <v>-7.7730021876163222E-2</v>
      </c>
      <c r="X67">
        <v>8</v>
      </c>
      <c r="Y67" s="201">
        <f t="shared" si="16"/>
        <v>6</v>
      </c>
      <c r="Z67" s="6">
        <v>-7.7730021876163222E-2</v>
      </c>
    </row>
    <row r="68" spans="19:26">
      <c r="S68" s="4">
        <f t="shared" si="12"/>
        <v>7</v>
      </c>
      <c r="T68" s="6">
        <f t="shared" si="13"/>
        <v>3.7773810447877594</v>
      </c>
      <c r="V68" s="201">
        <f t="shared" si="14"/>
        <v>7</v>
      </c>
      <c r="W68" s="6">
        <f t="shared" si="15"/>
        <v>0.26876255485742384</v>
      </c>
      <c r="X68">
        <v>9</v>
      </c>
      <c r="Y68" s="201">
        <f t="shared" si="16"/>
        <v>7</v>
      </c>
      <c r="Z68" s="6">
        <v>0.26876255485742384</v>
      </c>
    </row>
    <row r="69" spans="19:26">
      <c r="S69" s="4">
        <f t="shared" si="12"/>
        <v>4</v>
      </c>
      <c r="T69" s="6">
        <f t="shared" si="13"/>
        <v>4.8432042226190006</v>
      </c>
      <c r="V69" s="201">
        <f t="shared" si="14"/>
        <v>4</v>
      </c>
      <c r="W69" s="6">
        <f t="shared" si="15"/>
        <v>0.34459640823460619</v>
      </c>
      <c r="X69">
        <v>10</v>
      </c>
      <c r="Y69" s="201">
        <f t="shared" si="16"/>
        <v>4</v>
      </c>
      <c r="Z69" s="6">
        <v>0.34459640823460619</v>
      </c>
    </row>
    <row r="70" spans="19:26">
      <c r="S70" s="7">
        <f t="shared" si="12"/>
        <v>2</v>
      </c>
      <c r="T70" s="9">
        <f t="shared" si="13"/>
        <v>-4.3258299050427382</v>
      </c>
      <c r="V70" s="7">
        <f t="shared" si="14"/>
        <v>2</v>
      </c>
      <c r="W70" s="9">
        <f t="shared" si="15"/>
        <v>-0.30778496619031398</v>
      </c>
      <c r="X70">
        <v>11</v>
      </c>
      <c r="Y70" s="7">
        <f t="shared" si="16"/>
        <v>2</v>
      </c>
      <c r="Z70" s="9">
        <v>-0.30778496619031398</v>
      </c>
    </row>
  </sheetData>
  <mergeCells count="3">
    <mergeCell ref="E5:G5"/>
    <mergeCell ref="K10:M10"/>
    <mergeCell ref="K15:M15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125"/>
  <dimension ref="A1:BT53"/>
  <sheetViews>
    <sheetView workbookViewId="0"/>
  </sheetViews>
  <sheetFormatPr defaultColWidth="9.140625" defaultRowHeight="15"/>
  <cols>
    <col min="1" max="1" width="14" style="14" customWidth="1"/>
    <col min="2" max="4" width="10.85546875" style="14" customWidth="1"/>
    <col min="5" max="5" width="10.85546875" style="333" customWidth="1"/>
    <col min="6" max="13" width="9.140625" style="14"/>
    <col min="14" max="16" width="9.28515625" style="14" bestFit="1" customWidth="1"/>
    <col min="17" max="17" width="9.7109375" style="14" customWidth="1"/>
    <col min="18" max="16384" width="9.140625" style="14"/>
  </cols>
  <sheetData>
    <row r="1" spans="1:72">
      <c r="A1" s="1" t="s">
        <v>219</v>
      </c>
    </row>
    <row r="3" spans="1:72" ht="17.25">
      <c r="A3" s="340"/>
      <c r="B3" s="341" t="s">
        <v>66</v>
      </c>
      <c r="C3" s="341" t="s">
        <v>67</v>
      </c>
      <c r="D3" s="341" t="s">
        <v>68</v>
      </c>
      <c r="E3" s="439" t="s">
        <v>69</v>
      </c>
      <c r="G3" s="753" t="s">
        <v>291</v>
      </c>
      <c r="H3" s="753"/>
      <c r="I3" s="753"/>
      <c r="J3" s="753"/>
      <c r="L3" s="418" t="s">
        <v>292</v>
      </c>
      <c r="N3" s="418" t="s">
        <v>60</v>
      </c>
      <c r="Q3" s="418" t="s">
        <v>337</v>
      </c>
      <c r="S3" s="68" t="s">
        <v>305</v>
      </c>
      <c r="U3" s="418" t="s">
        <v>62</v>
      </c>
      <c r="W3" s="440" t="s">
        <v>662</v>
      </c>
    </row>
    <row r="4" spans="1:72">
      <c r="A4" s="336" t="s">
        <v>74</v>
      </c>
      <c r="B4" s="342">
        <v>15.7</v>
      </c>
      <c r="C4" s="343">
        <v>9</v>
      </c>
      <c r="D4" s="344">
        <v>71.027177760140717</v>
      </c>
      <c r="E4" s="441">
        <v>448</v>
      </c>
      <c r="G4" s="256">
        <v>1</v>
      </c>
      <c r="H4" s="257">
        <f t="shared" ref="H4:J19" si="0">C4</f>
        <v>9</v>
      </c>
      <c r="I4" s="257">
        <f t="shared" si="0"/>
        <v>71.027177760140717</v>
      </c>
      <c r="J4" s="258">
        <f t="shared" si="0"/>
        <v>448</v>
      </c>
      <c r="L4" s="442">
        <f>B4</f>
        <v>15.7</v>
      </c>
      <c r="N4" s="442">
        <f t="array" ref="N4:N7">MMULT(N10:Q13,MMULT(TRANSPOSE(G4:J53),L4:L53))</f>
        <v>0.43712521875259824</v>
      </c>
      <c r="P4" s="14">
        <v>1</v>
      </c>
      <c r="Q4" s="442">
        <f t="array" ref="Q4:Q7">SQRT(INDEX(N16:Q19,P4:P7,P4:P7))</f>
        <v>2.8416365104683443</v>
      </c>
      <c r="S4" s="442">
        <f t="array" ref="S4:S53">MMULT(G4:J53,N4:N7)</f>
        <v>15.168482465279878</v>
      </c>
      <c r="U4" s="442">
        <f>L4-S4</f>
        <v>0.53151753472012153</v>
      </c>
      <c r="W4" s="14">
        <f t="array" ref="W4:BT53">MMULT(G4:J53,MMULT(N10:Q13,TRANSPOSE(G4:J53)))</f>
        <v>8.4568416323591813E-2</v>
      </c>
      <c r="X4" s="14">
        <v>1.1452870207838056E-2</v>
      </c>
      <c r="Y4" s="14">
        <v>-2.2684899382406989E-3</v>
      </c>
      <c r="Z4" s="14">
        <v>5.4739347001091648E-2</v>
      </c>
      <c r="AA4" s="14">
        <v>-3.2730749121665424E-2</v>
      </c>
      <c r="AB4" s="14">
        <v>-1.2391267536813102E-2</v>
      </c>
      <c r="AC4" s="14">
        <v>1.4046598835085966E-2</v>
      </c>
      <c r="AD4" s="14">
        <v>4.2306012734552326E-2</v>
      </c>
      <c r="AE4" s="14">
        <v>7.6002631855533326E-3</v>
      </c>
      <c r="AF4" s="14">
        <v>6.2616235674378656E-2</v>
      </c>
      <c r="AG4" s="14">
        <v>5.1146073958652116E-2</v>
      </c>
      <c r="AH4" s="14">
        <v>2.0995996047604104E-2</v>
      </c>
      <c r="AI4" s="14">
        <v>2.4454727531805547E-2</v>
      </c>
      <c r="AJ4" s="14">
        <v>5.1118636738206741E-2</v>
      </c>
      <c r="AK4" s="14">
        <v>-2.8070337906425546E-2</v>
      </c>
      <c r="AL4" s="14">
        <v>1.6542194515762713E-2</v>
      </c>
      <c r="AM4" s="14">
        <v>3.9353690784258946E-2</v>
      </c>
      <c r="AN4" s="14">
        <v>9.0378957745860633E-2</v>
      </c>
      <c r="AO4" s="14">
        <v>1.6418981624219689E-2</v>
      </c>
      <c r="AP4" s="14">
        <v>4.9259321250803553E-2</v>
      </c>
      <c r="AQ4" s="14">
        <v>-3.9730798885098007E-2</v>
      </c>
      <c r="AR4" s="14">
        <v>2.4809114638523852E-2</v>
      </c>
      <c r="AS4" s="14">
        <v>-1.982516804755606E-2</v>
      </c>
      <c r="AT4" s="14">
        <v>0.15046796304795451</v>
      </c>
      <c r="AU4" s="14">
        <v>2.3639816496574761E-2</v>
      </c>
      <c r="AV4" s="14">
        <v>-5.3363975670070937E-3</v>
      </c>
      <c r="AW4" s="14">
        <v>-1.2776535385649435E-2</v>
      </c>
      <c r="AX4" s="14">
        <v>-1.9568299484687079E-2</v>
      </c>
      <c r="AY4" s="14">
        <v>1.0401262829553365E-2</v>
      </c>
      <c r="AZ4" s="14">
        <v>-2.445073971052536E-3</v>
      </c>
      <c r="BA4" s="14">
        <v>-3.1078275298532146E-2</v>
      </c>
      <c r="BB4" s="14">
        <v>-4.4593352615350974E-3</v>
      </c>
      <c r="BC4" s="14">
        <v>5.6399176421514541E-2</v>
      </c>
      <c r="BD4" s="14">
        <v>6.1379872496093169E-3</v>
      </c>
      <c r="BE4" s="14">
        <v>4.8250894154049727E-2</v>
      </c>
      <c r="BF4" s="14">
        <v>4.6746754245875863E-2</v>
      </c>
      <c r="BG4" s="14">
        <v>-1.2919937065442229E-2</v>
      </c>
      <c r="BH4" s="14">
        <v>3.606499307513187E-2</v>
      </c>
      <c r="BI4" s="14">
        <v>9.680797119937995E-3</v>
      </c>
      <c r="BJ4" s="14">
        <v>4.1963807164930082E-2</v>
      </c>
      <c r="BK4" s="14">
        <v>3.6005073456287492E-2</v>
      </c>
      <c r="BL4" s="14">
        <v>4.1289174948892671E-2</v>
      </c>
      <c r="BM4" s="14">
        <v>-5.8366695403573726E-3</v>
      </c>
      <c r="BN4" s="14">
        <v>-2.1704570721193583E-2</v>
      </c>
      <c r="BO4" s="14">
        <v>-5.2064141413139253E-3</v>
      </c>
      <c r="BP4" s="14">
        <v>4.7768171392651521E-2</v>
      </c>
      <c r="BQ4" s="14">
        <v>-3.2055177694678888E-2</v>
      </c>
      <c r="BR4" s="14">
        <v>3.3814449776083666E-2</v>
      </c>
      <c r="BS4" s="14">
        <v>1.0964437398857871E-2</v>
      </c>
      <c r="BT4" s="14">
        <v>2.7001299991555983E-2</v>
      </c>
    </row>
    <row r="5" spans="1:72">
      <c r="A5" s="336" t="s">
        <v>75</v>
      </c>
      <c r="B5" s="342">
        <v>8.4</v>
      </c>
      <c r="C5" s="343">
        <v>6.9</v>
      </c>
      <c r="D5" s="344">
        <v>70.62318863808899</v>
      </c>
      <c r="E5" s="441">
        <v>661.2</v>
      </c>
      <c r="G5" s="38">
        <v>1</v>
      </c>
      <c r="H5" s="73">
        <f t="shared" si="0"/>
        <v>6.9</v>
      </c>
      <c r="I5" s="73">
        <f t="shared" si="0"/>
        <v>70.62318863808899</v>
      </c>
      <c r="J5" s="72">
        <f t="shared" si="0"/>
        <v>661.2</v>
      </c>
      <c r="L5" s="443">
        <f t="shared" ref="L5:L53" si="1">B5</f>
        <v>8.4</v>
      </c>
      <c r="N5" s="443">
        <v>1.2793696530498302</v>
      </c>
      <c r="P5" s="14">
        <f>P4+1</f>
        <v>2</v>
      </c>
      <c r="Q5" s="443">
        <v>0.21426856354723553</v>
      </c>
      <c r="S5" s="443">
        <v>12.770194096327888</v>
      </c>
      <c r="U5" s="443">
        <f t="shared" ref="U5:U53" si="2">L5-S5</f>
        <v>-4.3701940963278876</v>
      </c>
      <c r="W5" s="14">
        <v>1.145287020783823E-2</v>
      </c>
      <c r="X5" s="14">
        <v>7.2581277910758066E-2</v>
      </c>
      <c r="Y5" s="14">
        <v>3.2647400652031339E-2</v>
      </c>
      <c r="Z5" s="14">
        <v>2.0330128958296528E-2</v>
      </c>
      <c r="AA5" s="14">
        <v>6.7177334083919182E-2</v>
      </c>
      <c r="AB5" s="14">
        <v>1.595370556499949E-2</v>
      </c>
      <c r="AC5" s="14">
        <v>7.3867019221224295E-4</v>
      </c>
      <c r="AD5" s="14">
        <v>5.5800068126002522E-2</v>
      </c>
      <c r="AE5" s="14">
        <v>6.7648461985173852E-2</v>
      </c>
      <c r="AF5" s="14">
        <v>3.606460151851909E-2</v>
      </c>
      <c r="AG5" s="14">
        <v>6.995039817274229E-2</v>
      </c>
      <c r="AH5" s="14">
        <v>-2.0565903482488705E-2</v>
      </c>
      <c r="AI5" s="14">
        <v>3.7636046225710526E-2</v>
      </c>
      <c r="AJ5" s="14">
        <v>-1.3044008629150214E-2</v>
      </c>
      <c r="AK5" s="14">
        <v>9.9907700848847515E-3</v>
      </c>
      <c r="AL5" s="14">
        <v>1.6707214352552388E-2</v>
      </c>
      <c r="AM5" s="14">
        <v>-1.5158186400628146E-2</v>
      </c>
      <c r="AN5" s="14">
        <v>5.2658812680832091E-2</v>
      </c>
      <c r="AO5" s="14">
        <v>-3.5996530982570885E-2</v>
      </c>
      <c r="AP5" s="14">
        <v>6.3595856377683807E-2</v>
      </c>
      <c r="AQ5" s="14">
        <v>4.4535361971647217E-2</v>
      </c>
      <c r="AR5" s="14">
        <v>3.4632243165473801E-2</v>
      </c>
      <c r="AS5" s="14">
        <v>1.3314531410169857E-2</v>
      </c>
      <c r="AT5" s="14">
        <v>-2.258370889052605E-2</v>
      </c>
      <c r="AU5" s="14">
        <v>2.5427003098156715E-2</v>
      </c>
      <c r="AV5" s="14">
        <v>4.1301450038032095E-3</v>
      </c>
      <c r="AW5" s="14">
        <v>8.0549638642691164E-3</v>
      </c>
      <c r="AX5" s="14">
        <v>8.2204525891436356E-2</v>
      </c>
      <c r="AY5" s="14">
        <v>-2.9403730683065052E-2</v>
      </c>
      <c r="AZ5" s="14">
        <v>3.0245899523651237E-2</v>
      </c>
      <c r="BA5" s="14">
        <v>7.2274844031362598E-2</v>
      </c>
      <c r="BB5" s="14">
        <v>4.559025939766187E-2</v>
      </c>
      <c r="BC5" s="14">
        <v>2.2472414887263318E-2</v>
      </c>
      <c r="BD5" s="14">
        <v>-2.0424629815284784E-2</v>
      </c>
      <c r="BE5" s="14">
        <v>-5.5038368644957855E-3</v>
      </c>
      <c r="BF5" s="14">
        <v>2.4559596661923658E-2</v>
      </c>
      <c r="BG5" s="14">
        <v>8.226299638072929E-3</v>
      </c>
      <c r="BH5" s="14">
        <v>8.1652489757192658E-3</v>
      </c>
      <c r="BI5" s="14">
        <v>-7.2238027171212943E-3</v>
      </c>
      <c r="BJ5" s="14">
        <v>7.660951604333055E-2</v>
      </c>
      <c r="BK5" s="14">
        <v>-2.6273647816068696E-2</v>
      </c>
      <c r="BL5" s="14">
        <v>5.4637003999787714E-2</v>
      </c>
      <c r="BM5" s="14">
        <v>4.4095670163727799E-2</v>
      </c>
      <c r="BN5" s="14">
        <v>1.6238169183576574E-3</v>
      </c>
      <c r="BO5" s="14">
        <v>-2.5057958950213718E-2</v>
      </c>
      <c r="BP5" s="14">
        <v>3.9413774168460536E-3</v>
      </c>
      <c r="BQ5" s="14">
        <v>3.1871773573285037E-2</v>
      </c>
      <c r="BR5" s="14">
        <v>-2.2124769426122161E-2</v>
      </c>
      <c r="BS5" s="14">
        <v>-1.9119083286361499E-3</v>
      </c>
      <c r="BT5" s="14">
        <v>-2.2273489743722258E-2</v>
      </c>
    </row>
    <row r="6" spans="1:72">
      <c r="A6" s="336" t="s">
        <v>76</v>
      </c>
      <c r="B6" s="342">
        <v>14.7</v>
      </c>
      <c r="C6" s="343">
        <v>6.4</v>
      </c>
      <c r="D6" s="344">
        <v>86.505696765320337</v>
      </c>
      <c r="E6" s="441">
        <v>482.7</v>
      </c>
      <c r="G6" s="38">
        <v>1</v>
      </c>
      <c r="H6" s="73">
        <f t="shared" si="0"/>
        <v>6.4</v>
      </c>
      <c r="I6" s="73">
        <f t="shared" si="0"/>
        <v>86.505696765320337</v>
      </c>
      <c r="J6" s="72">
        <f t="shared" si="0"/>
        <v>482.7</v>
      </c>
      <c r="L6" s="443">
        <f t="shared" si="1"/>
        <v>14.7</v>
      </c>
      <c r="N6" s="443">
        <v>3.6326923072062201E-2</v>
      </c>
      <c r="P6" s="14">
        <f>P5+1</f>
        <v>3</v>
      </c>
      <c r="Q6" s="443">
        <v>2.3946175502409853E-2</v>
      </c>
      <c r="S6" s="443">
        <v>12.453734351399612</v>
      </c>
      <c r="U6" s="443">
        <f t="shared" si="2"/>
        <v>2.2462656486003869</v>
      </c>
      <c r="W6" s="14">
        <v>-2.2684899382405602E-3</v>
      </c>
      <c r="X6" s="14">
        <v>3.2647400652030922E-2</v>
      </c>
      <c r="Y6" s="14">
        <v>3.4584753799855233E-2</v>
      </c>
      <c r="Z6" s="14">
        <v>1.8416568136119957E-2</v>
      </c>
      <c r="AA6" s="14">
        <v>3.8950903257587891E-2</v>
      </c>
      <c r="AB6" s="14">
        <v>2.9932941005096546E-2</v>
      </c>
      <c r="AC6" s="14">
        <v>1.239533630276328E-2</v>
      </c>
      <c r="AD6" s="14">
        <v>2.8737465295376255E-2</v>
      </c>
      <c r="AE6" s="14">
        <v>4.4420238351613767E-2</v>
      </c>
      <c r="AF6" s="14">
        <v>3.0665873110401892E-3</v>
      </c>
      <c r="AG6" s="14">
        <v>-3.4175507046630832E-2</v>
      </c>
      <c r="AH6" s="14">
        <v>1.6427174801740392E-2</v>
      </c>
      <c r="AI6" s="14">
        <v>2.5816978624192504E-2</v>
      </c>
      <c r="AJ6" s="14">
        <v>1.0386508461014174E-2</v>
      </c>
      <c r="AK6" s="14">
        <v>3.3476212012683727E-2</v>
      </c>
      <c r="AL6" s="14">
        <v>2.8821220883853867E-2</v>
      </c>
      <c r="AM6" s="14">
        <v>1.2152182824068013E-2</v>
      </c>
      <c r="AN6" s="14">
        <v>1.1997121023273674E-2</v>
      </c>
      <c r="AO6" s="14">
        <v>1.0234225438296787E-2</v>
      </c>
      <c r="AP6" s="14">
        <v>1.5967705981465304E-2</v>
      </c>
      <c r="AQ6" s="14">
        <v>4.094373489423675E-2</v>
      </c>
      <c r="AR6" s="14">
        <v>2.73336399816193E-2</v>
      </c>
      <c r="AS6" s="14">
        <v>2.726407164231065E-2</v>
      </c>
      <c r="AT6" s="14">
        <v>-3.8644281256304563E-2</v>
      </c>
      <c r="AU6" s="14">
        <v>2.8081056896775078E-2</v>
      </c>
      <c r="AV6" s="14">
        <v>2.4203635719363514E-2</v>
      </c>
      <c r="AW6" s="14">
        <v>2.7923032771135597E-2</v>
      </c>
      <c r="AX6" s="14">
        <v>5.458199308111783E-2</v>
      </c>
      <c r="AY6" s="14">
        <v>1.2633906657327443E-2</v>
      </c>
      <c r="AZ6" s="14">
        <v>1.6450883172438747E-2</v>
      </c>
      <c r="BA6" s="14">
        <v>5.3689962248174253E-2</v>
      </c>
      <c r="BB6" s="14">
        <v>2.1261984557831199E-2</v>
      </c>
      <c r="BC6" s="14">
        <v>8.7418223816782287E-3</v>
      </c>
      <c r="BD6" s="14">
        <v>1.134028650896815E-2</v>
      </c>
      <c r="BE6" s="14">
        <v>9.6249069148591909E-3</v>
      </c>
      <c r="BF6" s="14">
        <v>1.6647036500919449E-2</v>
      </c>
      <c r="BG6" s="14">
        <v>2.6055262294289654E-2</v>
      </c>
      <c r="BH6" s="14">
        <v>1.864473445178623E-2</v>
      </c>
      <c r="BI6" s="14">
        <v>1.4434796295073472E-2</v>
      </c>
      <c r="BJ6" s="14">
        <v>3.21093157711069E-2</v>
      </c>
      <c r="BK6" s="14">
        <v>2.8943070557206629E-3</v>
      </c>
      <c r="BL6" s="14">
        <v>3.7804729979022789E-2</v>
      </c>
      <c r="BM6" s="14">
        <v>3.472431881779138E-2</v>
      </c>
      <c r="BN6" s="14">
        <v>2.6592798332099286E-2</v>
      </c>
      <c r="BO6" s="14">
        <v>1.6600601637084794E-2</v>
      </c>
      <c r="BP6" s="14">
        <v>-3.5831554417977696E-3</v>
      </c>
      <c r="BQ6" s="14">
        <v>3.0498023220558015E-2</v>
      </c>
      <c r="BR6" s="14">
        <v>1.5434205493654075E-2</v>
      </c>
      <c r="BS6" s="14">
        <v>1.944962842658671E-2</v>
      </c>
      <c r="BT6" s="14">
        <v>1.4275233817377109E-2</v>
      </c>
    </row>
    <row r="7" spans="1:72">
      <c r="A7" s="336" t="s">
        <v>77</v>
      </c>
      <c r="B7" s="342">
        <v>17.3</v>
      </c>
      <c r="C7" s="343">
        <v>8.5</v>
      </c>
      <c r="D7" s="344">
        <v>80.783955956979611</v>
      </c>
      <c r="E7" s="441">
        <v>529.4</v>
      </c>
      <c r="G7" s="38">
        <v>1</v>
      </c>
      <c r="H7" s="73">
        <f t="shared" si="0"/>
        <v>8.5</v>
      </c>
      <c r="I7" s="73">
        <f t="shared" si="0"/>
        <v>80.783955956979611</v>
      </c>
      <c r="J7" s="72">
        <f t="shared" si="0"/>
        <v>529.4</v>
      </c>
      <c r="L7" s="443">
        <f t="shared" si="1"/>
        <v>17.3</v>
      </c>
      <c r="N7" s="444">
        <v>1.4214989878582329E-3</v>
      </c>
      <c r="P7" s="14">
        <f>P6+1</f>
        <v>4</v>
      </c>
      <c r="Q7" s="444">
        <v>1.5977891191805069E-3</v>
      </c>
      <c r="S7" s="443">
        <v>14.998941387354362</v>
      </c>
      <c r="U7" s="443">
        <f t="shared" si="2"/>
        <v>2.3010586126456385</v>
      </c>
      <c r="W7" s="14">
        <v>5.4739347001092002E-2</v>
      </c>
      <c r="X7" s="14">
        <v>2.0330128958296112E-2</v>
      </c>
      <c r="Y7" s="14">
        <v>1.8416568136119686E-2</v>
      </c>
      <c r="Z7" s="14">
        <v>5.6823864951255007E-2</v>
      </c>
      <c r="AA7" s="14">
        <v>-1.722820482677008E-2</v>
      </c>
      <c r="AB7" s="14">
        <v>2.3954160293032552E-3</v>
      </c>
      <c r="AC7" s="14">
        <v>3.9120862153092725E-3</v>
      </c>
      <c r="AD7" s="14">
        <v>5.2733239860965897E-2</v>
      </c>
      <c r="AE7" s="14">
        <v>3.9131143145140684E-2</v>
      </c>
      <c r="AF7" s="14">
        <v>3.3204483304539109E-2</v>
      </c>
      <c r="AG7" s="14">
        <v>-5.8093816041565688E-2</v>
      </c>
      <c r="AH7" s="14">
        <v>2.4857653463554744E-2</v>
      </c>
      <c r="AI7" s="14">
        <v>3.1449564157525312E-2</v>
      </c>
      <c r="AJ7" s="14">
        <v>4.6230001663519801E-2</v>
      </c>
      <c r="AK7" s="14">
        <v>-7.4607789067454491E-3</v>
      </c>
      <c r="AL7" s="14">
        <v>3.3328831986925461E-2</v>
      </c>
      <c r="AM7" s="14">
        <v>3.6564646075996798E-2</v>
      </c>
      <c r="AN7" s="14">
        <v>7.7473151503296922E-2</v>
      </c>
      <c r="AO7" s="14">
        <v>1.2002207050326008E-2</v>
      </c>
      <c r="AP7" s="14">
        <v>3.4898094645277725E-2</v>
      </c>
      <c r="AQ7" s="14">
        <v>-1.5750144022397092E-2</v>
      </c>
      <c r="AR7" s="14">
        <v>3.5453748831121797E-2</v>
      </c>
      <c r="AS7" s="14">
        <v>-1.0437586713981584E-2</v>
      </c>
      <c r="AT7" s="14">
        <v>7.1213747367742553E-2</v>
      </c>
      <c r="AU7" s="14">
        <v>3.7861403322177599E-2</v>
      </c>
      <c r="AV7" s="14">
        <v>2.8289735563798296E-3</v>
      </c>
      <c r="AW7" s="14">
        <v>2.2525583634773732E-4</v>
      </c>
      <c r="AX7" s="14">
        <v>2.3186625624112556E-2</v>
      </c>
      <c r="AY7" s="14">
        <v>7.8863921409595972E-3</v>
      </c>
      <c r="AZ7" s="14">
        <v>-1.4996316014413827E-2</v>
      </c>
      <c r="BA7" s="14">
        <v>1.0856136525116827E-2</v>
      </c>
      <c r="BB7" s="14">
        <v>-1.2259526258054633E-2</v>
      </c>
      <c r="BC7" s="14">
        <v>4.0134238015328845E-2</v>
      </c>
      <c r="BD7" s="14">
        <v>-1.7158627425350043E-3</v>
      </c>
      <c r="BE7" s="14">
        <v>3.9589583128445287E-2</v>
      </c>
      <c r="BF7" s="14">
        <v>4.3269906436049624E-2</v>
      </c>
      <c r="BG7" s="14">
        <v>-3.4670394978338088E-3</v>
      </c>
      <c r="BH7" s="14">
        <v>3.8933939053771058E-2</v>
      </c>
      <c r="BI7" s="14">
        <v>4.7439410585431926E-3</v>
      </c>
      <c r="BJ7" s="14">
        <v>5.3305751876194525E-2</v>
      </c>
      <c r="BK7" s="14">
        <v>1.8297723436888208E-2</v>
      </c>
      <c r="BL7" s="14">
        <v>6.8777008950237487E-2</v>
      </c>
      <c r="BM7" s="14">
        <v>1.1653437548812234E-2</v>
      </c>
      <c r="BN7" s="14">
        <v>-1.0855069122513779E-2</v>
      </c>
      <c r="BO7" s="14">
        <v>-3.7356419209635533E-3</v>
      </c>
      <c r="BP7" s="14">
        <v>1.1982344000141559E-2</v>
      </c>
      <c r="BQ7" s="14">
        <v>-2.318678179654645E-2</v>
      </c>
      <c r="BR7" s="14">
        <v>3.8112949251870712E-2</v>
      </c>
      <c r="BS7" s="14">
        <v>1.4211826683128807E-2</v>
      </c>
      <c r="BT7" s="14">
        <v>2.8171407072507711E-2</v>
      </c>
    </row>
    <row r="8" spans="1:72">
      <c r="A8" s="336" t="s">
        <v>78</v>
      </c>
      <c r="B8" s="342">
        <v>13.3</v>
      </c>
      <c r="C8" s="343">
        <v>5</v>
      </c>
      <c r="D8" s="344">
        <v>76.640052174481781</v>
      </c>
      <c r="E8" s="441">
        <v>522.6</v>
      </c>
      <c r="G8" s="38">
        <v>1</v>
      </c>
      <c r="H8" s="73">
        <f t="shared" si="0"/>
        <v>5</v>
      </c>
      <c r="I8" s="73">
        <f t="shared" si="0"/>
        <v>76.640052174481781</v>
      </c>
      <c r="J8" s="72">
        <f t="shared" si="0"/>
        <v>522.6</v>
      </c>
      <c r="L8" s="443">
        <f t="shared" si="1"/>
        <v>13.3</v>
      </c>
      <c r="S8" s="443">
        <v>10.360946134637693</v>
      </c>
      <c r="U8" s="443">
        <f t="shared" si="2"/>
        <v>2.9390538653623075</v>
      </c>
      <c r="W8" s="14">
        <v>-3.2730749121665181E-2</v>
      </c>
      <c r="X8" s="14">
        <v>6.7177334083919557E-2</v>
      </c>
      <c r="Y8" s="14">
        <v>3.8950903257588862E-2</v>
      </c>
      <c r="Z8" s="14">
        <v>-1.7228204826769216E-2</v>
      </c>
      <c r="AA8" s="14">
        <v>0.10361371993915565</v>
      </c>
      <c r="AB8" s="14">
        <v>3.9494624828568081E-2</v>
      </c>
      <c r="AC8" s="14">
        <v>1.7087142462659709E-2</v>
      </c>
      <c r="AD8" s="14">
        <v>1.9813584776144574E-2</v>
      </c>
      <c r="AE8" s="14">
        <v>5.0675730935078475E-2</v>
      </c>
      <c r="AF8" s="14">
        <v>1.064880949936952E-2</v>
      </c>
      <c r="AG8" s="14">
        <v>0.10879105607449471</v>
      </c>
      <c r="AH8" s="14">
        <v>-1.8301143588030561E-2</v>
      </c>
      <c r="AI8" s="14">
        <v>2.5343688774789444E-2</v>
      </c>
      <c r="AJ8" s="14">
        <v>-3.6832851621302592E-2</v>
      </c>
      <c r="AK8" s="14">
        <v>4.6486875677024211E-2</v>
      </c>
      <c r="AL8" s="14">
        <v>8.7053011953053122E-3</v>
      </c>
      <c r="AM8" s="14">
        <v>-2.7946284180377118E-2</v>
      </c>
      <c r="AN8" s="14">
        <v>-1.5897064907781311E-2</v>
      </c>
      <c r="AO8" s="14">
        <v>-2.0719337271632915E-2</v>
      </c>
      <c r="AP8" s="14">
        <v>3.7071505185896948E-2</v>
      </c>
      <c r="AQ8" s="14">
        <v>8.5518254937571259E-2</v>
      </c>
      <c r="AR8" s="14">
        <v>1.9796143646435914E-2</v>
      </c>
      <c r="AS8" s="14">
        <v>4.8841388872835838E-2</v>
      </c>
      <c r="AT8" s="14">
        <v>-9.4412060909312839E-2</v>
      </c>
      <c r="AU8" s="14">
        <v>1.0607792370835527E-2</v>
      </c>
      <c r="AV8" s="14">
        <v>2.6893832510501751E-2</v>
      </c>
      <c r="AW8" s="14">
        <v>3.4462662506063411E-2</v>
      </c>
      <c r="AX8" s="14">
        <v>8.3136494714594208E-2</v>
      </c>
      <c r="AY8" s="14">
        <v>-1.0244925239638408E-2</v>
      </c>
      <c r="AZ8" s="14">
        <v>6.100820593774791E-2</v>
      </c>
      <c r="BA8" s="14">
        <v>8.7215106136552645E-2</v>
      </c>
      <c r="BB8" s="14">
        <v>7.2723432454270154E-2</v>
      </c>
      <c r="BC8" s="14">
        <v>-3.9234327718865782E-3</v>
      </c>
      <c r="BD8" s="14">
        <v>5.650181595135445E-3</v>
      </c>
      <c r="BE8" s="14">
        <v>-2.4734761938325599E-2</v>
      </c>
      <c r="BF8" s="14">
        <v>-1.3457051681177688E-3</v>
      </c>
      <c r="BG8" s="14">
        <v>3.7310679917636425E-2</v>
      </c>
      <c r="BH8" s="14">
        <v>-8.7786802762757511E-3</v>
      </c>
      <c r="BI8" s="14">
        <v>1.1102518720709123E-2</v>
      </c>
      <c r="BJ8" s="14">
        <v>3.7202719519720553E-2</v>
      </c>
      <c r="BK8" s="14">
        <v>-2.3191022820383253E-2</v>
      </c>
      <c r="BL8" s="14">
        <v>7.602303925713122E-3</v>
      </c>
      <c r="BM8" s="14">
        <v>5.4682057670271747E-2</v>
      </c>
      <c r="BN8" s="14">
        <v>3.9797818735170104E-2</v>
      </c>
      <c r="BO8" s="14">
        <v>6.7600339702343915E-3</v>
      </c>
      <c r="BP8" s="14">
        <v>3.3142973187929997E-3</v>
      </c>
      <c r="BQ8" s="14">
        <v>7.76697048523943E-2</v>
      </c>
      <c r="BR8" s="14">
        <v>-3.3227777365576749E-2</v>
      </c>
      <c r="BS8" s="14">
        <v>8.3990584732354726E-3</v>
      </c>
      <c r="BT8" s="14">
        <v>-2.4040963469328672E-2</v>
      </c>
    </row>
    <row r="9" spans="1:72" ht="17.25">
      <c r="A9" s="336" t="s">
        <v>79</v>
      </c>
      <c r="B9" s="342">
        <v>11.4</v>
      </c>
      <c r="C9" s="343">
        <v>5.7</v>
      </c>
      <c r="D9" s="344">
        <v>89.734092175332663</v>
      </c>
      <c r="E9" s="441">
        <v>347.8</v>
      </c>
      <c r="G9" s="38">
        <v>1</v>
      </c>
      <c r="H9" s="73">
        <f t="shared" si="0"/>
        <v>5.7</v>
      </c>
      <c r="I9" s="73">
        <f t="shared" si="0"/>
        <v>89.734092175332663</v>
      </c>
      <c r="J9" s="72">
        <f t="shared" si="0"/>
        <v>347.8</v>
      </c>
      <c r="L9" s="443">
        <f t="shared" si="1"/>
        <v>11.4</v>
      </c>
      <c r="N9" s="754" t="s">
        <v>663</v>
      </c>
      <c r="O9" s="754"/>
      <c r="P9" s="754"/>
      <c r="Q9" s="754"/>
      <c r="S9" s="443">
        <v>11.483693052508373</v>
      </c>
      <c r="U9" s="443">
        <f t="shared" si="2"/>
        <v>-8.3693052508373E-2</v>
      </c>
      <c r="W9" s="14">
        <v>-1.2391267536813133E-2</v>
      </c>
      <c r="X9" s="14">
        <v>1.5953705564999129E-2</v>
      </c>
      <c r="Y9" s="14">
        <v>2.9932941005096594E-2</v>
      </c>
      <c r="Z9" s="14">
        <v>2.395416029303505E-3</v>
      </c>
      <c r="AA9" s="14">
        <v>3.9494624828567214E-2</v>
      </c>
      <c r="AB9" s="14">
        <v>3.762115632263021E-2</v>
      </c>
      <c r="AC9" s="14">
        <v>2.5848686816239828E-2</v>
      </c>
      <c r="AD9" s="14">
        <v>3.1311964702471842E-3</v>
      </c>
      <c r="AE9" s="14">
        <v>1.9520406845095831E-2</v>
      </c>
      <c r="AF9" s="14">
        <v>-5.3098377367656029E-3</v>
      </c>
      <c r="AG9" s="14">
        <v>-7.9012774319574264E-3</v>
      </c>
      <c r="AH9" s="14">
        <v>2.6338188179907868E-2</v>
      </c>
      <c r="AI9" s="14">
        <v>1.506992850779758E-2</v>
      </c>
      <c r="AJ9" s="14">
        <v>9.5054806297762036E-3</v>
      </c>
      <c r="AK9" s="14">
        <v>4.6765908435432317E-2</v>
      </c>
      <c r="AL9" s="14">
        <v>2.2888921985424585E-2</v>
      </c>
      <c r="AM9" s="14">
        <v>1.5897263676291445E-2</v>
      </c>
      <c r="AN9" s="14">
        <v>-2.1557344151109395E-2</v>
      </c>
      <c r="AO9" s="14">
        <v>3.092048718659627E-2</v>
      </c>
      <c r="AP9" s="14">
        <v>-2.5569637606738006E-3</v>
      </c>
      <c r="AQ9" s="14">
        <v>4.7087790192755788E-2</v>
      </c>
      <c r="AR9" s="14">
        <v>1.5515178901020558E-2</v>
      </c>
      <c r="AS9" s="14">
        <v>4.1638912974352169E-2</v>
      </c>
      <c r="AT9" s="14">
        <v>-4.1932181258598683E-2</v>
      </c>
      <c r="AU9" s="14">
        <v>1.7756255782917809E-2</v>
      </c>
      <c r="AV9" s="14">
        <v>3.5764427359823367E-2</v>
      </c>
      <c r="AW9" s="14">
        <v>3.9059911380691814E-2</v>
      </c>
      <c r="AX9" s="14">
        <v>3.1290858831542312E-2</v>
      </c>
      <c r="AY9" s="14">
        <v>3.2950027468969287E-2</v>
      </c>
      <c r="AZ9" s="14">
        <v>2.9250855393730055E-2</v>
      </c>
      <c r="BA9" s="14">
        <v>3.8742920256605251E-2</v>
      </c>
      <c r="BB9" s="14">
        <v>2.7902539462339254E-2</v>
      </c>
      <c r="BC9" s="14">
        <v>5.5388962932499328E-4</v>
      </c>
      <c r="BD9" s="14">
        <v>3.3440330272589823E-2</v>
      </c>
      <c r="BE9" s="14">
        <v>9.5808378603632893E-3</v>
      </c>
      <c r="BF9" s="14">
        <v>5.5551465512088342E-3</v>
      </c>
      <c r="BG9" s="14">
        <v>3.8979530947766822E-2</v>
      </c>
      <c r="BH9" s="14">
        <v>1.3908005271728514E-2</v>
      </c>
      <c r="BI9" s="14">
        <v>2.9562850588401766E-2</v>
      </c>
      <c r="BJ9" s="14">
        <v>-1.0392442805647051E-4</v>
      </c>
      <c r="BK9" s="14">
        <v>1.8909381262651112E-2</v>
      </c>
      <c r="BL9" s="14">
        <v>4.4392935816424534E-3</v>
      </c>
      <c r="BM9" s="14">
        <v>2.9737733690948159E-2</v>
      </c>
      <c r="BN9" s="14">
        <v>4.4576829670163964E-2</v>
      </c>
      <c r="BO9" s="14">
        <v>4.0289387495069599E-2</v>
      </c>
      <c r="BP9" s="14">
        <v>7.3100980175415387E-3</v>
      </c>
      <c r="BQ9" s="14">
        <v>4.4756468461847977E-2</v>
      </c>
      <c r="BR9" s="14">
        <v>2.0108499787495869E-2</v>
      </c>
      <c r="BS9" s="14">
        <v>2.8321125775131368E-2</v>
      </c>
      <c r="BT9" s="14">
        <v>2.3479396951951836E-2</v>
      </c>
    </row>
    <row r="10" spans="1:72">
      <c r="A10" s="336" t="s">
        <v>80</v>
      </c>
      <c r="B10" s="342">
        <v>9.3000000000000007</v>
      </c>
      <c r="C10" s="343">
        <v>6.2</v>
      </c>
      <c r="D10" s="344">
        <v>84.278652322083644</v>
      </c>
      <c r="E10" s="441">
        <v>256</v>
      </c>
      <c r="G10" s="38">
        <v>1</v>
      </c>
      <c r="H10" s="73">
        <f t="shared" si="0"/>
        <v>6.2</v>
      </c>
      <c r="I10" s="73">
        <f t="shared" si="0"/>
        <v>84.278652322083644</v>
      </c>
      <c r="J10" s="72">
        <f t="shared" si="0"/>
        <v>256</v>
      </c>
      <c r="L10" s="443">
        <f t="shared" si="1"/>
        <v>9.3000000000000007</v>
      </c>
      <c r="N10" s="256">
        <f t="array" ref="N10:Q13">MINVERSE(MMULT(TRANSPOSE(G4:J53),G4:J53))</f>
        <v>2.6057128988009484</v>
      </c>
      <c r="O10" s="257">
        <v>-0.119788887417389</v>
      </c>
      <c r="P10" s="257">
        <v>-1.9497850497721299E-2</v>
      </c>
      <c r="Q10" s="258">
        <v>-4.1572695969407583E-4</v>
      </c>
      <c r="S10" s="443">
        <v>11.794704928074662</v>
      </c>
      <c r="U10" s="443">
        <f t="shared" si="2"/>
        <v>-2.4947049280746612</v>
      </c>
      <c r="W10" s="14">
        <v>1.4046598835086063E-2</v>
      </c>
      <c r="X10" s="14">
        <v>7.3867019221232622E-4</v>
      </c>
      <c r="Y10" s="14">
        <v>1.2395336302763724E-2</v>
      </c>
      <c r="Z10" s="14">
        <v>3.9120862153095709E-3</v>
      </c>
      <c r="AA10" s="14">
        <v>1.7087142462659591E-2</v>
      </c>
      <c r="AB10" s="14">
        <v>2.5848686816240307E-2</v>
      </c>
      <c r="AC10" s="14">
        <v>3.516860794322111E-2</v>
      </c>
      <c r="AD10" s="14">
        <v>-7.7241806905893329E-3</v>
      </c>
      <c r="AE10" s="14">
        <v>-1.0067461573888783E-2</v>
      </c>
      <c r="AF10" s="14">
        <v>1.4939806562999508E-2</v>
      </c>
      <c r="AG10" s="14">
        <v>5.8156802299451499E-2</v>
      </c>
      <c r="AH10" s="14">
        <v>3.0577178596958798E-2</v>
      </c>
      <c r="AI10" s="14">
        <v>7.9507395287218667E-3</v>
      </c>
      <c r="AJ10" s="14">
        <v>2.0792320848137841E-2</v>
      </c>
      <c r="AK10" s="14">
        <v>3.0830617344406543E-2</v>
      </c>
      <c r="AL10" s="14">
        <v>1.2127693251372168E-2</v>
      </c>
      <c r="AM10" s="14">
        <v>2.5160221095028822E-2</v>
      </c>
      <c r="AN10" s="14">
        <v>-1.2522626643235731E-2</v>
      </c>
      <c r="AO10" s="14">
        <v>4.2746732735237054E-2</v>
      </c>
      <c r="AP10" s="14">
        <v>2.1511628614075268E-3</v>
      </c>
      <c r="AQ10" s="14">
        <v>2.2259636205252963E-2</v>
      </c>
      <c r="AR10" s="14">
        <v>6.5270131873068904E-3</v>
      </c>
      <c r="AS10" s="14">
        <v>3.3214415467355519E-2</v>
      </c>
      <c r="AT10" s="14">
        <v>2.8112991897426651E-2</v>
      </c>
      <c r="AU10" s="14">
        <v>7.8404132242082258E-3</v>
      </c>
      <c r="AV10" s="14">
        <v>3.0881409057275606E-2</v>
      </c>
      <c r="AW10" s="14">
        <v>2.9727922390227743E-2</v>
      </c>
      <c r="AX10" s="14">
        <v>-1.035758212836968E-2</v>
      </c>
      <c r="AY10" s="14">
        <v>4.1932732023571104E-2</v>
      </c>
      <c r="AZ10" s="14">
        <v>3.3896408010606449E-2</v>
      </c>
      <c r="BA10" s="14">
        <v>-1.7038204474610491E-3</v>
      </c>
      <c r="BB10" s="14">
        <v>2.6731397512832947E-2</v>
      </c>
      <c r="BC10" s="14">
        <v>1.3894550195691191E-2</v>
      </c>
      <c r="BD10" s="14">
        <v>4.4084315280008508E-2</v>
      </c>
      <c r="BE10" s="14">
        <v>2.1856775626549745E-2</v>
      </c>
      <c r="BF10" s="14">
        <v>9.346573904411612E-3</v>
      </c>
      <c r="BG10" s="14">
        <v>3.1935149158003502E-2</v>
      </c>
      <c r="BH10" s="14">
        <v>1.5336069159830421E-2</v>
      </c>
      <c r="BI10" s="14">
        <v>3.6416683738624167E-2</v>
      </c>
      <c r="BJ10" s="14">
        <v>-1.5019025816111378E-2</v>
      </c>
      <c r="BK10" s="14">
        <v>3.95076693574428E-2</v>
      </c>
      <c r="BL10" s="14">
        <v>-1.750167205207756E-2</v>
      </c>
      <c r="BM10" s="14">
        <v>1.210669794877842E-2</v>
      </c>
      <c r="BN10" s="14">
        <v>3.6961764927560835E-2</v>
      </c>
      <c r="BO10" s="14">
        <v>4.4620943869333622E-2</v>
      </c>
      <c r="BP10" s="14">
        <v>3.5781015508349813E-2</v>
      </c>
      <c r="BQ10" s="14">
        <v>3.2578609866434974E-2</v>
      </c>
      <c r="BR10" s="14">
        <v>2.5402206190868193E-2</v>
      </c>
      <c r="BS10" s="14">
        <v>2.9039135559920479E-2</v>
      </c>
      <c r="BT10" s="14">
        <v>3.0273466192654246E-2</v>
      </c>
    </row>
    <row r="11" spans="1:72">
      <c r="A11" s="336" t="s">
        <v>81</v>
      </c>
      <c r="B11" s="351">
        <v>10</v>
      </c>
      <c r="C11" s="343">
        <v>8.3000000000000007</v>
      </c>
      <c r="D11" s="344">
        <v>74.266056727126113</v>
      </c>
      <c r="E11" s="441">
        <v>689.2</v>
      </c>
      <c r="G11" s="38">
        <v>1</v>
      </c>
      <c r="H11" s="73">
        <f t="shared" si="0"/>
        <v>8.3000000000000007</v>
      </c>
      <c r="I11" s="73">
        <f t="shared" si="0"/>
        <v>74.266056727126113</v>
      </c>
      <c r="J11" s="72">
        <f t="shared" si="0"/>
        <v>689.2</v>
      </c>
      <c r="L11" s="443">
        <f t="shared" si="1"/>
        <v>10</v>
      </c>
      <c r="N11" s="38">
        <v>-0.11978888741738723</v>
      </c>
      <c r="O11" s="73">
        <v>1.4815162889490837E-2</v>
      </c>
      <c r="P11" s="73">
        <v>4.0139129913020012E-4</v>
      </c>
      <c r="Q11" s="72">
        <v>-3.5093390713043337E-5</v>
      </c>
      <c r="S11" s="443">
        <v>14.733447771089802</v>
      </c>
      <c r="U11" s="443">
        <f t="shared" si="2"/>
        <v>-4.7334477710898017</v>
      </c>
      <c r="W11" s="14">
        <v>4.2306012734552659E-2</v>
      </c>
      <c r="X11" s="14">
        <v>5.5800068126002175E-2</v>
      </c>
      <c r="Y11" s="14">
        <v>2.8737465295376172E-2</v>
      </c>
      <c r="Z11" s="14">
        <v>5.273323986096605E-2</v>
      </c>
      <c r="AA11" s="14">
        <v>1.9813584776143742E-2</v>
      </c>
      <c r="AB11" s="14">
        <v>3.1311964702471426E-3</v>
      </c>
      <c r="AC11" s="14">
        <v>-7.7241806905895688E-3</v>
      </c>
      <c r="AD11" s="14">
        <v>7.3296670538550088E-2</v>
      </c>
      <c r="AE11" s="14">
        <v>7.0987727457005309E-2</v>
      </c>
      <c r="AF11" s="14">
        <v>3.9696772937101082E-2</v>
      </c>
      <c r="AG11" s="14">
        <v>-2.4909654644344165E-2</v>
      </c>
      <c r="AH11" s="14">
        <v>-2.2138674453052454E-3</v>
      </c>
      <c r="AI11" s="14">
        <v>4.2308328152820131E-2</v>
      </c>
      <c r="AJ11" s="14">
        <v>2.0776929840092995E-2</v>
      </c>
      <c r="AK11" s="14">
        <v>-8.9668146736377203E-3</v>
      </c>
      <c r="AL11" s="14">
        <v>3.0964335149983944E-2</v>
      </c>
      <c r="AM11" s="14">
        <v>1.1071664296703115E-2</v>
      </c>
      <c r="AN11" s="14">
        <v>9.095008501050747E-2</v>
      </c>
      <c r="AO11" s="14">
        <v>-2.4409003881722166E-2</v>
      </c>
      <c r="AP11" s="14">
        <v>6.0666712916303316E-2</v>
      </c>
      <c r="AQ11" s="14">
        <v>6.8726951927647328E-3</v>
      </c>
      <c r="AR11" s="14">
        <v>4.4151572000757824E-2</v>
      </c>
      <c r="AS11" s="14">
        <v>-1.034410387680133E-2</v>
      </c>
      <c r="AT11" s="14">
        <v>3.0050638207791885E-2</v>
      </c>
      <c r="AU11" s="14">
        <v>4.0488082081335301E-2</v>
      </c>
      <c r="AV11" s="14">
        <v>-4.8685991655857755E-3</v>
      </c>
      <c r="AW11" s="14">
        <v>-4.1474546940725885E-3</v>
      </c>
      <c r="AX11" s="14">
        <v>6.7566227508020216E-2</v>
      </c>
      <c r="AY11" s="14">
        <v>-2.3503446262871139E-2</v>
      </c>
      <c r="AZ11" s="14">
        <v>-5.0339912583725714E-3</v>
      </c>
      <c r="BA11" s="14">
        <v>5.0105561892895473E-2</v>
      </c>
      <c r="BB11" s="14">
        <v>7.9167481753566089E-3</v>
      </c>
      <c r="BC11" s="14">
        <v>3.7923593978779757E-2</v>
      </c>
      <c r="BD11" s="14">
        <v>-2.6458042589421235E-2</v>
      </c>
      <c r="BE11" s="14">
        <v>1.9606250680169843E-2</v>
      </c>
      <c r="BF11" s="14">
        <v>4.3150424434160201E-2</v>
      </c>
      <c r="BG11" s="14">
        <v>-7.5801539936958158E-3</v>
      </c>
      <c r="BH11" s="14">
        <v>2.9050615675317384E-2</v>
      </c>
      <c r="BI11" s="14">
        <v>-1.1811483816291241E-2</v>
      </c>
      <c r="BJ11" s="14">
        <v>8.7630576372723701E-2</v>
      </c>
      <c r="BK11" s="14">
        <v>-1.3591606358391947E-2</v>
      </c>
      <c r="BL11" s="14">
        <v>8.8076081029151126E-2</v>
      </c>
      <c r="BM11" s="14">
        <v>3.0091295728605055E-2</v>
      </c>
      <c r="BN11" s="14">
        <v>-1.831203382852372E-2</v>
      </c>
      <c r="BO11" s="14">
        <v>-3.0496272172952997E-2</v>
      </c>
      <c r="BP11" s="14">
        <v>-7.1475474949871109E-4</v>
      </c>
      <c r="BQ11" s="14">
        <v>-9.3197394372116459E-3</v>
      </c>
      <c r="BR11" s="14">
        <v>8.433342326960365E-3</v>
      </c>
      <c r="BS11" s="14">
        <v>7.1337388633233023E-4</v>
      </c>
      <c r="BT11" s="14">
        <v>-6.6266919418479786E-4</v>
      </c>
    </row>
    <row r="12" spans="1:72">
      <c r="A12" s="336" t="s">
        <v>82</v>
      </c>
      <c r="B12" s="342">
        <v>13.2</v>
      </c>
      <c r="C12" s="343">
        <v>7.3</v>
      </c>
      <c r="D12" s="344">
        <v>79.811068541941054</v>
      </c>
      <c r="E12" s="441">
        <v>722.6</v>
      </c>
      <c r="G12" s="38">
        <v>1</v>
      </c>
      <c r="H12" s="73">
        <f t="shared" si="0"/>
        <v>7.3</v>
      </c>
      <c r="I12" s="73">
        <f t="shared" si="0"/>
        <v>79.811068541941054</v>
      </c>
      <c r="J12" s="72">
        <f t="shared" si="0"/>
        <v>722.6</v>
      </c>
      <c r="L12" s="443">
        <f t="shared" si="1"/>
        <v>13.2</v>
      </c>
      <c r="N12" s="38">
        <v>-1.9497850497721406E-2</v>
      </c>
      <c r="O12" s="73">
        <v>4.0139129913021812E-4</v>
      </c>
      <c r="P12" s="73">
        <v>1.8503838822348992E-4</v>
      </c>
      <c r="Q12" s="72">
        <v>3.9009315856594328E-6</v>
      </c>
      <c r="S12" s="443">
        <v>13.702989401864892</v>
      </c>
      <c r="U12" s="443">
        <f t="shared" si="2"/>
        <v>-0.50298940186489283</v>
      </c>
      <c r="W12" s="14">
        <v>7.6002631855539571E-3</v>
      </c>
      <c r="X12" s="14">
        <v>6.7648461985173616E-2</v>
      </c>
      <c r="Y12" s="14">
        <v>4.4420238351613989E-2</v>
      </c>
      <c r="Z12" s="14">
        <v>3.9131143145141351E-2</v>
      </c>
      <c r="AA12" s="14">
        <v>5.0675730935077587E-2</v>
      </c>
      <c r="AB12" s="14">
        <v>1.952040684509599E-2</v>
      </c>
      <c r="AC12" s="14">
        <v>-1.0067461573888901E-2</v>
      </c>
      <c r="AD12" s="14">
        <v>7.0987727457005712E-2</v>
      </c>
      <c r="AE12" s="14">
        <v>8.9440094900412825E-2</v>
      </c>
      <c r="AF12" s="14">
        <v>1.6926599835065882E-2</v>
      </c>
      <c r="AG12" s="14">
        <v>-5.8809036747628496E-2</v>
      </c>
      <c r="AH12" s="14">
        <v>-6.4199652587187683E-3</v>
      </c>
      <c r="AI12" s="14">
        <v>4.4293926833662699E-2</v>
      </c>
      <c r="AJ12" s="14">
        <v>3.0092111992693904E-3</v>
      </c>
      <c r="AK12" s="14">
        <v>1.4555413403082616E-2</v>
      </c>
      <c r="AL12" s="14">
        <v>3.614620379120894E-2</v>
      </c>
      <c r="AM12" s="14">
        <v>-1.6292633855342561E-3</v>
      </c>
      <c r="AN12" s="14">
        <v>6.2901040803624617E-2</v>
      </c>
      <c r="AO12" s="14">
        <v>-3.0610256212557488E-2</v>
      </c>
      <c r="AP12" s="14">
        <v>5.0296999407208845E-2</v>
      </c>
      <c r="AQ12" s="14">
        <v>4.0032896585127382E-2</v>
      </c>
      <c r="AR12" s="14">
        <v>4.6544737574026482E-2</v>
      </c>
      <c r="AS12" s="14">
        <v>7.4275337043207979E-3</v>
      </c>
      <c r="AT12" s="14">
        <v>-4.7747199168560461E-2</v>
      </c>
      <c r="AU12" s="14">
        <v>4.3164506400949397E-2</v>
      </c>
      <c r="AV12" s="14">
        <v>5.6186683880706176E-3</v>
      </c>
      <c r="AW12" s="14">
        <v>1.1030323482433133E-2</v>
      </c>
      <c r="AX12" s="14">
        <v>0.10157816070829116</v>
      </c>
      <c r="AY12" s="14">
        <v>-2.6008023192247764E-2</v>
      </c>
      <c r="AZ12" s="14">
        <v>2.2049349141957178E-3</v>
      </c>
      <c r="BA12" s="14">
        <v>8.744045455245128E-2</v>
      </c>
      <c r="BB12" s="14">
        <v>1.8952940748170888E-2</v>
      </c>
      <c r="BC12" s="14">
        <v>1.9350257368609652E-2</v>
      </c>
      <c r="BD12" s="14">
        <v>-2.749500972374086E-2</v>
      </c>
      <c r="BE12" s="14">
        <v>2.9567364412236771E-3</v>
      </c>
      <c r="BF12" s="14">
        <v>3.192368094677054E-2</v>
      </c>
      <c r="BG12" s="14">
        <v>6.7969273592338592E-3</v>
      </c>
      <c r="BH12" s="14">
        <v>2.1826671806017384E-2</v>
      </c>
      <c r="BI12" s="14">
        <v>-1.2021585944154665E-2</v>
      </c>
      <c r="BJ12" s="14">
        <v>8.8127907607180367E-2</v>
      </c>
      <c r="BK12" s="14">
        <v>-2.9927291017301877E-2</v>
      </c>
      <c r="BL12" s="14">
        <v>9.0271859542991967E-2</v>
      </c>
      <c r="BM12" s="14">
        <v>4.7779129192504058E-2</v>
      </c>
      <c r="BN12" s="14">
        <v>-7.8320012799862337E-4</v>
      </c>
      <c r="BO12" s="14">
        <v>-2.5143256003644116E-2</v>
      </c>
      <c r="BP12" s="14">
        <v>-2.2779986319071577E-2</v>
      </c>
      <c r="BQ12" s="14">
        <v>1.5483432696115452E-2</v>
      </c>
      <c r="BR12" s="14">
        <v>-1.0712013926007236E-3</v>
      </c>
      <c r="BS12" s="14">
        <v>2.6306703473371953E-3</v>
      </c>
      <c r="BT12" s="14">
        <v>-8.1831563765665943E-3</v>
      </c>
    </row>
    <row r="13" spans="1:72">
      <c r="A13" s="336" t="s">
        <v>83</v>
      </c>
      <c r="B13" s="342">
        <v>14.7</v>
      </c>
      <c r="C13" s="343">
        <v>8.1</v>
      </c>
      <c r="D13" s="344">
        <v>65.387718279566343</v>
      </c>
      <c r="E13" s="441">
        <v>493.2</v>
      </c>
      <c r="G13" s="38">
        <v>1</v>
      </c>
      <c r="H13" s="73">
        <f t="shared" si="0"/>
        <v>8.1</v>
      </c>
      <c r="I13" s="73">
        <f t="shared" si="0"/>
        <v>65.387718279566343</v>
      </c>
      <c r="J13" s="72">
        <f t="shared" si="0"/>
        <v>493.2</v>
      </c>
      <c r="L13" s="443">
        <f t="shared" si="1"/>
        <v>14.7</v>
      </c>
      <c r="N13" s="259">
        <v>-4.1572695969408705E-4</v>
      </c>
      <c r="O13" s="260">
        <v>-3.5093390713042477E-5</v>
      </c>
      <c r="P13" s="260">
        <v>3.9009315856594972E-6</v>
      </c>
      <c r="Q13" s="261">
        <v>8.2381260593320462E-7</v>
      </c>
      <c r="S13" s="443">
        <v>13.876437321067383</v>
      </c>
      <c r="U13" s="443">
        <f t="shared" si="2"/>
        <v>0.82356267893261581</v>
      </c>
      <c r="W13" s="14">
        <v>6.2616235674378462E-2</v>
      </c>
      <c r="X13" s="14">
        <v>3.6064601518519035E-2</v>
      </c>
      <c r="Y13" s="14">
        <v>3.0665873110402794E-3</v>
      </c>
      <c r="Z13" s="14">
        <v>3.3204483304538818E-2</v>
      </c>
      <c r="AA13" s="14">
        <v>1.0648809499369444E-2</v>
      </c>
      <c r="AB13" s="14">
        <v>-5.309837736765426E-3</v>
      </c>
      <c r="AC13" s="14">
        <v>1.4939806562999362E-2</v>
      </c>
      <c r="AD13" s="14">
        <v>3.9696772937100964E-2</v>
      </c>
      <c r="AE13" s="14">
        <v>1.6926599835065614E-2</v>
      </c>
      <c r="AF13" s="14">
        <v>6.5173297496244731E-2</v>
      </c>
      <c r="AG13" s="14">
        <v>0.13022306327180652</v>
      </c>
      <c r="AH13" s="14">
        <v>-1.8781627504395604E-3</v>
      </c>
      <c r="AI13" s="14">
        <v>2.5745958338259177E-2</v>
      </c>
      <c r="AJ13" s="14">
        <v>2.0143398772124219E-2</v>
      </c>
      <c r="AK13" s="14">
        <v>-1.8614863721200699E-2</v>
      </c>
      <c r="AL13" s="14">
        <v>5.7440364113539935E-3</v>
      </c>
      <c r="AM13" s="14">
        <v>1.2823538433943057E-2</v>
      </c>
      <c r="AN13" s="14">
        <v>7.3742984672225731E-2</v>
      </c>
      <c r="AO13" s="14">
        <v>-5.7454534147963338E-3</v>
      </c>
      <c r="AP13" s="14">
        <v>6.294128758724675E-2</v>
      </c>
      <c r="AQ13" s="14">
        <v>-8.9283480899286644E-3</v>
      </c>
      <c r="AR13" s="14">
        <v>2.1994411948962039E-2</v>
      </c>
      <c r="AS13" s="14">
        <v>-6.0732951314734444E-3</v>
      </c>
      <c r="AT13" s="14">
        <v>0.1064967656359688</v>
      </c>
      <c r="AU13" s="14">
        <v>1.4645007876713398E-2</v>
      </c>
      <c r="AV13" s="14">
        <v>-3.6978720242059858E-3</v>
      </c>
      <c r="AW13" s="14">
        <v>-8.115108513850328E-3</v>
      </c>
      <c r="AX13" s="14">
        <v>5.2072624211021157E-3</v>
      </c>
      <c r="AY13" s="14">
        <v>-6.3139461180651002E-3</v>
      </c>
      <c r="AZ13" s="14">
        <v>2.4039006301867338E-2</v>
      </c>
      <c r="BA13" s="14">
        <v>-3.8526564653915685E-3</v>
      </c>
      <c r="BB13" s="14">
        <v>2.7482575625702138E-2</v>
      </c>
      <c r="BC13" s="14">
        <v>4.7198670391093947E-2</v>
      </c>
      <c r="BD13" s="14">
        <v>-1.5452031798812715E-4</v>
      </c>
      <c r="BE13" s="14">
        <v>2.5136802017809559E-2</v>
      </c>
      <c r="BF13" s="14">
        <v>3.5654803656483408E-2</v>
      </c>
      <c r="BG13" s="14">
        <v>-5.7196304513634395E-3</v>
      </c>
      <c r="BH13" s="14">
        <v>1.9008421544456131E-2</v>
      </c>
      <c r="BI13" s="14">
        <v>5.7826868904834808E-3</v>
      </c>
      <c r="BJ13" s="14">
        <v>4.9054672662880563E-2</v>
      </c>
      <c r="BK13" s="14">
        <v>1.6001125800271104E-2</v>
      </c>
      <c r="BL13" s="14">
        <v>2.7306987512050504E-2</v>
      </c>
      <c r="BM13" s="14">
        <v>9.2817592826440823E-3</v>
      </c>
      <c r="BN13" s="14">
        <v>-1.3511984586186104E-2</v>
      </c>
      <c r="BO13" s="14">
        <v>-1.3352362347173831E-2</v>
      </c>
      <c r="BP13" s="14">
        <v>4.7653721034997445E-2</v>
      </c>
      <c r="BQ13" s="14">
        <v>-1.7918543254726287E-3</v>
      </c>
      <c r="BR13" s="14">
        <v>2.3995998230142493E-3</v>
      </c>
      <c r="BS13" s="14">
        <v>3.4274842799248487E-3</v>
      </c>
      <c r="BT13" s="14">
        <v>1.5866696616670395E-3</v>
      </c>
    </row>
    <row r="14" spans="1:72">
      <c r="A14" s="336" t="s">
        <v>84</v>
      </c>
      <c r="B14" s="342">
        <v>9.1</v>
      </c>
      <c r="C14" s="343">
        <v>5.6</v>
      </c>
      <c r="D14" s="344">
        <v>29.667333748383395</v>
      </c>
      <c r="E14" s="441">
        <v>272.8</v>
      </c>
      <c r="G14" s="38">
        <v>1</v>
      </c>
      <c r="H14" s="73">
        <f t="shared" si="0"/>
        <v>5.6</v>
      </c>
      <c r="I14" s="73">
        <f t="shared" si="0"/>
        <v>29.667333748383395</v>
      </c>
      <c r="J14" s="72">
        <f t="shared" si="0"/>
        <v>272.8</v>
      </c>
      <c r="L14" s="443">
        <f t="shared" si="1"/>
        <v>9.1</v>
      </c>
      <c r="S14" s="443">
        <v>9.067103150550091</v>
      </c>
      <c r="U14" s="443">
        <f t="shared" si="2"/>
        <v>3.2896849449908672E-2</v>
      </c>
      <c r="W14" s="14">
        <v>5.1146073958650985E-2</v>
      </c>
      <c r="X14" s="14">
        <v>6.9950398172743955E-2</v>
      </c>
      <c r="Y14" s="14">
        <v>-3.4175507046628847E-2</v>
      </c>
      <c r="Z14" s="14">
        <v>-5.8093816041565841E-2</v>
      </c>
      <c r="AA14" s="14">
        <v>0.10879105607449738</v>
      </c>
      <c r="AB14" s="14">
        <v>-7.9012774319552233E-3</v>
      </c>
      <c r="AC14" s="14">
        <v>5.8156802299452401E-2</v>
      </c>
      <c r="AD14" s="14">
        <v>-2.4909654644343464E-2</v>
      </c>
      <c r="AE14" s="14">
        <v>-5.880903674762672E-2</v>
      </c>
      <c r="AF14" s="14">
        <v>0.1302230632718063</v>
      </c>
      <c r="AG14" s="14">
        <v>0.65842285447892868</v>
      </c>
      <c r="AH14" s="14">
        <v>-6.8432321783420624E-2</v>
      </c>
      <c r="AI14" s="14">
        <v>-8.1573149690913893E-5</v>
      </c>
      <c r="AJ14" s="14">
        <v>-6.4818862685659409E-2</v>
      </c>
      <c r="AK14" s="14">
        <v>-2.0228747148853629E-2</v>
      </c>
      <c r="AL14" s="14">
        <v>-7.3675123571044346E-2</v>
      </c>
      <c r="AM14" s="14">
        <v>-5.7452623114076534E-2</v>
      </c>
      <c r="AN14" s="14">
        <v>9.7833889273417525E-3</v>
      </c>
      <c r="AO14" s="14">
        <v>-3.7330886715315696E-2</v>
      </c>
      <c r="AP14" s="14">
        <v>0.11454014160618672</v>
      </c>
      <c r="AQ14" s="14">
        <v>3.8153173470709498E-2</v>
      </c>
      <c r="AR14" s="14">
        <v>-2.6222086926460636E-2</v>
      </c>
      <c r="AS14" s="14">
        <v>3.2770532916327394E-2</v>
      </c>
      <c r="AT14" s="14">
        <v>0.15010336860345963</v>
      </c>
      <c r="AU14" s="14">
        <v>-5.8901973172933123E-2</v>
      </c>
      <c r="AV14" s="14">
        <v>-2.8088435043157021E-3</v>
      </c>
      <c r="AW14" s="14">
        <v>-9.6380183276167462E-3</v>
      </c>
      <c r="AX14" s="14">
        <v>-4.693235155183581E-2</v>
      </c>
      <c r="AY14" s="14">
        <v>-2.6023287708384076E-2</v>
      </c>
      <c r="AZ14" s="14">
        <v>0.15058485730038368</v>
      </c>
      <c r="BA14" s="14">
        <v>-3.5971817648295795E-2</v>
      </c>
      <c r="BB14" s="14">
        <v>0.15200159175183353</v>
      </c>
      <c r="BC14" s="14">
        <v>4.605758886564195E-2</v>
      </c>
      <c r="BD14" s="14">
        <v>2.6724545551753194E-2</v>
      </c>
      <c r="BE14" s="14">
        <v>-2.5919475030041265E-2</v>
      </c>
      <c r="BF14" s="14">
        <v>-4.4827728533978007E-3</v>
      </c>
      <c r="BG14" s="14">
        <v>1.101146396709124E-2</v>
      </c>
      <c r="BH14" s="14">
        <v>-4.6006407605902543E-2</v>
      </c>
      <c r="BI14" s="14">
        <v>2.4425577058676356E-2</v>
      </c>
      <c r="BJ14" s="14">
        <v>3.7289399333508763E-3</v>
      </c>
      <c r="BK14" s="14">
        <v>1.5770490507701455E-2</v>
      </c>
      <c r="BL14" s="14">
        <v>-0.12143731211287674</v>
      </c>
      <c r="BM14" s="14">
        <v>9.0266569097170977E-3</v>
      </c>
      <c r="BN14" s="14">
        <v>9.4749664453359101E-3</v>
      </c>
      <c r="BO14" s="14">
        <v>-1.1654477769309023E-2</v>
      </c>
      <c r="BP14" s="14">
        <v>0.14369160923558549</v>
      </c>
      <c r="BQ14" s="14">
        <v>8.8805119566840243E-2</v>
      </c>
      <c r="BR14" s="14">
        <v>-9.8044149736477279E-2</v>
      </c>
      <c r="BS14" s="14">
        <v>-1.5933240222914681E-2</v>
      </c>
      <c r="BT14" s="14">
        <v>-6.7458616623045364E-2</v>
      </c>
    </row>
    <row r="15" spans="1:72" ht="18.75">
      <c r="A15" s="336" t="s">
        <v>85</v>
      </c>
      <c r="B15" s="342">
        <v>12.6</v>
      </c>
      <c r="C15" s="343">
        <v>6.8</v>
      </c>
      <c r="D15" s="344">
        <v>94.600660447193093</v>
      </c>
      <c r="E15" s="441">
        <v>239.4</v>
      </c>
      <c r="G15" s="38">
        <v>1</v>
      </c>
      <c r="H15" s="73">
        <f t="shared" si="0"/>
        <v>6.8</v>
      </c>
      <c r="I15" s="73">
        <f t="shared" si="0"/>
        <v>94.600660447193093</v>
      </c>
      <c r="J15" s="72">
        <f t="shared" si="0"/>
        <v>239.4</v>
      </c>
      <c r="L15" s="443">
        <f t="shared" si="1"/>
        <v>12.6</v>
      </c>
      <c r="N15" s="754" t="s">
        <v>664</v>
      </c>
      <c r="O15" s="754"/>
      <c r="P15" s="754"/>
      <c r="Q15" s="754"/>
      <c r="S15" s="443">
        <v>12.913696631816164</v>
      </c>
      <c r="U15" s="443">
        <f t="shared" si="2"/>
        <v>-0.31369663181616403</v>
      </c>
      <c r="W15" s="14">
        <v>2.0995996047604392E-2</v>
      </c>
      <c r="X15" s="14">
        <v>-2.0565903482489024E-2</v>
      </c>
      <c r="Y15" s="14">
        <v>1.642717480174026E-2</v>
      </c>
      <c r="Z15" s="14">
        <v>2.4857653463554931E-2</v>
      </c>
      <c r="AA15" s="14">
        <v>-1.83011435880314E-2</v>
      </c>
      <c r="AB15" s="14">
        <v>2.6338188179907761E-2</v>
      </c>
      <c r="AC15" s="14">
        <v>3.0577178596958472E-2</v>
      </c>
      <c r="AD15" s="14">
        <v>-2.2138674453053009E-3</v>
      </c>
      <c r="AE15" s="14">
        <v>-6.4199652587192471E-3</v>
      </c>
      <c r="AF15" s="14">
        <v>-1.8781627504393245E-3</v>
      </c>
      <c r="AG15" s="14">
        <v>-6.843232178342086E-2</v>
      </c>
      <c r="AH15" s="14">
        <v>5.5594964879153816E-2</v>
      </c>
      <c r="AI15" s="14">
        <v>9.1358187098164439E-3</v>
      </c>
      <c r="AJ15" s="14">
        <v>4.8899909296666079E-2</v>
      </c>
      <c r="AK15" s="14">
        <v>3.2111851492427124E-2</v>
      </c>
      <c r="AL15" s="14">
        <v>3.0109049285398197E-2</v>
      </c>
      <c r="AM15" s="14">
        <v>5.0219301384500523E-2</v>
      </c>
      <c r="AN15" s="14">
        <v>-4.6697383753906974E-3</v>
      </c>
      <c r="AO15" s="14">
        <v>6.4017609607721959E-2</v>
      </c>
      <c r="AP15" s="14">
        <v>-1.9355965966168145E-2</v>
      </c>
      <c r="AQ15" s="14">
        <v>3.5943849411335174E-3</v>
      </c>
      <c r="AR15" s="14">
        <v>1.3366090080138192E-2</v>
      </c>
      <c r="AS15" s="14">
        <v>2.5133126220983813E-2</v>
      </c>
      <c r="AT15" s="14">
        <v>3.4223509616441536E-2</v>
      </c>
      <c r="AU15" s="14">
        <v>2.2529229152793213E-2</v>
      </c>
      <c r="AV15" s="14">
        <v>3.3929085475746426E-2</v>
      </c>
      <c r="AW15" s="14">
        <v>3.2022441854925796E-2</v>
      </c>
      <c r="AX15" s="14">
        <v>-1.655519923719273E-2</v>
      </c>
      <c r="AY15" s="14">
        <v>5.8704451721185456E-2</v>
      </c>
      <c r="AZ15" s="14">
        <v>2.977601288228094E-3</v>
      </c>
      <c r="BA15" s="14">
        <v>-1.0070685014694172E-2</v>
      </c>
      <c r="BB15" s="14">
        <v>-7.8003580233037655E-3</v>
      </c>
      <c r="BC15" s="14">
        <v>1.4763188785386676E-2</v>
      </c>
      <c r="BD15" s="14">
        <v>4.8260211899908083E-2</v>
      </c>
      <c r="BE15" s="14">
        <v>4.0544574474354195E-2</v>
      </c>
      <c r="BF15" s="14">
        <v>1.7806985367374562E-2</v>
      </c>
      <c r="BG15" s="14">
        <v>3.0216207693418051E-2</v>
      </c>
      <c r="BH15" s="14">
        <v>3.3084028530399184E-2</v>
      </c>
      <c r="BI15" s="14">
        <v>3.9077248047899055E-2</v>
      </c>
      <c r="BJ15" s="14">
        <v>-1.9109441830295316E-2</v>
      </c>
      <c r="BK15" s="14">
        <v>5.2125063966866697E-2</v>
      </c>
      <c r="BL15" s="14">
        <v>6.546528604506982E-3</v>
      </c>
      <c r="BM15" s="14">
        <v>5.0108853595308527E-3</v>
      </c>
      <c r="BN15" s="14">
        <v>3.529350996761265E-2</v>
      </c>
      <c r="BO15" s="14">
        <v>5.5074376945484158E-2</v>
      </c>
      <c r="BP15" s="14">
        <v>2.0057471757855411E-2</v>
      </c>
      <c r="BQ15" s="14">
        <v>8.0171969891840045E-3</v>
      </c>
      <c r="BR15" s="14">
        <v>5.8628724486448971E-2</v>
      </c>
      <c r="BS15" s="14">
        <v>3.8618123914598387E-2</v>
      </c>
      <c r="BT15" s="14">
        <v>5.648380986759842E-2</v>
      </c>
    </row>
    <row r="16" spans="1:72">
      <c r="A16" s="336" t="s">
        <v>86</v>
      </c>
      <c r="B16" s="342">
        <v>12.2</v>
      </c>
      <c r="C16" s="343">
        <v>7.3</v>
      </c>
      <c r="D16" s="344">
        <v>79.13310968601246</v>
      </c>
      <c r="E16" s="441">
        <v>533.20000000000005</v>
      </c>
      <c r="G16" s="38">
        <v>1</v>
      </c>
      <c r="H16" s="73">
        <f t="shared" si="0"/>
        <v>7.3</v>
      </c>
      <c r="I16" s="73">
        <f t="shared" si="0"/>
        <v>79.13310968601246</v>
      </c>
      <c r="J16" s="72">
        <f t="shared" si="0"/>
        <v>533.20000000000005</v>
      </c>
      <c r="L16" s="443">
        <f t="shared" si="1"/>
        <v>12.2</v>
      </c>
      <c r="N16" s="256">
        <f t="array" ref="N16:Q19">O23*N10:Q13</f>
        <v>8.074898057626708</v>
      </c>
      <c r="O16" s="257">
        <v>-0.37121628203055157</v>
      </c>
      <c r="P16" s="257">
        <v>-6.0422295635254031E-2</v>
      </c>
      <c r="Q16" s="258">
        <v>-1.2883049475180071E-3</v>
      </c>
      <c r="S16" s="443">
        <v>13.409129334359204</v>
      </c>
      <c r="U16" s="443">
        <f t="shared" si="2"/>
        <v>-1.2091293343592042</v>
      </c>
      <c r="W16" s="14">
        <v>2.4454727531805928E-2</v>
      </c>
      <c r="X16" s="14">
        <v>3.7636046225710471E-2</v>
      </c>
      <c r="Y16" s="14">
        <v>2.5816978624192757E-2</v>
      </c>
      <c r="Z16" s="14">
        <v>3.1449564157525707E-2</v>
      </c>
      <c r="AA16" s="14">
        <v>2.5343688774788972E-2</v>
      </c>
      <c r="AB16" s="14">
        <v>1.506992850779783E-2</v>
      </c>
      <c r="AC16" s="14">
        <v>7.9507395287218147E-3</v>
      </c>
      <c r="AD16" s="14">
        <v>4.2308328152820374E-2</v>
      </c>
      <c r="AE16" s="14">
        <v>4.4293926833662664E-2</v>
      </c>
      <c r="AF16" s="14">
        <v>2.5745958338259416E-2</v>
      </c>
      <c r="AG16" s="14">
        <v>-8.1573149691788194E-5</v>
      </c>
      <c r="AH16" s="14">
        <v>9.1358187098167093E-3</v>
      </c>
      <c r="AI16" s="14">
        <v>2.9786711421021038E-2</v>
      </c>
      <c r="AJ16" s="14">
        <v>1.697215503840184E-2</v>
      </c>
      <c r="AK16" s="14">
        <v>1.0871539270145628E-2</v>
      </c>
      <c r="AL16" s="14">
        <v>2.4865665222898892E-2</v>
      </c>
      <c r="AM16" s="14">
        <v>1.3625365458637489E-2</v>
      </c>
      <c r="AN16" s="14">
        <v>4.61735386387764E-2</v>
      </c>
      <c r="AO16" s="14">
        <v>-5.2500663767852951E-4</v>
      </c>
      <c r="AP16" s="14">
        <v>3.6603627546589128E-2</v>
      </c>
      <c r="AQ16" s="14">
        <v>1.9615524812234858E-2</v>
      </c>
      <c r="AR16" s="14">
        <v>3.0458646242272368E-2</v>
      </c>
      <c r="AS16" s="14">
        <v>9.7625450090580781E-3</v>
      </c>
      <c r="AT16" s="14">
        <v>1.3184526831121507E-2</v>
      </c>
      <c r="AU16" s="14">
        <v>2.8689611372395812E-2</v>
      </c>
      <c r="AV16" s="14">
        <v>1.0739663920097474E-2</v>
      </c>
      <c r="AW16" s="14">
        <v>1.17301924726145E-2</v>
      </c>
      <c r="AX16" s="14">
        <v>4.5318428646434428E-2</v>
      </c>
      <c r="AY16" s="14">
        <v>5.2005124029416705E-4</v>
      </c>
      <c r="AZ16" s="14">
        <v>1.1257437048659568E-2</v>
      </c>
      <c r="BA16" s="14">
        <v>3.838162844688757E-2</v>
      </c>
      <c r="BB16" s="14">
        <v>1.744270533181335E-2</v>
      </c>
      <c r="BC16" s="14">
        <v>2.5032787568415007E-2</v>
      </c>
      <c r="BD16" s="14">
        <v>-1.5044182136991768E-4</v>
      </c>
      <c r="BE16" s="14">
        <v>1.69181114280679E-2</v>
      </c>
      <c r="BF16" s="14">
        <v>2.806739023984435E-2</v>
      </c>
      <c r="BG16" s="14">
        <v>1.0272552677175853E-2</v>
      </c>
      <c r="BH16" s="14">
        <v>2.231156322726267E-2</v>
      </c>
      <c r="BI16" s="14">
        <v>6.2786099878125098E-3</v>
      </c>
      <c r="BJ16" s="14">
        <v>4.9130349133226517E-2</v>
      </c>
      <c r="BK16" s="14">
        <v>2.9457367769477744E-3</v>
      </c>
      <c r="BL16" s="14">
        <v>4.8693981987963555E-2</v>
      </c>
      <c r="BM16" s="14">
        <v>2.7020108026972769E-2</v>
      </c>
      <c r="BN16" s="14">
        <v>6.1222249738918377E-3</v>
      </c>
      <c r="BO16" s="14">
        <v>-1.1736891933730176E-3</v>
      </c>
      <c r="BP16" s="14">
        <v>8.521876745723217E-3</v>
      </c>
      <c r="BQ16" s="14">
        <v>1.1695378812398214E-2</v>
      </c>
      <c r="BR16" s="14">
        <v>1.2694339200032372E-2</v>
      </c>
      <c r="BS16" s="14">
        <v>1.1723179692180025E-2</v>
      </c>
      <c r="BT16" s="14">
        <v>9.2972509687467841E-3</v>
      </c>
    </row>
    <row r="17" spans="1:72">
      <c r="A17" s="336" t="s">
        <v>87</v>
      </c>
      <c r="B17" s="342">
        <v>13.1</v>
      </c>
      <c r="C17" s="343">
        <v>8</v>
      </c>
      <c r="D17" s="344">
        <v>88.000000627274659</v>
      </c>
      <c r="E17" s="441">
        <v>333.6</v>
      </c>
      <c r="G17" s="38">
        <v>1</v>
      </c>
      <c r="H17" s="73">
        <f t="shared" si="0"/>
        <v>8</v>
      </c>
      <c r="I17" s="73">
        <f t="shared" si="0"/>
        <v>88.000000627274659</v>
      </c>
      <c r="J17" s="72">
        <f t="shared" si="0"/>
        <v>333.6</v>
      </c>
      <c r="L17" s="443">
        <f t="shared" si="1"/>
        <v>13.1</v>
      </c>
      <c r="N17" s="38">
        <v>-0.37121628203054607</v>
      </c>
      <c r="O17" s="73">
        <v>4.591101732459571E-2</v>
      </c>
      <c r="P17" s="73">
        <v>1.2438798699527451E-3</v>
      </c>
      <c r="Q17" s="72">
        <v>-1.087516405336473E-4</v>
      </c>
      <c r="S17" s="443">
        <v>14.343063758629178</v>
      </c>
      <c r="U17" s="443">
        <f t="shared" si="2"/>
        <v>-1.2430637586291784</v>
      </c>
      <c r="W17" s="14">
        <v>5.1118636738207102E-2</v>
      </c>
      <c r="X17" s="14">
        <v>-1.3044008629150491E-2</v>
      </c>
      <c r="Y17" s="14">
        <v>1.0386508461014E-2</v>
      </c>
      <c r="Z17" s="14">
        <v>4.6230001663519843E-2</v>
      </c>
      <c r="AA17" s="14">
        <v>-3.68328516213033E-2</v>
      </c>
      <c r="AB17" s="14">
        <v>9.5054806297760856E-3</v>
      </c>
      <c r="AC17" s="14">
        <v>2.0792320848137646E-2</v>
      </c>
      <c r="AD17" s="14">
        <v>2.0776929840092863E-2</v>
      </c>
      <c r="AE17" s="14">
        <v>3.0092111992688075E-3</v>
      </c>
      <c r="AF17" s="14">
        <v>2.0143398772124586E-2</v>
      </c>
      <c r="AG17" s="14">
        <v>-6.4818862685659007E-2</v>
      </c>
      <c r="AH17" s="14">
        <v>4.8899909296666016E-2</v>
      </c>
      <c r="AI17" s="14">
        <v>1.6972155038401548E-2</v>
      </c>
      <c r="AJ17" s="14">
        <v>5.9767141776793375E-2</v>
      </c>
      <c r="AK17" s="14">
        <v>6.0166673387317526E-3</v>
      </c>
      <c r="AL17" s="14">
        <v>3.1233990919890684E-2</v>
      </c>
      <c r="AM17" s="14">
        <v>5.4090140556918492E-2</v>
      </c>
      <c r="AN17" s="14">
        <v>4.113930456891992E-2</v>
      </c>
      <c r="AO17" s="14">
        <v>4.9562351038894038E-2</v>
      </c>
      <c r="AP17" s="14">
        <v>3.6726301405758527E-3</v>
      </c>
      <c r="AQ17" s="14">
        <v>-2.1749385016845882E-2</v>
      </c>
      <c r="AR17" s="14">
        <v>2.1648800453469619E-2</v>
      </c>
      <c r="AS17" s="14">
        <v>2.0694693229741734E-3</v>
      </c>
      <c r="AT17" s="14">
        <v>8.5618315157077227E-2</v>
      </c>
      <c r="AU17" s="14">
        <v>2.907751827565817E-2</v>
      </c>
      <c r="AV17" s="14">
        <v>1.7418121202591536E-2</v>
      </c>
      <c r="AW17" s="14">
        <v>1.295526682235857E-2</v>
      </c>
      <c r="AX17" s="14">
        <v>-1.789596869557343E-2</v>
      </c>
      <c r="AY17" s="14">
        <v>4.2408637132704617E-2</v>
      </c>
      <c r="AZ17" s="14">
        <v>-1.1299532355360006E-2</v>
      </c>
      <c r="BA17" s="14">
        <v>-2.0502873082507589E-2</v>
      </c>
      <c r="BB17" s="14">
        <v>-1.9097656545269459E-2</v>
      </c>
      <c r="BC17" s="14">
        <v>3.3341158240850891E-2</v>
      </c>
      <c r="BD17" s="14">
        <v>2.9991020945935844E-2</v>
      </c>
      <c r="BE17" s="14">
        <v>5.0345217995781177E-2</v>
      </c>
      <c r="BF17" s="14">
        <v>3.3961256220405245E-2</v>
      </c>
      <c r="BG17" s="14">
        <v>1.0281159655924152E-2</v>
      </c>
      <c r="BH17" s="14">
        <v>4.0988398009384072E-2</v>
      </c>
      <c r="BI17" s="14">
        <v>2.6265143232800658E-2</v>
      </c>
      <c r="BJ17" s="14">
        <v>8.083098542318673E-3</v>
      </c>
      <c r="BK17" s="14">
        <v>4.8314760521353202E-2</v>
      </c>
      <c r="BL17" s="14">
        <v>3.2618136896780212E-2</v>
      </c>
      <c r="BM17" s="14">
        <v>-1.5952592167781804E-3</v>
      </c>
      <c r="BN17" s="14">
        <v>9.0819186160297286E-3</v>
      </c>
      <c r="BO17" s="14">
        <v>3.1215078930287313E-2</v>
      </c>
      <c r="BP17" s="14">
        <v>2.5233211514769767E-2</v>
      </c>
      <c r="BQ17" s="14">
        <v>-1.875551094661821E-2</v>
      </c>
      <c r="BR17" s="14">
        <v>5.9404458883537042E-2</v>
      </c>
      <c r="BS17" s="14">
        <v>2.9529623626212198E-2</v>
      </c>
      <c r="BT17" s="14">
        <v>5.2425359767929218E-2</v>
      </c>
    </row>
    <row r="18" spans="1:72">
      <c r="A18" s="336" t="s">
        <v>88</v>
      </c>
      <c r="B18" s="342">
        <v>11.5</v>
      </c>
      <c r="C18" s="343">
        <v>5.0999999999999996</v>
      </c>
      <c r="D18" s="344">
        <v>94.170464820794294</v>
      </c>
      <c r="E18" s="441">
        <v>294.7</v>
      </c>
      <c r="G18" s="38">
        <v>1</v>
      </c>
      <c r="H18" s="73">
        <f t="shared" si="0"/>
        <v>5.0999999999999996</v>
      </c>
      <c r="I18" s="73">
        <f t="shared" si="0"/>
        <v>94.170464820794294</v>
      </c>
      <c r="J18" s="72">
        <f t="shared" si="0"/>
        <v>294.7</v>
      </c>
      <c r="L18" s="443">
        <f t="shared" si="1"/>
        <v>11.5</v>
      </c>
      <c r="N18" s="38">
        <v>-6.0422295635254364E-2</v>
      </c>
      <c r="O18" s="73">
        <v>1.243879869952801E-3</v>
      </c>
      <c r="P18" s="73">
        <v>5.7341932119221381E-4</v>
      </c>
      <c r="Q18" s="72">
        <v>1.2088678264773905E-5</v>
      </c>
      <c r="S18" s="443">
        <v>10.801749432233887</v>
      </c>
      <c r="U18" s="443">
        <f t="shared" si="2"/>
        <v>0.69825056776611305</v>
      </c>
      <c r="W18" s="14">
        <v>-2.8070337906425678E-2</v>
      </c>
      <c r="X18" s="14">
        <v>9.990770084884304E-3</v>
      </c>
      <c r="Y18" s="14">
        <v>3.3476212012683706E-2</v>
      </c>
      <c r="Z18" s="14">
        <v>-7.4607789067452236E-3</v>
      </c>
      <c r="AA18" s="14">
        <v>4.6486875677023178E-2</v>
      </c>
      <c r="AB18" s="14">
        <v>4.6765908435432248E-2</v>
      </c>
      <c r="AC18" s="14">
        <v>3.0830617344405911E-2</v>
      </c>
      <c r="AD18" s="14">
        <v>-8.9668146736376977E-3</v>
      </c>
      <c r="AE18" s="14">
        <v>1.4555413403082418E-2</v>
      </c>
      <c r="AF18" s="14">
        <v>-1.8614863721201021E-2</v>
      </c>
      <c r="AG18" s="14">
        <v>-2.0228747148856197E-2</v>
      </c>
      <c r="AH18" s="14">
        <v>3.2111851492427207E-2</v>
      </c>
      <c r="AI18" s="14">
        <v>1.0871539270145305E-2</v>
      </c>
      <c r="AJ18" s="14">
        <v>6.0166673387318133E-3</v>
      </c>
      <c r="AK18" s="14">
        <v>6.0997852156583418E-2</v>
      </c>
      <c r="AL18" s="14">
        <v>2.3741920253583241E-2</v>
      </c>
      <c r="AM18" s="14">
        <v>1.5948841825566044E-2</v>
      </c>
      <c r="AN18" s="14">
        <v>-4.5779517209673368E-2</v>
      </c>
      <c r="AO18" s="14">
        <v>4.0637270542088107E-2</v>
      </c>
      <c r="AP18" s="14">
        <v>-1.6879873085052441E-2</v>
      </c>
      <c r="AQ18" s="14">
        <v>5.9185875745619114E-2</v>
      </c>
      <c r="AR18" s="14">
        <v>1.1541835011973457E-2</v>
      </c>
      <c r="AS18" s="14">
        <v>5.346745312809701E-2</v>
      </c>
      <c r="AT18" s="14">
        <v>-6.9048927011411187E-2</v>
      </c>
      <c r="AU18" s="14">
        <v>1.5384380694920066E-2</v>
      </c>
      <c r="AV18" s="14">
        <v>4.4982839806217118E-2</v>
      </c>
      <c r="AW18" s="14">
        <v>4.9584512271710943E-2</v>
      </c>
      <c r="AX18" s="14">
        <v>3.1298401188884814E-2</v>
      </c>
      <c r="AY18" s="14">
        <v>4.3275286774941385E-2</v>
      </c>
      <c r="AZ18" s="14">
        <v>3.4434356974179917E-2</v>
      </c>
      <c r="BA18" s="14">
        <v>4.3520496381790466E-2</v>
      </c>
      <c r="BB18" s="14">
        <v>3.1131938690153581E-2</v>
      </c>
      <c r="BC18" s="14">
        <v>-9.4185179718436225E-3</v>
      </c>
      <c r="BD18" s="14">
        <v>4.378497980191793E-2</v>
      </c>
      <c r="BE18" s="14">
        <v>5.8826396573465924E-3</v>
      </c>
      <c r="BF18" s="14">
        <v>-2.5037287136133665E-3</v>
      </c>
      <c r="BG18" s="14">
        <v>4.9648828354169831E-2</v>
      </c>
      <c r="BH18" s="14">
        <v>1.1110510678135061E-2</v>
      </c>
      <c r="BI18" s="14">
        <v>3.6791983322300797E-2</v>
      </c>
      <c r="BJ18" s="14">
        <v>-1.531759653645421E-2</v>
      </c>
      <c r="BK18" s="14">
        <v>2.2145625510074214E-2</v>
      </c>
      <c r="BL18" s="14">
        <v>-7.8246499923598639E-3</v>
      </c>
      <c r="BM18" s="14">
        <v>3.264970005550101E-2</v>
      </c>
      <c r="BN18" s="14">
        <v>5.8663158925531207E-2</v>
      </c>
      <c r="BO18" s="14">
        <v>5.4175264191624731E-2</v>
      </c>
      <c r="BP18" s="14">
        <v>3.3036671317400457E-3</v>
      </c>
      <c r="BQ18" s="14">
        <v>5.7195357997291418E-2</v>
      </c>
      <c r="BR18" s="14">
        <v>2.2514226410265216E-2</v>
      </c>
      <c r="BS18" s="14">
        <v>3.4078172603303876E-2</v>
      </c>
      <c r="BT18" s="14">
        <v>2.7931121732954693E-2</v>
      </c>
    </row>
    <row r="19" spans="1:72">
      <c r="A19" s="336" t="s">
        <v>89</v>
      </c>
      <c r="B19" s="342">
        <v>11.3</v>
      </c>
      <c r="C19" s="343">
        <v>7.1</v>
      </c>
      <c r="D19" s="344">
        <v>88.703716524620162</v>
      </c>
      <c r="E19" s="441">
        <v>452.7</v>
      </c>
      <c r="G19" s="38">
        <v>1</v>
      </c>
      <c r="H19" s="73">
        <f t="shared" si="0"/>
        <v>7.1</v>
      </c>
      <c r="I19" s="73">
        <f t="shared" si="0"/>
        <v>88.703716524620162</v>
      </c>
      <c r="J19" s="72">
        <f t="shared" si="0"/>
        <v>452.7</v>
      </c>
      <c r="L19" s="443">
        <f t="shared" si="1"/>
        <v>11.3</v>
      </c>
      <c r="N19" s="259">
        <v>-1.288304947518042E-3</v>
      </c>
      <c r="O19" s="260">
        <v>-1.0875164053364464E-4</v>
      </c>
      <c r="P19" s="260">
        <v>1.2088678264774105E-5</v>
      </c>
      <c r="Q19" s="261">
        <v>2.5529300693716203E-6</v>
      </c>
      <c r="S19" s="443">
        <v>13.386495433605702</v>
      </c>
      <c r="U19" s="443">
        <f t="shared" si="2"/>
        <v>-2.0864954336057018</v>
      </c>
      <c r="W19" s="14">
        <v>1.6542194515763109E-2</v>
      </c>
      <c r="X19" s="14">
        <v>1.6707214352552055E-2</v>
      </c>
      <c r="Y19" s="14">
        <v>2.882122088385379E-2</v>
      </c>
      <c r="Z19" s="14">
        <v>3.332883198692578E-2</v>
      </c>
      <c r="AA19" s="14">
        <v>8.7053011953043685E-3</v>
      </c>
      <c r="AB19" s="14">
        <v>2.2888921985424512E-2</v>
      </c>
      <c r="AC19" s="14">
        <v>1.2127693251371828E-2</v>
      </c>
      <c r="AD19" s="14">
        <v>3.0964335149984035E-2</v>
      </c>
      <c r="AE19" s="14">
        <v>3.61462037912086E-2</v>
      </c>
      <c r="AF19" s="14">
        <v>5.7440364113542225E-3</v>
      </c>
      <c r="AG19" s="14">
        <v>-7.3675123571045303E-2</v>
      </c>
      <c r="AH19" s="14">
        <v>3.0109049285398329E-2</v>
      </c>
      <c r="AI19" s="14">
        <v>2.4865665222898674E-2</v>
      </c>
      <c r="AJ19" s="14">
        <v>3.1233990919890903E-2</v>
      </c>
      <c r="AK19" s="14">
        <v>2.3741920253583158E-2</v>
      </c>
      <c r="AL19" s="14">
        <v>3.4147158740265901E-2</v>
      </c>
      <c r="AM19" s="14">
        <v>2.9504784582456089E-2</v>
      </c>
      <c r="AN19" s="14">
        <v>2.6893281386456136E-2</v>
      </c>
      <c r="AO19" s="14">
        <v>2.3725925512537452E-2</v>
      </c>
      <c r="AP19" s="14">
        <v>1.0226241224483332E-2</v>
      </c>
      <c r="AQ19" s="14">
        <v>1.7402872979331817E-2</v>
      </c>
      <c r="AR19" s="14">
        <v>2.8668951579450701E-2</v>
      </c>
      <c r="AS19" s="14">
        <v>1.6079979980068264E-2</v>
      </c>
      <c r="AT19" s="14">
        <v>2.8258038750589298E-4</v>
      </c>
      <c r="AU19" s="14">
        <v>3.2876783715869488E-2</v>
      </c>
      <c r="AV19" s="14">
        <v>2.126338239384705E-2</v>
      </c>
      <c r="AW19" s="14">
        <v>2.2431439382565681E-2</v>
      </c>
      <c r="AX19" s="14">
        <v>3.4709500742945515E-2</v>
      </c>
      <c r="AY19" s="14">
        <v>2.2363736776915596E-2</v>
      </c>
      <c r="AZ19" s="14">
        <v>-1.2044550071042825E-4</v>
      </c>
      <c r="BA19" s="14">
        <v>3.1723088896612239E-2</v>
      </c>
      <c r="BB19" s="14">
        <v>9.8020583912690733E-4</v>
      </c>
      <c r="BC19" s="14">
        <v>1.7389140718351671E-2</v>
      </c>
      <c r="BD19" s="14">
        <v>1.4834700202737486E-2</v>
      </c>
      <c r="BE19" s="14">
        <v>2.577394725420179E-2</v>
      </c>
      <c r="BF19" s="14">
        <v>2.5111377559534097E-2</v>
      </c>
      <c r="BG19" s="14">
        <v>1.9232465310999404E-2</v>
      </c>
      <c r="BH19" s="14">
        <v>2.9725755078041514E-2</v>
      </c>
      <c r="BI19" s="14">
        <v>1.6504603232359215E-2</v>
      </c>
      <c r="BJ19" s="14">
        <v>2.8383967343822133E-2</v>
      </c>
      <c r="BK19" s="14">
        <v>1.7005817759449385E-2</v>
      </c>
      <c r="BL19" s="14">
        <v>4.5829080273397896E-2</v>
      </c>
      <c r="BM19" s="14">
        <v>2.3022522934606705E-2</v>
      </c>
      <c r="BN19" s="14">
        <v>1.8580576685539325E-2</v>
      </c>
      <c r="BO19" s="14">
        <v>2.0002129061726083E-2</v>
      </c>
      <c r="BP19" s="14">
        <v>2.4853184537132478E-4</v>
      </c>
      <c r="BQ19" s="14">
        <v>8.6404597165493438E-3</v>
      </c>
      <c r="BR19" s="14">
        <v>3.4998936114461775E-2</v>
      </c>
      <c r="BS19" s="14">
        <v>2.3301259316227167E-2</v>
      </c>
      <c r="BT19" s="14">
        <v>3.0003805338430514E-2</v>
      </c>
    </row>
    <row r="20" spans="1:72">
      <c r="A20" s="336" t="s">
        <v>90</v>
      </c>
      <c r="B20" s="342">
        <v>17.3</v>
      </c>
      <c r="C20" s="343">
        <v>7.5</v>
      </c>
      <c r="D20" s="344">
        <v>89.904327345935869</v>
      </c>
      <c r="E20" s="441">
        <v>295</v>
      </c>
      <c r="G20" s="38">
        <v>1</v>
      </c>
      <c r="H20" s="73">
        <f t="shared" ref="H20:H53" si="3">C20</f>
        <v>7.5</v>
      </c>
      <c r="I20" s="73">
        <f t="shared" ref="I20:I53" si="4">D20</f>
        <v>89.904327345935869</v>
      </c>
      <c r="J20" s="72">
        <f t="shared" ref="J20:J53" si="5">E20</f>
        <v>295</v>
      </c>
      <c r="L20" s="443">
        <f t="shared" si="1"/>
        <v>17.3</v>
      </c>
      <c r="S20" s="443">
        <v>13.717687401385813</v>
      </c>
      <c r="U20" s="443">
        <f t="shared" si="2"/>
        <v>3.5823125986141875</v>
      </c>
      <c r="W20" s="14">
        <v>3.9353690784259363E-2</v>
      </c>
      <c r="X20" s="14">
        <v>-1.5158186400628305E-2</v>
      </c>
      <c r="Y20" s="14">
        <v>1.215218282406802E-2</v>
      </c>
      <c r="Z20" s="14">
        <v>3.6564646075996993E-2</v>
      </c>
      <c r="AA20" s="14">
        <v>-2.7946284180377715E-2</v>
      </c>
      <c r="AB20" s="14">
        <v>1.5897263676291521E-2</v>
      </c>
      <c r="AC20" s="14">
        <v>2.5160221095028721E-2</v>
      </c>
      <c r="AD20" s="14">
        <v>1.1071664296703157E-2</v>
      </c>
      <c r="AE20" s="14">
        <v>-1.6292633855346517E-3</v>
      </c>
      <c r="AF20" s="14">
        <v>1.2823538433943436E-2</v>
      </c>
      <c r="AG20" s="14">
        <v>-5.7452623114076271E-2</v>
      </c>
      <c r="AH20" s="14">
        <v>5.0219301384500627E-2</v>
      </c>
      <c r="AI20" s="14">
        <v>1.3625365458637325E-2</v>
      </c>
      <c r="AJ20" s="14">
        <v>5.4090140556918645E-2</v>
      </c>
      <c r="AK20" s="14">
        <v>1.5948841825566166E-2</v>
      </c>
      <c r="AL20" s="14">
        <v>2.9504784582456058E-2</v>
      </c>
      <c r="AM20" s="14">
        <v>5.1322935547924581E-2</v>
      </c>
      <c r="AN20" s="14">
        <v>2.2686897306971654E-2</v>
      </c>
      <c r="AO20" s="14">
        <v>5.4356425009902072E-2</v>
      </c>
      <c r="AP20" s="14">
        <v>-4.1352655599180971E-3</v>
      </c>
      <c r="AQ20" s="14">
        <v>-1.1172909511893148E-2</v>
      </c>
      <c r="AR20" s="14">
        <v>1.7756303833141425E-2</v>
      </c>
      <c r="AS20" s="14">
        <v>1.1508079778281253E-2</v>
      </c>
      <c r="AT20" s="14">
        <v>6.6449415935997375E-2</v>
      </c>
      <c r="AU20" s="14">
        <v>2.5401480029320266E-2</v>
      </c>
      <c r="AV20" s="14">
        <v>2.3693329558927511E-2</v>
      </c>
      <c r="AW20" s="14">
        <v>2.0187516469919058E-2</v>
      </c>
      <c r="AX20" s="14">
        <v>-1.7964583307154572E-2</v>
      </c>
      <c r="AY20" s="14">
        <v>4.8127735915966835E-2</v>
      </c>
      <c r="AZ20" s="14">
        <v>-3.7388880314475469E-3</v>
      </c>
      <c r="BA20" s="14">
        <v>-1.6805329714980485E-2</v>
      </c>
      <c r="BB20" s="14">
        <v>-1.2647407653469847E-2</v>
      </c>
      <c r="BC20" s="14">
        <v>2.6213597515744196E-2</v>
      </c>
      <c r="BD20" s="14">
        <v>3.7257386170134119E-2</v>
      </c>
      <c r="BE20" s="14">
        <v>4.565686174244004E-2</v>
      </c>
      <c r="BF20" s="14">
        <v>2.7140636641291769E-2</v>
      </c>
      <c r="BG20" s="14">
        <v>1.8141903900781367E-2</v>
      </c>
      <c r="BH20" s="14">
        <v>3.6858302447236521E-2</v>
      </c>
      <c r="BI20" s="14">
        <v>3.136238073865745E-2</v>
      </c>
      <c r="BJ20" s="14">
        <v>-2.8333479036697709E-3</v>
      </c>
      <c r="BK20" s="14">
        <v>4.9577260962966031E-2</v>
      </c>
      <c r="BL20" s="14">
        <v>2.0366754083601502E-2</v>
      </c>
      <c r="BM20" s="14">
        <v>1.0332284903683125E-3</v>
      </c>
      <c r="BN20" s="14">
        <v>1.942145716449202E-2</v>
      </c>
      <c r="BO20" s="14">
        <v>4.0197060813844381E-2</v>
      </c>
      <c r="BP20" s="14">
        <v>2.4735495410835091E-2</v>
      </c>
      <c r="BQ20" s="14">
        <v>-6.9808193718321823E-3</v>
      </c>
      <c r="BR20" s="14">
        <v>5.730631666730647E-2</v>
      </c>
      <c r="BS20" s="14">
        <v>3.2607598176092628E-2</v>
      </c>
      <c r="BT20" s="14">
        <v>5.2686906828470159E-2</v>
      </c>
    </row>
    <row r="21" spans="1:72" ht="18">
      <c r="A21" s="336" t="s">
        <v>91</v>
      </c>
      <c r="B21" s="342">
        <v>17.3</v>
      </c>
      <c r="C21" s="343">
        <v>9.9</v>
      </c>
      <c r="D21" s="344">
        <v>64.839543701408999</v>
      </c>
      <c r="E21" s="441">
        <v>729.5</v>
      </c>
      <c r="G21" s="38">
        <v>1</v>
      </c>
      <c r="H21" s="73">
        <f t="shared" si="3"/>
        <v>9.9</v>
      </c>
      <c r="I21" s="73">
        <f t="shared" si="4"/>
        <v>64.839543701408999</v>
      </c>
      <c r="J21" s="72">
        <f t="shared" si="5"/>
        <v>729.5</v>
      </c>
      <c r="L21" s="443">
        <f t="shared" si="1"/>
        <v>17.3</v>
      </c>
      <c r="N21" s="14" t="s">
        <v>205</v>
      </c>
      <c r="O21" s="445">
        <f>DEVSQ(S4:S53)</f>
        <v>142.55035956637965</v>
      </c>
      <c r="S21" s="443">
        <v>16.495289411657197</v>
      </c>
      <c r="U21" s="443">
        <f t="shared" si="2"/>
        <v>0.80471058834280385</v>
      </c>
      <c r="W21" s="14">
        <v>9.0378957745861049E-2</v>
      </c>
      <c r="X21" s="14">
        <v>5.2658812680831876E-2</v>
      </c>
      <c r="Y21" s="14">
        <v>1.1997121023273535E-2</v>
      </c>
      <c r="Z21" s="14">
        <v>7.7473151503296811E-2</v>
      </c>
      <c r="AA21" s="14">
        <v>-1.5897064907781755E-2</v>
      </c>
      <c r="AB21" s="14">
        <v>-2.1557344151109402E-2</v>
      </c>
      <c r="AC21" s="14">
        <v>-1.2522626643235751E-2</v>
      </c>
      <c r="AD21" s="14">
        <v>9.0950085010507289E-2</v>
      </c>
      <c r="AE21" s="14">
        <v>6.290104080362402E-2</v>
      </c>
      <c r="AF21" s="14">
        <v>7.3742984672226078E-2</v>
      </c>
      <c r="AG21" s="14">
        <v>9.7833889273427621E-3</v>
      </c>
      <c r="AH21" s="14">
        <v>-4.66973837539085E-3</v>
      </c>
      <c r="AI21" s="14">
        <v>4.6173538638776108E-2</v>
      </c>
      <c r="AJ21" s="14">
        <v>4.113930456891985E-2</v>
      </c>
      <c r="AK21" s="14">
        <v>-4.5779517209673333E-2</v>
      </c>
      <c r="AL21" s="14">
        <v>2.6893281386455838E-2</v>
      </c>
      <c r="AM21" s="14">
        <v>2.268689730697148E-2</v>
      </c>
      <c r="AN21" s="14">
        <v>0.14471322922791754</v>
      </c>
      <c r="AO21" s="14">
        <v>-3.0558255474006465E-2</v>
      </c>
      <c r="AP21" s="14">
        <v>8.5861573714765785E-2</v>
      </c>
      <c r="AQ21" s="14">
        <v>-3.6134562091047276E-2</v>
      </c>
      <c r="AR21" s="14">
        <v>4.7762997861237992E-2</v>
      </c>
      <c r="AS21" s="14">
        <v>-4.0105663719453261E-2</v>
      </c>
      <c r="AT21" s="14">
        <v>0.12694572061476514</v>
      </c>
      <c r="AU21" s="14">
        <v>4.2323524772435492E-2</v>
      </c>
      <c r="AV21" s="14">
        <v>-2.4798442606894226E-2</v>
      </c>
      <c r="AW21" s="14">
        <v>-2.9523246640560618E-2</v>
      </c>
      <c r="AX21" s="14">
        <v>4.0131107112009345E-2</v>
      </c>
      <c r="AY21" s="14">
        <v>-3.3653718444732653E-2</v>
      </c>
      <c r="AZ21" s="14">
        <v>-1.9372850846718515E-2</v>
      </c>
      <c r="BA21" s="14">
        <v>1.3792668624302507E-2</v>
      </c>
      <c r="BB21" s="14">
        <v>-7.1702804858878484E-3</v>
      </c>
      <c r="BC21" s="14">
        <v>6.5492384016925628E-2</v>
      </c>
      <c r="BD21" s="14">
        <v>-3.8596937759214758E-2</v>
      </c>
      <c r="BE21" s="14">
        <v>3.8751295808043387E-2</v>
      </c>
      <c r="BF21" s="14">
        <v>6.2913839107325703E-2</v>
      </c>
      <c r="BG21" s="14">
        <v>-3.2758624858900916E-2</v>
      </c>
      <c r="BH21" s="14">
        <v>3.9492887672123819E-2</v>
      </c>
      <c r="BI21" s="14">
        <v>-2.0719776364858757E-2</v>
      </c>
      <c r="BJ21" s="14">
        <v>0.10642968670066927</v>
      </c>
      <c r="BK21" s="14">
        <v>-3.9471651342396219E-3</v>
      </c>
      <c r="BL21" s="14">
        <v>0.10353475802572409</v>
      </c>
      <c r="BM21" s="14">
        <v>1.1860121821973199E-2</v>
      </c>
      <c r="BN21" s="14">
        <v>-5.0361622648926616E-2</v>
      </c>
      <c r="BO21" s="14">
        <v>-5.1844702765024779E-2</v>
      </c>
      <c r="BP21" s="14">
        <v>2.0950565699750984E-2</v>
      </c>
      <c r="BQ21" s="14">
        <v>-4.6493737609455486E-2</v>
      </c>
      <c r="BR21" s="14">
        <v>1.5014879629424285E-2</v>
      </c>
      <c r="BS21" s="14">
        <v>-7.5655289500152073E-3</v>
      </c>
      <c r="BT21" s="14">
        <v>1.2816030096482883E-3</v>
      </c>
    </row>
    <row r="22" spans="1:72" ht="18">
      <c r="A22" s="336" t="s">
        <v>92</v>
      </c>
      <c r="B22" s="342">
        <v>12.3</v>
      </c>
      <c r="C22" s="343">
        <v>6.3</v>
      </c>
      <c r="D22" s="344">
        <v>96.389852756187835</v>
      </c>
      <c r="E22" s="441">
        <v>118</v>
      </c>
      <c r="G22" s="38">
        <v>1</v>
      </c>
      <c r="H22" s="73">
        <f t="shared" si="3"/>
        <v>6.3</v>
      </c>
      <c r="I22" s="73">
        <f t="shared" si="4"/>
        <v>96.389852756187835</v>
      </c>
      <c r="J22" s="72">
        <f t="shared" si="5"/>
        <v>118</v>
      </c>
      <c r="L22" s="443">
        <f t="shared" si="1"/>
        <v>12.3</v>
      </c>
      <c r="N22" s="14" t="s">
        <v>203</v>
      </c>
      <c r="O22" s="446">
        <f>COUNT(G4:G53)-COUNT(H4:J4)-1</f>
        <v>46</v>
      </c>
      <c r="S22" s="443">
        <v>12.166437679535237</v>
      </c>
      <c r="U22" s="443">
        <f t="shared" si="2"/>
        <v>0.13356232046476357</v>
      </c>
      <c r="W22" s="14">
        <v>1.641898162421998E-2</v>
      </c>
      <c r="X22" s="14">
        <v>-3.5996530982570961E-2</v>
      </c>
      <c r="Y22" s="14">
        <v>1.0234225438296954E-2</v>
      </c>
      <c r="Z22" s="14">
        <v>1.2002207050326286E-2</v>
      </c>
      <c r="AA22" s="14">
        <v>-2.0719337271633404E-2</v>
      </c>
      <c r="AB22" s="14">
        <v>3.0920487186596488E-2</v>
      </c>
      <c r="AC22" s="14">
        <v>4.274673273523695E-2</v>
      </c>
      <c r="AD22" s="14">
        <v>-2.4409003881722052E-2</v>
      </c>
      <c r="AE22" s="14">
        <v>-3.0610256212557675E-2</v>
      </c>
      <c r="AF22" s="14">
        <v>-5.7454534147960467E-3</v>
      </c>
      <c r="AG22" s="14">
        <v>-3.7330886715316008E-2</v>
      </c>
      <c r="AH22" s="14">
        <v>6.4017609607722195E-2</v>
      </c>
      <c r="AI22" s="14">
        <v>-5.2500663767861278E-4</v>
      </c>
      <c r="AJ22" s="14">
        <v>4.956235103889426E-2</v>
      </c>
      <c r="AK22" s="14">
        <v>4.0637270542088419E-2</v>
      </c>
      <c r="AL22" s="14">
        <v>2.3725925512537563E-2</v>
      </c>
      <c r="AM22" s="14">
        <v>5.4356425009902128E-2</v>
      </c>
      <c r="AN22" s="14">
        <v>-3.0558255474006368E-2</v>
      </c>
      <c r="AO22" s="14">
        <v>8.2204578333354483E-2</v>
      </c>
      <c r="AP22" s="14">
        <v>-3.3522051440902506E-2</v>
      </c>
      <c r="AQ22" s="14">
        <v>5.2564287781221471E-3</v>
      </c>
      <c r="AR22" s="14">
        <v>2.5473383095872722E-3</v>
      </c>
      <c r="AS22" s="14">
        <v>3.5627411216347965E-2</v>
      </c>
      <c r="AT22" s="14">
        <v>4.1167640795087376E-2</v>
      </c>
      <c r="AU22" s="14">
        <v>1.2738283206665318E-2</v>
      </c>
      <c r="AV22" s="14">
        <v>4.2568416538152062E-2</v>
      </c>
      <c r="AW22" s="14">
        <v>3.9712358255147774E-2</v>
      </c>
      <c r="AX22" s="14">
        <v>-4.1043600184528926E-2</v>
      </c>
      <c r="AY22" s="14">
        <v>7.6230176877766093E-2</v>
      </c>
      <c r="AZ22" s="14">
        <v>1.414469229763109E-2</v>
      </c>
      <c r="BA22" s="14">
        <v>-2.7645501762664965E-2</v>
      </c>
      <c r="BB22" s="14">
        <v>-2.381662781058125E-3</v>
      </c>
      <c r="BC22" s="14">
        <v>9.9846591652453139E-3</v>
      </c>
      <c r="BD22" s="14">
        <v>6.7534636598080899E-2</v>
      </c>
      <c r="BE22" s="14">
        <v>4.2078691533392887E-2</v>
      </c>
      <c r="BF22" s="14">
        <v>9.3224991939372392E-3</v>
      </c>
      <c r="BG22" s="14">
        <v>3.9689036903684922E-2</v>
      </c>
      <c r="BH22" s="14">
        <v>2.9344313487359091E-2</v>
      </c>
      <c r="BI22" s="14">
        <v>5.2212886867209651E-2</v>
      </c>
      <c r="BJ22" s="14">
        <v>-4.7134266158180158E-2</v>
      </c>
      <c r="BK22" s="14">
        <v>6.7804029953400347E-2</v>
      </c>
      <c r="BL22" s="14">
        <v>-2.3554350902396281E-2</v>
      </c>
      <c r="BM22" s="14">
        <v>-1.3941158998602224E-3</v>
      </c>
      <c r="BN22" s="14">
        <v>4.8771175189027412E-2</v>
      </c>
      <c r="BO22" s="14">
        <v>7.4722549170745681E-2</v>
      </c>
      <c r="BP22" s="14">
        <v>3.2866597473370202E-2</v>
      </c>
      <c r="BQ22" s="14">
        <v>1.8006297732511313E-2</v>
      </c>
      <c r="BR22" s="14">
        <v>6.2917612573159573E-2</v>
      </c>
      <c r="BS22" s="14">
        <v>4.581587257410976E-2</v>
      </c>
      <c r="BT22" s="14">
        <v>6.4679880950958876E-2</v>
      </c>
    </row>
    <row r="23" spans="1:72" ht="18">
      <c r="A23" s="336" t="s">
        <v>93</v>
      </c>
      <c r="B23" s="342">
        <v>8.1</v>
      </c>
      <c r="C23" s="343">
        <v>8</v>
      </c>
      <c r="D23" s="344">
        <v>63.398020838196281</v>
      </c>
      <c r="E23" s="441">
        <v>641.9</v>
      </c>
      <c r="G23" s="38">
        <v>1</v>
      </c>
      <c r="H23" s="73">
        <f t="shared" si="3"/>
        <v>8</v>
      </c>
      <c r="I23" s="73">
        <f t="shared" si="4"/>
        <v>63.398020838196281</v>
      </c>
      <c r="J23" s="72">
        <f t="shared" si="5"/>
        <v>641.9</v>
      </c>
      <c r="L23" s="443">
        <f t="shared" si="1"/>
        <v>8.1</v>
      </c>
      <c r="N23" s="14" t="s">
        <v>335</v>
      </c>
      <c r="O23" s="444">
        <f>O21/O22</f>
        <v>3.0989208601386879</v>
      </c>
      <c r="S23" s="443">
        <v>13.887597669367592</v>
      </c>
      <c r="U23" s="443">
        <f t="shared" si="2"/>
        <v>-5.7875976693675923</v>
      </c>
      <c r="W23" s="14">
        <v>4.9259321250803616E-2</v>
      </c>
      <c r="X23" s="14">
        <v>6.3595856377683849E-2</v>
      </c>
      <c r="Y23" s="14">
        <v>1.5967705981465616E-2</v>
      </c>
      <c r="Z23" s="14">
        <v>3.489809464527778E-2</v>
      </c>
      <c r="AA23" s="14">
        <v>3.7071505185896886E-2</v>
      </c>
      <c r="AB23" s="14">
        <v>-2.5569637606734589E-3</v>
      </c>
      <c r="AC23" s="14">
        <v>2.1511628614075129E-3</v>
      </c>
      <c r="AD23" s="14">
        <v>6.0666712916303447E-2</v>
      </c>
      <c r="AE23" s="14">
        <v>5.0296999407208873E-2</v>
      </c>
      <c r="AF23" s="14">
        <v>6.2941287587246847E-2</v>
      </c>
      <c r="AG23" s="14">
        <v>0.11454014160618625</v>
      </c>
      <c r="AH23" s="14">
        <v>-1.93559659661681E-2</v>
      </c>
      <c r="AI23" s="14">
        <v>3.6603627546589072E-2</v>
      </c>
      <c r="AJ23" s="14">
        <v>3.6726301405758249E-3</v>
      </c>
      <c r="AK23" s="14">
        <v>-1.6879873085051969E-2</v>
      </c>
      <c r="AL23" s="14">
        <v>1.0226241224483401E-2</v>
      </c>
      <c r="AM23" s="14">
        <v>-4.1352655599181803E-3</v>
      </c>
      <c r="AN23" s="14">
        <v>8.5861573714765743E-2</v>
      </c>
      <c r="AO23" s="14">
        <v>-3.3522051440902562E-2</v>
      </c>
      <c r="AP23" s="14">
        <v>7.8700951146470216E-2</v>
      </c>
      <c r="AQ23" s="14">
        <v>9.8642475381177236E-3</v>
      </c>
      <c r="AR23" s="14">
        <v>3.2785479508649559E-2</v>
      </c>
      <c r="AS23" s="14">
        <v>-6.6779002358960324E-3</v>
      </c>
      <c r="AT23" s="14">
        <v>6.0821340168184967E-2</v>
      </c>
      <c r="AU23" s="14">
        <v>2.2419039573058429E-2</v>
      </c>
      <c r="AV23" s="14">
        <v>-8.699234934720107E-3</v>
      </c>
      <c r="AW23" s="14">
        <v>-9.6994585246990873E-3</v>
      </c>
      <c r="AX23" s="14">
        <v>4.8822845437368007E-2</v>
      </c>
      <c r="AY23" s="14">
        <v>-3.046367698187482E-2</v>
      </c>
      <c r="AZ23" s="14">
        <v>2.3750553975875971E-2</v>
      </c>
      <c r="BA23" s="14">
        <v>3.4578740008279485E-2</v>
      </c>
      <c r="BB23" s="14">
        <v>3.6023529277907508E-2</v>
      </c>
      <c r="BC23" s="14">
        <v>4.3266073141573644E-2</v>
      </c>
      <c r="BD23" s="14">
        <v>-2.2154743972467986E-2</v>
      </c>
      <c r="BE23" s="14">
        <v>1.07451586405546E-2</v>
      </c>
      <c r="BF23" s="14">
        <v>3.7119971621611764E-2</v>
      </c>
      <c r="BG23" s="14">
        <v>-8.5158170701159167E-3</v>
      </c>
      <c r="BH23" s="14">
        <v>1.4897527666125438E-2</v>
      </c>
      <c r="BI23" s="14">
        <v>-8.9275507871582754E-3</v>
      </c>
      <c r="BJ23" s="14">
        <v>8.0045441353423299E-2</v>
      </c>
      <c r="BK23" s="14">
        <v>-1.162870883076933E-2</v>
      </c>
      <c r="BL23" s="14">
        <v>5.3905988174821173E-2</v>
      </c>
      <c r="BM23" s="14">
        <v>2.6276993645179762E-2</v>
      </c>
      <c r="BN23" s="14">
        <v>-1.9075643116582261E-2</v>
      </c>
      <c r="BO23" s="14">
        <v>-3.4381897917227275E-2</v>
      </c>
      <c r="BP23" s="14">
        <v>2.7804656001727074E-2</v>
      </c>
      <c r="BQ23" s="14">
        <v>5.7863991598636443E-3</v>
      </c>
      <c r="BR23" s="14">
        <v>-1.5357066012716324E-2</v>
      </c>
      <c r="BS23" s="14">
        <v>-5.8073462356341699E-3</v>
      </c>
      <c r="BT23" s="14">
        <v>-1.7528632052103518E-2</v>
      </c>
    </row>
    <row r="24" spans="1:72">
      <c r="A24" s="336" t="s">
        <v>94</v>
      </c>
      <c r="B24" s="351">
        <v>10</v>
      </c>
      <c r="C24" s="343">
        <v>4.8</v>
      </c>
      <c r="D24" s="344">
        <v>86.203669547721617</v>
      </c>
      <c r="E24" s="441">
        <v>431.5</v>
      </c>
      <c r="G24" s="38">
        <v>1</v>
      </c>
      <c r="H24" s="73">
        <f t="shared" si="3"/>
        <v>4.8</v>
      </c>
      <c r="I24" s="73">
        <f t="shared" si="4"/>
        <v>86.203669547721617</v>
      </c>
      <c r="J24" s="72">
        <f t="shared" si="5"/>
        <v>431.5</v>
      </c>
      <c r="L24" s="443">
        <f t="shared" si="1"/>
        <v>10</v>
      </c>
      <c r="S24" s="443">
        <v>10.322990438842165</v>
      </c>
      <c r="U24" s="443">
        <f t="shared" si="2"/>
        <v>-0.32299043884216516</v>
      </c>
      <c r="W24" s="14">
        <v>-3.9730798885097722E-2</v>
      </c>
      <c r="X24" s="14">
        <v>4.4535361971647314E-2</v>
      </c>
      <c r="Y24" s="14">
        <v>4.0943734894237395E-2</v>
      </c>
      <c r="Z24" s="14">
        <v>-1.5750144022396304E-2</v>
      </c>
      <c r="AA24" s="14">
        <v>8.5518254937570842E-2</v>
      </c>
      <c r="AB24" s="14">
        <v>4.7087790192756322E-2</v>
      </c>
      <c r="AC24" s="14">
        <v>2.2259636205252835E-2</v>
      </c>
      <c r="AD24" s="14">
        <v>6.8726951927653365E-3</v>
      </c>
      <c r="AE24" s="14">
        <v>4.0032896585127931E-2</v>
      </c>
      <c r="AF24" s="14">
        <v>-8.928348089928647E-3</v>
      </c>
      <c r="AG24" s="14">
        <v>3.8153173470706611E-2</v>
      </c>
      <c r="AH24" s="14">
        <v>3.5943849411341697E-3</v>
      </c>
      <c r="AI24" s="14">
        <v>1.9615524812235108E-2</v>
      </c>
      <c r="AJ24" s="14">
        <v>-2.1749385016845278E-2</v>
      </c>
      <c r="AK24" s="14">
        <v>5.9185875745619759E-2</v>
      </c>
      <c r="AL24" s="14">
        <v>1.7402872979332556E-2</v>
      </c>
      <c r="AM24" s="14">
        <v>-1.117290951189269E-2</v>
      </c>
      <c r="AN24" s="14">
        <v>-3.6134562091046846E-2</v>
      </c>
      <c r="AO24" s="14">
        <v>5.2564287781223934E-3</v>
      </c>
      <c r="AP24" s="14">
        <v>9.8642475381176542E-3</v>
      </c>
      <c r="AQ24" s="14">
        <v>8.2164872364709929E-2</v>
      </c>
      <c r="AR24" s="14">
        <v>1.7124291247502525E-2</v>
      </c>
      <c r="AS24" s="14">
        <v>5.5295461905891338E-2</v>
      </c>
      <c r="AT24" s="14">
        <v>-0.10399346149031918</v>
      </c>
      <c r="AU24" s="14">
        <v>1.4021249486375485E-2</v>
      </c>
      <c r="AV24" s="14">
        <v>3.7725565331680137E-2</v>
      </c>
      <c r="AW24" s="14">
        <v>4.5228986311711558E-2</v>
      </c>
      <c r="AX24" s="14">
        <v>6.9408857079620315E-2</v>
      </c>
      <c r="AY24" s="14">
        <v>1.3119188057104395E-2</v>
      </c>
      <c r="AZ24" s="14">
        <v>5.0077008425053859E-2</v>
      </c>
      <c r="BA24" s="14">
        <v>7.7840762835887992E-2</v>
      </c>
      <c r="BB24" s="14">
        <v>5.6112996833297041E-2</v>
      </c>
      <c r="BC24" s="14">
        <v>-1.1272139252396384E-2</v>
      </c>
      <c r="BD24" s="14">
        <v>2.2174889161527822E-2</v>
      </c>
      <c r="BE24" s="14">
        <v>-1.5077241907151047E-2</v>
      </c>
      <c r="BF24" s="14">
        <v>-4.5137847441424732E-3</v>
      </c>
      <c r="BG24" s="14">
        <v>4.6480931991642729E-2</v>
      </c>
      <c r="BH24" s="14">
        <v>-1.3068840028232433E-3</v>
      </c>
      <c r="BI24" s="14">
        <v>2.2359211961715322E-2</v>
      </c>
      <c r="BJ24" s="14">
        <v>1.4263577161024069E-2</v>
      </c>
      <c r="BK24" s="14">
        <v>-7.2834159794914477E-3</v>
      </c>
      <c r="BL24" s="14">
        <v>2.4663082747450743E-3</v>
      </c>
      <c r="BM24" s="14">
        <v>4.9529795858481176E-2</v>
      </c>
      <c r="BN24" s="14">
        <v>5.2663011638971871E-2</v>
      </c>
      <c r="BO24" s="14">
        <v>2.9309344299973186E-2</v>
      </c>
      <c r="BP24" s="14">
        <v>-3.2716515633429977E-3</v>
      </c>
      <c r="BQ24" s="14">
        <v>7.4380655499268478E-2</v>
      </c>
      <c r="BR24" s="14">
        <v>-1.0089732834161126E-2</v>
      </c>
      <c r="BS24" s="14">
        <v>2.0510740323318163E-2</v>
      </c>
      <c r="BT24" s="14">
        <v>-2.3061249030828582E-3</v>
      </c>
    </row>
    <row r="25" spans="1:72">
      <c r="A25" s="336" t="s">
        <v>95</v>
      </c>
      <c r="B25" s="342">
        <v>14.4</v>
      </c>
      <c r="C25" s="343">
        <v>7.4</v>
      </c>
      <c r="D25" s="344">
        <v>81.183409037427396</v>
      </c>
      <c r="E25" s="441">
        <v>536</v>
      </c>
      <c r="G25" s="38">
        <v>1</v>
      </c>
      <c r="H25" s="73">
        <f t="shared" si="3"/>
        <v>7.4</v>
      </c>
      <c r="I25" s="73">
        <f t="shared" si="4"/>
        <v>81.183409037427396</v>
      </c>
      <c r="J25" s="72">
        <f t="shared" si="5"/>
        <v>536</v>
      </c>
      <c r="L25" s="443">
        <f t="shared" si="1"/>
        <v>14.4</v>
      </c>
      <c r="S25" s="443">
        <v>13.61552756364374</v>
      </c>
      <c r="U25" s="443">
        <f t="shared" si="2"/>
        <v>0.78447243635626052</v>
      </c>
      <c r="W25" s="14">
        <v>2.4809114638524227E-2</v>
      </c>
      <c r="X25" s="14">
        <v>3.46322431654736E-2</v>
      </c>
      <c r="Y25" s="14">
        <v>2.7333639981619397E-2</v>
      </c>
      <c r="Z25" s="14">
        <v>3.5453748831122144E-2</v>
      </c>
      <c r="AA25" s="14">
        <v>1.9796143646435241E-2</v>
      </c>
      <c r="AB25" s="14">
        <v>1.5515178901020674E-2</v>
      </c>
      <c r="AC25" s="14">
        <v>6.5270131873067377E-3</v>
      </c>
      <c r="AD25" s="14">
        <v>4.4151572000757963E-2</v>
      </c>
      <c r="AE25" s="14">
        <v>4.6544737574026288E-2</v>
      </c>
      <c r="AF25" s="14">
        <v>2.1994411948962293E-2</v>
      </c>
      <c r="AG25" s="14">
        <v>-2.6222086926461385E-2</v>
      </c>
      <c r="AH25" s="14">
        <v>1.3366090080138414E-2</v>
      </c>
      <c r="AI25" s="14">
        <v>3.0458646242272257E-2</v>
      </c>
      <c r="AJ25" s="14">
        <v>2.1648800453469889E-2</v>
      </c>
      <c r="AK25" s="14">
        <v>1.1541835011973612E-2</v>
      </c>
      <c r="AL25" s="14">
        <v>2.8668951579450805E-2</v>
      </c>
      <c r="AM25" s="14">
        <v>1.7756303833141529E-2</v>
      </c>
      <c r="AN25" s="14">
        <v>4.7762997861238235E-2</v>
      </c>
      <c r="AO25" s="14">
        <v>2.5473383095872826E-3</v>
      </c>
      <c r="AP25" s="14">
        <v>3.2785479508649504E-2</v>
      </c>
      <c r="AQ25" s="14">
        <v>1.7124291247502074E-2</v>
      </c>
      <c r="AR25" s="14">
        <v>3.2252773730758119E-2</v>
      </c>
      <c r="AS25" s="14">
        <v>8.406695599913739E-3</v>
      </c>
      <c r="AT25" s="14">
        <v>1.1514917070775121E-2</v>
      </c>
      <c r="AU25" s="14">
        <v>3.1927671901730612E-2</v>
      </c>
      <c r="AV25" s="14">
        <v>1.1311564599984968E-2</v>
      </c>
      <c r="AW25" s="14">
        <v>1.2351544424436292E-2</v>
      </c>
      <c r="AX25" s="14">
        <v>4.6238856426553857E-2</v>
      </c>
      <c r="AY25" s="14">
        <v>2.8937535297965666E-3</v>
      </c>
      <c r="AZ25" s="14">
        <v>5.237768994225192E-3</v>
      </c>
      <c r="BA25" s="14">
        <v>3.8727856799862612E-2</v>
      </c>
      <c r="BB25" s="14">
        <v>1.109662473665976E-2</v>
      </c>
      <c r="BC25" s="14">
        <v>2.4779274960760211E-2</v>
      </c>
      <c r="BD25" s="14">
        <v>-1.6605734641696179E-4</v>
      </c>
      <c r="BE25" s="14">
        <v>1.9825926542908018E-2</v>
      </c>
      <c r="BF25" s="14">
        <v>2.9628411375702823E-2</v>
      </c>
      <c r="BG25" s="14">
        <v>1.0042387188744074E-2</v>
      </c>
      <c r="BH25" s="14">
        <v>2.5560471436659623E-2</v>
      </c>
      <c r="BI25" s="14">
        <v>6.2493555488939839E-3</v>
      </c>
      <c r="BJ25" s="14">
        <v>4.9492475282610533E-2</v>
      </c>
      <c r="BK25" s="14">
        <v>4.1600604031870048E-3</v>
      </c>
      <c r="BL25" s="14">
        <v>5.4483568144010841E-2</v>
      </c>
      <c r="BM25" s="14">
        <v>2.6518988611277612E-2</v>
      </c>
      <c r="BN25" s="14">
        <v>5.845264678548491E-3</v>
      </c>
      <c r="BO25" s="14">
        <v>1.846442724915548E-4</v>
      </c>
      <c r="BP25" s="14">
        <v>4.3357326719826172E-3</v>
      </c>
      <c r="BQ25" s="14">
        <v>7.4915111268803059E-3</v>
      </c>
      <c r="BR25" s="14">
        <v>1.8458962953205857E-2</v>
      </c>
      <c r="BS25" s="14">
        <v>1.3300132601572666E-2</v>
      </c>
      <c r="BT25" s="14">
        <v>1.3652410656076967E-2</v>
      </c>
    </row>
    <row r="26" spans="1:72">
      <c r="A26" s="336" t="s">
        <v>96</v>
      </c>
      <c r="B26" s="342">
        <v>9.6</v>
      </c>
      <c r="C26" s="343">
        <v>5.2</v>
      </c>
      <c r="D26" s="344">
        <v>89.045556531854984</v>
      </c>
      <c r="E26" s="441">
        <v>288.7</v>
      </c>
      <c r="G26" s="38">
        <v>1</v>
      </c>
      <c r="H26" s="73">
        <f t="shared" si="3"/>
        <v>5.2</v>
      </c>
      <c r="I26" s="73">
        <f t="shared" si="4"/>
        <v>89.045556531854984</v>
      </c>
      <c r="J26" s="72">
        <f t="shared" si="5"/>
        <v>288.7</v>
      </c>
      <c r="L26" s="443">
        <f t="shared" si="1"/>
        <v>9.6</v>
      </c>
      <c r="S26" s="443">
        <v>10.734985254448048</v>
      </c>
      <c r="U26" s="443">
        <f t="shared" si="2"/>
        <v>-1.1349852544480488</v>
      </c>
      <c r="W26" s="14">
        <v>-1.9825168047556095E-2</v>
      </c>
      <c r="X26" s="14">
        <v>1.331453141016975E-2</v>
      </c>
      <c r="Y26" s="14">
        <v>2.7264071642310941E-2</v>
      </c>
      <c r="Z26" s="14">
        <v>-1.0437586713981239E-2</v>
      </c>
      <c r="AA26" s="14">
        <v>4.884138887283529E-2</v>
      </c>
      <c r="AB26" s="14">
        <v>4.1638912974352404E-2</v>
      </c>
      <c r="AC26" s="14">
        <v>3.3214415467355166E-2</v>
      </c>
      <c r="AD26" s="14">
        <v>-1.0344103876801118E-2</v>
      </c>
      <c r="AE26" s="14">
        <v>7.427533704320935E-3</v>
      </c>
      <c r="AF26" s="14">
        <v>-6.0732951314735797E-3</v>
      </c>
      <c r="AG26" s="14">
        <v>3.277053291632509E-2</v>
      </c>
      <c r="AH26" s="14">
        <v>2.5133126220984046E-2</v>
      </c>
      <c r="AI26" s="14">
        <v>9.7625450090580018E-3</v>
      </c>
      <c r="AJ26" s="14">
        <v>2.0694693229743322E-3</v>
      </c>
      <c r="AK26" s="14">
        <v>5.3467453128097357E-2</v>
      </c>
      <c r="AL26" s="14">
        <v>1.6079979980068559E-2</v>
      </c>
      <c r="AM26" s="14">
        <v>1.1508079778281274E-2</v>
      </c>
      <c r="AN26" s="14">
        <v>-4.0105663719453219E-2</v>
      </c>
      <c r="AO26" s="14">
        <v>3.5627411216347847E-2</v>
      </c>
      <c r="AP26" s="14">
        <v>-6.6779002358962544E-3</v>
      </c>
      <c r="AQ26" s="14">
        <v>5.529546190589113E-2</v>
      </c>
      <c r="AR26" s="14">
        <v>8.4066955999138049E-3</v>
      </c>
      <c r="AS26" s="14">
        <v>5.0845434305439897E-2</v>
      </c>
      <c r="AT26" s="14">
        <v>-4.7215233854528721E-2</v>
      </c>
      <c r="AU26" s="14">
        <v>9.5515161156942072E-3</v>
      </c>
      <c r="AV26" s="14">
        <v>4.0851088562479161E-2</v>
      </c>
      <c r="AW26" s="14">
        <v>4.4259109591220862E-2</v>
      </c>
      <c r="AX26" s="14">
        <v>2.2696356191292649E-2</v>
      </c>
      <c r="AY26" s="14">
        <v>3.8630356583032287E-2</v>
      </c>
      <c r="AZ26" s="14">
        <v>4.2670946872070285E-2</v>
      </c>
      <c r="BA26" s="14">
        <v>3.4702232505305922E-2</v>
      </c>
      <c r="BB26" s="14">
        <v>3.9350981817923972E-2</v>
      </c>
      <c r="BC26" s="14">
        <v>-4.0792323647909894E-3</v>
      </c>
      <c r="BD26" s="14">
        <v>4.2918041589499592E-2</v>
      </c>
      <c r="BE26" s="14">
        <v>4.7497254622036883E-3</v>
      </c>
      <c r="BF26" s="14">
        <v>-1.9885134774560408E-3</v>
      </c>
      <c r="BG26" s="14">
        <v>4.5928625156354479E-2</v>
      </c>
      <c r="BH26" s="14">
        <v>7.3505040836032813E-3</v>
      </c>
      <c r="BI26" s="14">
        <v>3.6111159970804718E-2</v>
      </c>
      <c r="BJ26" s="14">
        <v>-1.4409864728104314E-2</v>
      </c>
      <c r="BK26" s="14">
        <v>2.3099358999932124E-2</v>
      </c>
      <c r="BL26" s="14">
        <v>-1.6859309147169023E-2</v>
      </c>
      <c r="BM26" s="14">
        <v>2.9539226248800253E-2</v>
      </c>
      <c r="BN26" s="14">
        <v>5.400568794775723E-2</v>
      </c>
      <c r="BO26" s="14">
        <v>4.9260562468156577E-2</v>
      </c>
      <c r="BP26" s="14">
        <v>1.544641998381259E-2</v>
      </c>
      <c r="BQ26" s="14">
        <v>5.792222735850297E-2</v>
      </c>
      <c r="BR26" s="14">
        <v>1.4368873205679953E-2</v>
      </c>
      <c r="BS26" s="14">
        <v>3.0370399987164613E-2</v>
      </c>
      <c r="BT26" s="14">
        <v>2.1565427141202052E-2</v>
      </c>
    </row>
    <row r="27" spans="1:72">
      <c r="A27" s="336" t="s">
        <v>97</v>
      </c>
      <c r="B27" s="342">
        <v>21.2</v>
      </c>
      <c r="C27" s="343">
        <v>10.6</v>
      </c>
      <c r="D27" s="344">
        <v>60.598179144073846</v>
      </c>
      <c r="E27" s="441">
        <v>291.3</v>
      </c>
      <c r="G27" s="38">
        <v>1</v>
      </c>
      <c r="H27" s="73">
        <f t="shared" si="3"/>
        <v>10.6</v>
      </c>
      <c r="I27" s="73">
        <f t="shared" si="4"/>
        <v>60.598179144073846</v>
      </c>
      <c r="J27" s="72">
        <f t="shared" si="5"/>
        <v>291.3</v>
      </c>
      <c r="L27" s="443">
        <f t="shared" si="1"/>
        <v>21.2</v>
      </c>
      <c r="S27" s="443">
        <v>16.613871588317714</v>
      </c>
      <c r="U27" s="443">
        <f t="shared" si="2"/>
        <v>4.5861284116822851</v>
      </c>
      <c r="W27" s="14">
        <v>0.15046796304795451</v>
      </c>
      <c r="X27" s="14">
        <v>-2.2583708890525744E-2</v>
      </c>
      <c r="Y27" s="14">
        <v>-3.8644281256304536E-2</v>
      </c>
      <c r="Z27" s="14">
        <v>7.1213747367741886E-2</v>
      </c>
      <c r="AA27" s="14">
        <v>-9.4412060909312132E-2</v>
      </c>
      <c r="AB27" s="14">
        <v>-4.1932181258598385E-2</v>
      </c>
      <c r="AC27" s="14">
        <v>2.8112991897427008E-2</v>
      </c>
      <c r="AD27" s="14">
        <v>3.0050638207791452E-2</v>
      </c>
      <c r="AE27" s="14">
        <v>-4.7747199168561072E-2</v>
      </c>
      <c r="AF27" s="14">
        <v>0.10649676563596945</v>
      </c>
      <c r="AG27" s="14">
        <v>0.15010336860346341</v>
      </c>
      <c r="AH27" s="14">
        <v>3.422350961644114E-2</v>
      </c>
      <c r="AI27" s="14">
        <v>1.3184526831121302E-2</v>
      </c>
      <c r="AJ27" s="14">
        <v>8.5618315157076533E-2</v>
      </c>
      <c r="AK27" s="14">
        <v>-6.904892701141073E-2</v>
      </c>
      <c r="AL27" s="14">
        <v>2.8258038750538297E-4</v>
      </c>
      <c r="AM27" s="14">
        <v>6.6449415935996764E-2</v>
      </c>
      <c r="AN27" s="14">
        <v>0.12694572061476447</v>
      </c>
      <c r="AO27" s="14">
        <v>4.1167640795087161E-2</v>
      </c>
      <c r="AP27" s="14">
        <v>6.082134016818537E-2</v>
      </c>
      <c r="AQ27" s="14">
        <v>-0.10399346149031879</v>
      </c>
      <c r="AR27" s="14">
        <v>1.1514917070774754E-2</v>
      </c>
      <c r="AS27" s="14">
        <v>-4.7215233854528194E-2</v>
      </c>
      <c r="AT27" s="14">
        <v>0.31160014494774424</v>
      </c>
      <c r="AU27" s="14">
        <v>1.0069991786990699E-2</v>
      </c>
      <c r="AV27" s="14">
        <v>-2.0145426494110722E-2</v>
      </c>
      <c r="AW27" s="14">
        <v>-3.7673233337999795E-2</v>
      </c>
      <c r="AX27" s="14">
        <v>-0.10580820347840227</v>
      </c>
      <c r="AY27" s="14">
        <v>2.7500133359428192E-2</v>
      </c>
      <c r="AZ27" s="14">
        <v>-6.7923416348830423E-3</v>
      </c>
      <c r="BA27" s="14">
        <v>-0.11870512324031725</v>
      </c>
      <c r="BB27" s="14">
        <v>-2.0508076471437587E-2</v>
      </c>
      <c r="BC27" s="14">
        <v>9.0100302495354626E-2</v>
      </c>
      <c r="BD27" s="14">
        <v>2.2352597141317723E-2</v>
      </c>
      <c r="BE27" s="14">
        <v>8.1722364274077863E-2</v>
      </c>
      <c r="BF27" s="14">
        <v>6.2463068503945667E-2</v>
      </c>
      <c r="BG27" s="14">
        <v>-3.463529429977228E-2</v>
      </c>
      <c r="BH27" s="14">
        <v>4.6718963565784172E-2</v>
      </c>
      <c r="BI27" s="14">
        <v>1.9744520319833706E-2</v>
      </c>
      <c r="BJ27" s="14">
        <v>2.029863592015517E-2</v>
      </c>
      <c r="BK27" s="14">
        <v>7.9767214156434951E-2</v>
      </c>
      <c r="BL27" s="14">
        <v>1.2965005232483319E-2</v>
      </c>
      <c r="BM27" s="14">
        <v>-4.5728314429685592E-2</v>
      </c>
      <c r="BN27" s="14">
        <v>-4.6767313651330966E-2</v>
      </c>
      <c r="BO27" s="14">
        <v>-1.9308946655298975E-3</v>
      </c>
      <c r="BP27" s="14">
        <v>0.10261047677040766</v>
      </c>
      <c r="BQ27" s="14">
        <v>-7.2956688450279042E-2</v>
      </c>
      <c r="BR27" s="14">
        <v>5.4108338238602366E-2</v>
      </c>
      <c r="BS27" s="14">
        <v>1.1905362275098969E-2</v>
      </c>
      <c r="BT27" s="14">
        <v>4.6647403668350115E-2</v>
      </c>
    </row>
    <row r="28" spans="1:72">
      <c r="A28" s="336" t="s">
        <v>98</v>
      </c>
      <c r="B28" s="342">
        <v>13.4</v>
      </c>
      <c r="C28" s="343">
        <v>7.4</v>
      </c>
      <c r="D28" s="344">
        <v>85.028888093842554</v>
      </c>
      <c r="E28" s="441">
        <v>504.9</v>
      </c>
      <c r="G28" s="38">
        <v>1</v>
      </c>
      <c r="H28" s="73">
        <f t="shared" si="3"/>
        <v>7.4</v>
      </c>
      <c r="I28" s="73">
        <f t="shared" si="4"/>
        <v>85.028888093842554</v>
      </c>
      <c r="J28" s="72">
        <f t="shared" si="5"/>
        <v>504.9</v>
      </c>
      <c r="L28" s="443">
        <f t="shared" si="1"/>
        <v>13.4</v>
      </c>
      <c r="S28" s="443">
        <v>13.711013366978968</v>
      </c>
      <c r="U28" s="443">
        <f t="shared" si="2"/>
        <v>-0.3110133669789672</v>
      </c>
      <c r="W28" s="14">
        <v>2.3639816496575261E-2</v>
      </c>
      <c r="X28" s="14">
        <v>2.5427003098156487E-2</v>
      </c>
      <c r="Y28" s="14">
        <v>2.8081056896775161E-2</v>
      </c>
      <c r="Z28" s="14">
        <v>3.7861403322178029E-2</v>
      </c>
      <c r="AA28" s="14">
        <v>1.060779237083477E-2</v>
      </c>
      <c r="AB28" s="14">
        <v>1.7756255782917924E-2</v>
      </c>
      <c r="AC28" s="14">
        <v>7.8404132242081009E-3</v>
      </c>
      <c r="AD28" s="14">
        <v>4.0488082081335461E-2</v>
      </c>
      <c r="AE28" s="14">
        <v>4.3164506400949168E-2</v>
      </c>
      <c r="AF28" s="14">
        <v>1.46450078767137E-2</v>
      </c>
      <c r="AG28" s="14">
        <v>-5.8901973172933858E-2</v>
      </c>
      <c r="AH28" s="14">
        <v>2.2529229152793498E-2</v>
      </c>
      <c r="AI28" s="14">
        <v>2.8689611372395729E-2</v>
      </c>
      <c r="AJ28" s="14">
        <v>2.9077518275658527E-2</v>
      </c>
      <c r="AK28" s="14">
        <v>1.5384380694920194E-2</v>
      </c>
      <c r="AL28" s="14">
        <v>3.287678371586962E-2</v>
      </c>
      <c r="AM28" s="14">
        <v>2.5401480029320439E-2</v>
      </c>
      <c r="AN28" s="14">
        <v>4.2323524772435839E-2</v>
      </c>
      <c r="AO28" s="14">
        <v>1.2738283206665382E-2</v>
      </c>
      <c r="AP28" s="14">
        <v>2.2419039573058429E-2</v>
      </c>
      <c r="AQ28" s="14">
        <v>1.4021249486374975E-2</v>
      </c>
      <c r="AR28" s="14">
        <v>3.1927671901730632E-2</v>
      </c>
      <c r="AS28" s="14">
        <v>9.5515161156941239E-3</v>
      </c>
      <c r="AT28" s="14">
        <v>1.0069991786991278E-2</v>
      </c>
      <c r="AU28" s="14">
        <v>3.4202604599879366E-2</v>
      </c>
      <c r="AV28" s="14">
        <v>1.4889522900890158E-2</v>
      </c>
      <c r="AW28" s="14">
        <v>1.5778301669438794E-2</v>
      </c>
      <c r="AX28" s="14">
        <v>4.0827379603224467E-2</v>
      </c>
      <c r="AY28" s="14">
        <v>1.1819958971672456E-2</v>
      </c>
      <c r="AZ28" s="14">
        <v>-9.3916517293917909E-4</v>
      </c>
      <c r="BA28" s="14">
        <v>3.448582293540349E-2</v>
      </c>
      <c r="BB28" s="14">
        <v>2.7423520507589552E-3</v>
      </c>
      <c r="BC28" s="14">
        <v>2.2760827497839684E-2</v>
      </c>
      <c r="BD28" s="14">
        <v>5.4992427629472068E-3</v>
      </c>
      <c r="BE28" s="14">
        <v>2.4715822394568779E-2</v>
      </c>
      <c r="BF28" s="14">
        <v>2.94752139419239E-2</v>
      </c>
      <c r="BG28" s="14">
        <v>1.2635623415379979E-2</v>
      </c>
      <c r="BH28" s="14">
        <v>2.9534712273854326E-2</v>
      </c>
      <c r="BI28" s="14">
        <v>1.0086147632380041E-2</v>
      </c>
      <c r="BJ28" s="14">
        <v>4.1783165484524667E-2</v>
      </c>
      <c r="BK28" s="14">
        <v>1.054822478450719E-2</v>
      </c>
      <c r="BL28" s="14">
        <v>5.4797307918143467E-2</v>
      </c>
      <c r="BM28" s="14">
        <v>2.4021353579897129E-2</v>
      </c>
      <c r="BN28" s="14">
        <v>9.5831699196029622E-3</v>
      </c>
      <c r="BO28" s="14">
        <v>8.2119165742114697E-3</v>
      </c>
      <c r="BP28" s="14">
        <v>1.2367845346570039E-3</v>
      </c>
      <c r="BQ28" s="14">
        <v>4.0409493565725148E-3</v>
      </c>
      <c r="BR28" s="14">
        <v>2.8778103241102616E-2</v>
      </c>
      <c r="BS28" s="14">
        <v>1.7954279766472368E-2</v>
      </c>
      <c r="BT28" s="14">
        <v>2.291073290146995E-2</v>
      </c>
    </row>
    <row r="29" spans="1:72">
      <c r="A29" s="336" t="s">
        <v>99</v>
      </c>
      <c r="B29" s="342">
        <v>14.8</v>
      </c>
      <c r="C29" s="343">
        <v>5.8</v>
      </c>
      <c r="D29" s="344">
        <v>90.467729264863962</v>
      </c>
      <c r="E29" s="441">
        <v>287.5</v>
      </c>
      <c r="G29" s="38">
        <v>1</v>
      </c>
      <c r="H29" s="73">
        <f t="shared" si="3"/>
        <v>5.8</v>
      </c>
      <c r="I29" s="73">
        <f t="shared" si="4"/>
        <v>90.467729264863962</v>
      </c>
      <c r="J29" s="72">
        <f t="shared" si="5"/>
        <v>287.5</v>
      </c>
      <c r="L29" s="443">
        <f t="shared" si="1"/>
        <v>14.8</v>
      </c>
      <c r="S29" s="443">
        <v>11.552564406959718</v>
      </c>
      <c r="U29" s="443">
        <f t="shared" si="2"/>
        <v>3.247435593040283</v>
      </c>
      <c r="W29" s="14">
        <v>-5.3363975670070347E-3</v>
      </c>
      <c r="X29" s="14">
        <v>4.1301450038029666E-3</v>
      </c>
      <c r="Y29" s="14">
        <v>2.4203635719363646E-2</v>
      </c>
      <c r="Z29" s="14">
        <v>2.8289735563801124E-3</v>
      </c>
      <c r="AA29" s="14">
        <v>2.6893832510501044E-2</v>
      </c>
      <c r="AB29" s="14">
        <v>3.5764427359823471E-2</v>
      </c>
      <c r="AC29" s="14">
        <v>3.0881409057275253E-2</v>
      </c>
      <c r="AD29" s="14">
        <v>-4.8685991655856922E-3</v>
      </c>
      <c r="AE29" s="14">
        <v>5.6186683880704996E-3</v>
      </c>
      <c r="AF29" s="14">
        <v>-3.6978720242060413E-3</v>
      </c>
      <c r="AG29" s="14">
        <v>-2.8088435043173293E-3</v>
      </c>
      <c r="AH29" s="14">
        <v>3.3929085475746606E-2</v>
      </c>
      <c r="AI29" s="14">
        <v>1.07396639200973E-2</v>
      </c>
      <c r="AJ29" s="14">
        <v>1.7418121202591671E-2</v>
      </c>
      <c r="AK29" s="14">
        <v>4.4982839806217312E-2</v>
      </c>
      <c r="AL29" s="14">
        <v>2.1263382393847209E-2</v>
      </c>
      <c r="AM29" s="14">
        <v>2.3693329558927504E-2</v>
      </c>
      <c r="AN29" s="14">
        <v>-2.4798442606894205E-2</v>
      </c>
      <c r="AO29" s="14">
        <v>4.2568416538151924E-2</v>
      </c>
      <c r="AP29" s="14">
        <v>-8.6992349347203221E-3</v>
      </c>
      <c r="AQ29" s="14">
        <v>3.7725565331679742E-2</v>
      </c>
      <c r="AR29" s="14">
        <v>1.1311564599984923E-2</v>
      </c>
      <c r="AS29" s="14">
        <v>4.0851088562479064E-2</v>
      </c>
      <c r="AT29" s="14">
        <v>-2.014542649411101E-2</v>
      </c>
      <c r="AU29" s="14">
        <v>1.4889522900890118E-2</v>
      </c>
      <c r="AV29" s="14">
        <v>3.7287878899436785E-2</v>
      </c>
      <c r="AW29" s="14">
        <v>3.9001435882286932E-2</v>
      </c>
      <c r="AX29" s="14">
        <v>1.2413062693241897E-2</v>
      </c>
      <c r="AY29" s="14">
        <v>4.2901851694579225E-2</v>
      </c>
      <c r="AZ29" s="14">
        <v>2.8359704792122409E-2</v>
      </c>
      <c r="BA29" s="14">
        <v>2.1693533654023447E-2</v>
      </c>
      <c r="BB29" s="14">
        <v>2.3288021895952388E-2</v>
      </c>
      <c r="BC29" s="14">
        <v>3.0072209010453162E-3</v>
      </c>
      <c r="BD29" s="14">
        <v>4.2210770833957821E-2</v>
      </c>
      <c r="BE29" s="14">
        <v>1.6423946734048091E-2</v>
      </c>
      <c r="BF29" s="14">
        <v>5.6990872205192698E-3</v>
      </c>
      <c r="BG29" s="14">
        <v>3.934973282932791E-2</v>
      </c>
      <c r="BH29" s="14">
        <v>1.6244805250539496E-2</v>
      </c>
      <c r="BI29" s="14">
        <v>3.540111973731723E-2</v>
      </c>
      <c r="BJ29" s="14">
        <v>-1.2374142361301944E-2</v>
      </c>
      <c r="BK29" s="14">
        <v>3.080258707631605E-2</v>
      </c>
      <c r="BL29" s="14">
        <v>-5.5916814954555666E-3</v>
      </c>
      <c r="BM29" s="14">
        <v>2.2069438509211801E-2</v>
      </c>
      <c r="BN29" s="14">
        <v>4.5882597847376694E-2</v>
      </c>
      <c r="BO29" s="14">
        <v>4.8505456259115537E-2</v>
      </c>
      <c r="BP29" s="14">
        <v>1.5823638796676656E-2</v>
      </c>
      <c r="BQ29" s="14">
        <v>4.0070346987888181E-2</v>
      </c>
      <c r="BR29" s="14">
        <v>2.823759644172065E-2</v>
      </c>
      <c r="BS29" s="14">
        <v>3.2055866622342125E-2</v>
      </c>
      <c r="BT29" s="14">
        <v>3.1897266708729471E-2</v>
      </c>
    </row>
    <row r="30" spans="1:72">
      <c r="A30" s="336" t="s">
        <v>100</v>
      </c>
      <c r="B30" s="342">
        <v>10.8</v>
      </c>
      <c r="C30" s="343">
        <v>5.6</v>
      </c>
      <c r="D30" s="344">
        <v>91.372477335833381</v>
      </c>
      <c r="E30" s="441">
        <v>302.39999999999998</v>
      </c>
      <c r="G30" s="38">
        <v>1</v>
      </c>
      <c r="H30" s="73">
        <f t="shared" si="3"/>
        <v>5.6</v>
      </c>
      <c r="I30" s="73">
        <f t="shared" si="4"/>
        <v>91.372477335833381</v>
      </c>
      <c r="J30" s="72">
        <f t="shared" si="5"/>
        <v>302.39999999999998</v>
      </c>
      <c r="L30" s="443">
        <f t="shared" si="1"/>
        <v>10.8</v>
      </c>
      <c r="S30" s="443">
        <v>11.350737524842543</v>
      </c>
      <c r="U30" s="443">
        <f t="shared" si="2"/>
        <v>-0.55073752484254257</v>
      </c>
      <c r="W30" s="14">
        <v>-1.2776535385649306E-2</v>
      </c>
      <c r="X30" s="14">
        <v>8.0549638642689117E-3</v>
      </c>
      <c r="Y30" s="14">
        <v>2.7923032771135805E-2</v>
      </c>
      <c r="Z30" s="14">
        <v>2.2525583634810942E-4</v>
      </c>
      <c r="AA30" s="14">
        <v>3.4462662506062697E-2</v>
      </c>
      <c r="AB30" s="14">
        <v>3.9059911380692001E-2</v>
      </c>
      <c r="AC30" s="14">
        <v>2.972792239022741E-2</v>
      </c>
      <c r="AD30" s="14">
        <v>-4.1474546940724263E-3</v>
      </c>
      <c r="AE30" s="14">
        <v>1.1030323482433116E-2</v>
      </c>
      <c r="AF30" s="14">
        <v>-8.1151085138503661E-3</v>
      </c>
      <c r="AG30" s="14">
        <v>-9.6380183276186665E-3</v>
      </c>
      <c r="AH30" s="14">
        <v>3.2022441854926052E-2</v>
      </c>
      <c r="AI30" s="14">
        <v>1.1730192472614394E-2</v>
      </c>
      <c r="AJ30" s="14">
        <v>1.2955266822358834E-2</v>
      </c>
      <c r="AK30" s="14">
        <v>4.9584512271711213E-2</v>
      </c>
      <c r="AL30" s="14">
        <v>2.2431439382565924E-2</v>
      </c>
      <c r="AM30" s="14">
        <v>2.0187516469919151E-2</v>
      </c>
      <c r="AN30" s="14">
        <v>-2.952324664056051E-2</v>
      </c>
      <c r="AO30" s="14">
        <v>3.9712358255147719E-2</v>
      </c>
      <c r="AP30" s="14">
        <v>-9.6994585246992886E-3</v>
      </c>
      <c r="AQ30" s="14">
        <v>4.5228986311711177E-2</v>
      </c>
      <c r="AR30" s="14">
        <v>1.2351544424436322E-2</v>
      </c>
      <c r="AS30" s="14">
        <v>4.4259109591220813E-2</v>
      </c>
      <c r="AT30" s="14">
        <v>-3.767323333799999E-2</v>
      </c>
      <c r="AU30" s="14">
        <v>1.5778301669438843E-2</v>
      </c>
      <c r="AV30" s="14">
        <v>3.9001435882286994E-2</v>
      </c>
      <c r="AW30" s="14">
        <v>4.181102906403901E-2</v>
      </c>
      <c r="AX30" s="14">
        <v>2.1431149486872067E-2</v>
      </c>
      <c r="AY30" s="14">
        <v>4.0979707464537621E-2</v>
      </c>
      <c r="AZ30" s="14">
        <v>2.9867187699238761E-2</v>
      </c>
      <c r="BA30" s="14">
        <v>3.1064457211155153E-2</v>
      </c>
      <c r="BB30" s="14">
        <v>2.6039540054928968E-2</v>
      </c>
      <c r="BC30" s="14">
        <v>-7.7975990562767147E-4</v>
      </c>
      <c r="BD30" s="14">
        <v>4.074721052459624E-2</v>
      </c>
      <c r="BE30" s="14">
        <v>1.2334721964777699E-2</v>
      </c>
      <c r="BF30" s="14">
        <v>3.5927539217790539E-3</v>
      </c>
      <c r="BG30" s="14">
        <v>4.195486121634226E-2</v>
      </c>
      <c r="BH30" s="14">
        <v>1.4548966501464323E-2</v>
      </c>
      <c r="BI30" s="14">
        <v>3.4515740185686573E-2</v>
      </c>
      <c r="BJ30" s="14">
        <v>-1.0505056663126608E-2</v>
      </c>
      <c r="BK30" s="14">
        <v>2.6050268040152078E-2</v>
      </c>
      <c r="BL30" s="14">
        <v>-3.7697615222724717E-3</v>
      </c>
      <c r="BM30" s="14">
        <v>2.6454146801593911E-2</v>
      </c>
      <c r="BN30" s="14">
        <v>4.8934881674165306E-2</v>
      </c>
      <c r="BO30" s="14">
        <v>4.8294148165299068E-2</v>
      </c>
      <c r="BP30" s="14">
        <v>1.0538645924718391E-2</v>
      </c>
      <c r="BQ30" s="14">
        <v>4.5362430323542896E-2</v>
      </c>
      <c r="BR30" s="14">
        <v>2.5263329681517566E-2</v>
      </c>
      <c r="BS30" s="14">
        <v>3.1858021301123696E-2</v>
      </c>
      <c r="BT30" s="14">
        <v>2.9257258668447857E-2</v>
      </c>
    </row>
    <row r="31" spans="1:72">
      <c r="A31" s="336" t="s">
        <v>101</v>
      </c>
      <c r="B31" s="342">
        <v>11.3</v>
      </c>
      <c r="C31" s="343">
        <v>6.4</v>
      </c>
      <c r="D31" s="344">
        <v>80.891227371165002</v>
      </c>
      <c r="E31" s="441">
        <v>750.6</v>
      </c>
      <c r="G31" s="38">
        <v>1</v>
      </c>
      <c r="H31" s="73">
        <f t="shared" si="3"/>
        <v>6.4</v>
      </c>
      <c r="I31" s="73">
        <f t="shared" si="4"/>
        <v>80.891227371165002</v>
      </c>
      <c r="J31" s="72">
        <f t="shared" si="5"/>
        <v>750.6</v>
      </c>
      <c r="L31" s="443">
        <f t="shared" si="1"/>
        <v>11.3</v>
      </c>
      <c r="S31" s="443">
        <v>12.630597532474905</v>
      </c>
      <c r="U31" s="443">
        <f t="shared" si="2"/>
        <v>-1.3305975324749042</v>
      </c>
      <c r="W31" s="14">
        <v>-1.9568299484686774E-2</v>
      </c>
      <c r="X31" s="14">
        <v>8.2204525891435912E-2</v>
      </c>
      <c r="Y31" s="14">
        <v>5.4581993081117913E-2</v>
      </c>
      <c r="Z31" s="14">
        <v>2.3186625624113107E-2</v>
      </c>
      <c r="AA31" s="14">
        <v>8.3136494714593057E-2</v>
      </c>
      <c r="AB31" s="14">
        <v>3.1290858831542312E-2</v>
      </c>
      <c r="AC31" s="14">
        <v>-1.0357582128370096E-2</v>
      </c>
      <c r="AD31" s="14">
        <v>6.7566227508020507E-2</v>
      </c>
      <c r="AE31" s="14">
        <v>0.10157816070829116</v>
      </c>
      <c r="AF31" s="14">
        <v>5.2072624211019665E-3</v>
      </c>
      <c r="AG31" s="14">
        <v>-4.6932351551838891E-2</v>
      </c>
      <c r="AH31" s="14">
        <v>-1.655519923719237E-2</v>
      </c>
      <c r="AI31" s="14">
        <v>4.5318428646434303E-2</v>
      </c>
      <c r="AJ31" s="14">
        <v>-1.7895968695572959E-2</v>
      </c>
      <c r="AK31" s="14">
        <v>3.1298401188884856E-2</v>
      </c>
      <c r="AL31" s="14">
        <v>3.4709500742945827E-2</v>
      </c>
      <c r="AM31" s="14">
        <v>-1.7964583307154308E-2</v>
      </c>
      <c r="AN31" s="14">
        <v>4.0131107112009796E-2</v>
      </c>
      <c r="AO31" s="14">
        <v>-4.1043600184528906E-2</v>
      </c>
      <c r="AP31" s="14">
        <v>4.8822845437367673E-2</v>
      </c>
      <c r="AQ31" s="14">
        <v>6.9408857079619565E-2</v>
      </c>
      <c r="AR31" s="14">
        <v>4.6238856426553919E-2</v>
      </c>
      <c r="AS31" s="14">
        <v>2.2696356191292254E-2</v>
      </c>
      <c r="AT31" s="14">
        <v>-0.10580820347840214</v>
      </c>
      <c r="AU31" s="14">
        <v>4.0827379603224627E-2</v>
      </c>
      <c r="AV31" s="14">
        <v>1.2413062693241821E-2</v>
      </c>
      <c r="AW31" s="14">
        <v>2.1431149486871939E-2</v>
      </c>
      <c r="AX31" s="14">
        <v>0.12780252029224232</v>
      </c>
      <c r="AY31" s="14">
        <v>-3.2481665875298271E-2</v>
      </c>
      <c r="AZ31" s="14">
        <v>1.6377563708522405E-2</v>
      </c>
      <c r="BA31" s="14">
        <v>0.11674658715816577</v>
      </c>
      <c r="BB31" s="14">
        <v>3.68651074007997E-2</v>
      </c>
      <c r="BC31" s="14">
        <v>5.6074454548959984E-3</v>
      </c>
      <c r="BD31" s="14">
        <v>-2.9290128552881961E-2</v>
      </c>
      <c r="BE31" s="14">
        <v>-1.4438043881833992E-2</v>
      </c>
      <c r="BF31" s="14">
        <v>2.1304182542192462E-2</v>
      </c>
      <c r="BG31" s="14">
        <v>1.777908618182681E-2</v>
      </c>
      <c r="BH31" s="14">
        <v>1.1488753787997463E-2</v>
      </c>
      <c r="BI31" s="14">
        <v>-1.2832170806823084E-2</v>
      </c>
      <c r="BJ31" s="14">
        <v>8.9439391636573579E-2</v>
      </c>
      <c r="BK31" s="14">
        <v>-4.524871706146591E-2</v>
      </c>
      <c r="BL31" s="14">
        <v>8.4752036086461563E-2</v>
      </c>
      <c r="BM31" s="14">
        <v>6.2573734487780752E-2</v>
      </c>
      <c r="BN31" s="14">
        <v>1.2499263254617435E-2</v>
      </c>
      <c r="BO31" s="14">
        <v>-2.4100586519833808E-2</v>
      </c>
      <c r="BP31" s="14">
        <v>-3.4171512615040187E-2</v>
      </c>
      <c r="BQ31" s="14">
        <v>4.0555163597206609E-2</v>
      </c>
      <c r="BR31" s="14">
        <v>-1.7424748644551583E-2</v>
      </c>
      <c r="BS31" s="14">
        <v>1.3369996142173629E-3</v>
      </c>
      <c r="BT31" s="14">
        <v>-2.1062566566681318E-2</v>
      </c>
    </row>
    <row r="32" spans="1:72">
      <c r="A32" s="336" t="s">
        <v>102</v>
      </c>
      <c r="B32" s="342">
        <v>7.6</v>
      </c>
      <c r="C32" s="343">
        <v>6.1</v>
      </c>
      <c r="D32" s="344">
        <v>95.487186970145373</v>
      </c>
      <c r="E32" s="441">
        <v>137.30000000000001</v>
      </c>
      <c r="G32" s="38">
        <v>1</v>
      </c>
      <c r="H32" s="73">
        <f t="shared" si="3"/>
        <v>6.1</v>
      </c>
      <c r="I32" s="73">
        <f t="shared" si="4"/>
        <v>95.487186970145373</v>
      </c>
      <c r="J32" s="72">
        <f t="shared" si="5"/>
        <v>137.30000000000001</v>
      </c>
      <c r="L32" s="443">
        <f t="shared" si="1"/>
        <v>7.6</v>
      </c>
      <c r="S32" s="443">
        <v>11.905207608821588</v>
      </c>
      <c r="U32" s="443">
        <f t="shared" si="2"/>
        <v>-4.305207608821588</v>
      </c>
      <c r="W32" s="14">
        <v>1.0401262829553523E-2</v>
      </c>
      <c r="X32" s="14">
        <v>-2.940373068306518E-2</v>
      </c>
      <c r="Y32" s="14">
        <v>1.2633906657327571E-2</v>
      </c>
      <c r="Z32" s="14">
        <v>7.8863921409598383E-3</v>
      </c>
      <c r="AA32" s="14">
        <v>-1.0244925239638936E-2</v>
      </c>
      <c r="AB32" s="14">
        <v>3.2950027468969419E-2</v>
      </c>
      <c r="AC32" s="14">
        <v>4.1932732023570896E-2</v>
      </c>
      <c r="AD32" s="14">
        <v>-2.3503446262871073E-2</v>
      </c>
      <c r="AE32" s="14">
        <v>-2.6008023192247945E-2</v>
      </c>
      <c r="AF32" s="14">
        <v>-6.3139461180649137E-3</v>
      </c>
      <c r="AG32" s="14">
        <v>-2.6023287708384586E-2</v>
      </c>
      <c r="AH32" s="14">
        <v>5.8704451721185602E-2</v>
      </c>
      <c r="AI32" s="14">
        <v>5.2005124029404215E-4</v>
      </c>
      <c r="AJ32" s="14">
        <v>4.2408637132704749E-2</v>
      </c>
      <c r="AK32" s="14">
        <v>4.3275286774941621E-2</v>
      </c>
      <c r="AL32" s="14">
        <v>2.2363736776915707E-2</v>
      </c>
      <c r="AM32" s="14">
        <v>4.8127735915966779E-2</v>
      </c>
      <c r="AN32" s="14">
        <v>-3.3653718444732618E-2</v>
      </c>
      <c r="AO32" s="14">
        <v>7.6230176877765968E-2</v>
      </c>
      <c r="AP32" s="14">
        <v>-3.0463676981874868E-2</v>
      </c>
      <c r="AQ32" s="14">
        <v>1.3119188057104082E-2</v>
      </c>
      <c r="AR32" s="14">
        <v>2.8937535297965111E-3</v>
      </c>
      <c r="AS32" s="14">
        <v>3.8630356583032308E-2</v>
      </c>
      <c r="AT32" s="14">
        <v>2.750013335942824E-2</v>
      </c>
      <c r="AU32" s="14">
        <v>1.1819958971672331E-2</v>
      </c>
      <c r="AV32" s="14">
        <v>4.2901851694579281E-2</v>
      </c>
      <c r="AW32" s="14">
        <v>4.09797074645376E-2</v>
      </c>
      <c r="AX32" s="14">
        <v>-3.2481665875298271E-2</v>
      </c>
      <c r="AY32" s="14">
        <v>7.1585944282461164E-2</v>
      </c>
      <c r="AZ32" s="14">
        <v>1.8972906788463795E-2</v>
      </c>
      <c r="BA32" s="14">
        <v>-1.8892042677420361E-2</v>
      </c>
      <c r="BB32" s="14">
        <v>4.1400500261538449E-3</v>
      </c>
      <c r="BC32" s="14">
        <v>7.4256357607432573E-3</v>
      </c>
      <c r="BD32" s="14">
        <v>6.489431258298127E-2</v>
      </c>
      <c r="BE32" s="14">
        <v>3.6468330379443768E-2</v>
      </c>
      <c r="BF32" s="14">
        <v>7.0845767995012295E-3</v>
      </c>
      <c r="BG32" s="14">
        <v>4.1281507516057095E-2</v>
      </c>
      <c r="BH32" s="14">
        <v>2.5842697558079757E-2</v>
      </c>
      <c r="BI32" s="14">
        <v>5.0519081888752849E-2</v>
      </c>
      <c r="BJ32" s="14">
        <v>-4.3757546946696119E-2</v>
      </c>
      <c r="BK32" s="14">
        <v>6.1831721028149919E-2</v>
      </c>
      <c r="BL32" s="14">
        <v>-2.4056834771087096E-2</v>
      </c>
      <c r="BM32" s="14">
        <v>3.0530672689765507E-3</v>
      </c>
      <c r="BN32" s="14">
        <v>5.0463192902134975E-2</v>
      </c>
      <c r="BO32" s="14">
        <v>7.2069214130470016E-2</v>
      </c>
      <c r="BP32" s="14">
        <v>3.06505901772685E-2</v>
      </c>
      <c r="BQ32" s="14">
        <v>2.4689686175618279E-2</v>
      </c>
      <c r="BR32" s="14">
        <v>5.5910325539616404E-2</v>
      </c>
      <c r="BS32" s="14">
        <v>4.39502514374598E-2</v>
      </c>
      <c r="BT32" s="14">
        <v>5.8690405438747976E-2</v>
      </c>
    </row>
    <row r="33" spans="1:72">
      <c r="A33" s="336" t="s">
        <v>103</v>
      </c>
      <c r="B33" s="342">
        <v>8.6999999999999993</v>
      </c>
      <c r="C33" s="343">
        <v>5.5</v>
      </c>
      <c r="D33" s="344">
        <v>76.032117342828414</v>
      </c>
      <c r="E33" s="441">
        <v>329.3</v>
      </c>
      <c r="G33" s="38">
        <v>1</v>
      </c>
      <c r="H33" s="73">
        <f t="shared" si="3"/>
        <v>5.5</v>
      </c>
      <c r="I33" s="73">
        <f t="shared" si="4"/>
        <v>76.032117342828414</v>
      </c>
      <c r="J33" s="72">
        <f t="shared" si="5"/>
        <v>329.3</v>
      </c>
      <c r="L33" s="443">
        <f t="shared" si="1"/>
        <v>8.6999999999999993</v>
      </c>
      <c r="S33" s="443">
        <v>10.703770804947315</v>
      </c>
      <c r="U33" s="443">
        <f t="shared" si="2"/>
        <v>-2.0037708049473153</v>
      </c>
      <c r="W33" s="14">
        <v>-2.4450739710530252E-3</v>
      </c>
      <c r="X33" s="14">
        <v>3.0245899523651185E-2</v>
      </c>
      <c r="Y33" s="14">
        <v>1.6450883172439059E-2</v>
      </c>
      <c r="Z33" s="14">
        <v>-1.499631601441386E-2</v>
      </c>
      <c r="AA33" s="14">
        <v>6.1008205937747702E-2</v>
      </c>
      <c r="AB33" s="14">
        <v>2.925085539373035E-2</v>
      </c>
      <c r="AC33" s="14">
        <v>3.3896408010606088E-2</v>
      </c>
      <c r="AD33" s="14">
        <v>-5.0339912583725541E-3</v>
      </c>
      <c r="AE33" s="14">
        <v>2.2049349141958635E-3</v>
      </c>
      <c r="AF33" s="14">
        <v>2.4039006301866978E-2</v>
      </c>
      <c r="AG33" s="14">
        <v>0.15058485730038176</v>
      </c>
      <c r="AH33" s="14">
        <v>2.977601288228101E-3</v>
      </c>
      <c r="AI33" s="14">
        <v>1.1257437048659388E-2</v>
      </c>
      <c r="AJ33" s="14">
        <v>-1.1299532355360214E-2</v>
      </c>
      <c r="AK33" s="14">
        <v>3.4434356974180409E-2</v>
      </c>
      <c r="AL33" s="14">
        <v>-1.2044550071028254E-4</v>
      </c>
      <c r="AM33" s="14">
        <v>-3.7388880314478366E-3</v>
      </c>
      <c r="AN33" s="14">
        <v>-1.9372850846718935E-2</v>
      </c>
      <c r="AO33" s="14">
        <v>1.4144692297630837E-2</v>
      </c>
      <c r="AP33" s="14">
        <v>2.3750553975875621E-2</v>
      </c>
      <c r="AQ33" s="14">
        <v>5.0077008425053929E-2</v>
      </c>
      <c r="AR33" s="14">
        <v>5.23776899422514E-3</v>
      </c>
      <c r="AS33" s="14">
        <v>4.2670946872070438E-2</v>
      </c>
      <c r="AT33" s="14">
        <v>-6.7923416348844717E-3</v>
      </c>
      <c r="AU33" s="14">
        <v>-9.3916517293924848E-4</v>
      </c>
      <c r="AV33" s="14">
        <v>2.8359704792122527E-2</v>
      </c>
      <c r="AW33" s="14">
        <v>2.9867187699238885E-2</v>
      </c>
      <c r="AX33" s="14">
        <v>1.6377563708522974E-2</v>
      </c>
      <c r="AY33" s="14">
        <v>1.8972906788463674E-2</v>
      </c>
      <c r="AZ33" s="14">
        <v>6.0412896712628575E-2</v>
      </c>
      <c r="BA33" s="14">
        <v>2.5499786690788423E-2</v>
      </c>
      <c r="BB33" s="14">
        <v>6.0067549298095803E-2</v>
      </c>
      <c r="BC33" s="14">
        <v>8.5755519259013025E-3</v>
      </c>
      <c r="BD33" s="14">
        <v>3.2495914781403304E-2</v>
      </c>
      <c r="BE33" s="14">
        <v>-1.5562936944270023E-3</v>
      </c>
      <c r="BF33" s="14">
        <v>1.0112718786951551E-3</v>
      </c>
      <c r="BG33" s="14">
        <v>3.4792421785851076E-2</v>
      </c>
      <c r="BH33" s="14">
        <v>-1.9618250829922771E-3</v>
      </c>
      <c r="BI33" s="14">
        <v>2.8858965602538283E-2</v>
      </c>
      <c r="BJ33" s="14">
        <v>-3.3093468622791278E-4</v>
      </c>
      <c r="BK33" s="14">
        <v>1.6328199153801508E-2</v>
      </c>
      <c r="BL33" s="14">
        <v>-2.7216255384506602E-2</v>
      </c>
      <c r="BM33" s="14">
        <v>2.7125995295774471E-2</v>
      </c>
      <c r="BN33" s="14">
        <v>3.9312693256752865E-2</v>
      </c>
      <c r="BO33" s="14">
        <v>2.9325035673348598E-2</v>
      </c>
      <c r="BP33" s="14">
        <v>3.7710061754939135E-2</v>
      </c>
      <c r="BQ33" s="14">
        <v>5.9736815354349701E-2</v>
      </c>
      <c r="BR33" s="14">
        <v>-9.9442139593713536E-3</v>
      </c>
      <c r="BS33" s="14">
        <v>1.8152755059444962E-2</v>
      </c>
      <c r="BT33" s="14">
        <v>5.3343395023358608E-4</v>
      </c>
    </row>
    <row r="34" spans="1:72">
      <c r="A34" s="336" t="s">
        <v>104</v>
      </c>
      <c r="B34" s="342">
        <v>17.100000000000001</v>
      </c>
      <c r="C34" s="343">
        <v>5.8</v>
      </c>
      <c r="D34" s="344">
        <v>83.996520785584835</v>
      </c>
      <c r="E34" s="441">
        <v>664.2</v>
      </c>
      <c r="G34" s="38">
        <v>1</v>
      </c>
      <c r="H34" s="73">
        <f t="shared" si="3"/>
        <v>5.8</v>
      </c>
      <c r="I34" s="73">
        <f t="shared" si="4"/>
        <v>83.996520785584835</v>
      </c>
      <c r="J34" s="72">
        <f t="shared" si="5"/>
        <v>664.2</v>
      </c>
      <c r="L34" s="443">
        <f t="shared" si="1"/>
        <v>17.100000000000001</v>
      </c>
      <c r="S34" s="443">
        <v>11.852963983075865</v>
      </c>
      <c r="U34" s="443">
        <f t="shared" si="2"/>
        <v>5.2470360169241363</v>
      </c>
      <c r="W34" s="14">
        <v>-3.107827529853182E-2</v>
      </c>
      <c r="X34" s="14">
        <v>7.2274844031362251E-2</v>
      </c>
      <c r="Y34" s="14">
        <v>5.3689962248174447E-2</v>
      </c>
      <c r="Z34" s="14">
        <v>1.0856136525117511E-2</v>
      </c>
      <c r="AA34" s="14">
        <v>8.7215106136551521E-2</v>
      </c>
      <c r="AB34" s="14">
        <v>3.87429202566053E-2</v>
      </c>
      <c r="AC34" s="14">
        <v>-1.7038204474614793E-3</v>
      </c>
      <c r="AD34" s="14">
        <v>5.0105561892895847E-2</v>
      </c>
      <c r="AE34" s="14">
        <v>8.7440454552451419E-2</v>
      </c>
      <c r="AF34" s="14">
        <v>-3.8526564653916726E-3</v>
      </c>
      <c r="AG34" s="14">
        <v>-3.5971817648298987E-2</v>
      </c>
      <c r="AH34" s="14">
        <v>-1.0070685014693742E-2</v>
      </c>
      <c r="AI34" s="14">
        <v>3.8381628446887514E-2</v>
      </c>
      <c r="AJ34" s="14">
        <v>-2.0502873082507089E-2</v>
      </c>
      <c r="AK34" s="14">
        <v>4.352049638179057E-2</v>
      </c>
      <c r="AL34" s="14">
        <v>3.1723088896612642E-2</v>
      </c>
      <c r="AM34" s="14">
        <v>-1.6805329714980187E-2</v>
      </c>
      <c r="AN34" s="14">
        <v>1.3792668624302985E-2</v>
      </c>
      <c r="AO34" s="14">
        <v>-2.7645501762664962E-2</v>
      </c>
      <c r="AP34" s="14">
        <v>3.4578740008279207E-2</v>
      </c>
      <c r="AQ34" s="14">
        <v>7.7840762835887339E-2</v>
      </c>
      <c r="AR34" s="14">
        <v>3.8727856799862778E-2</v>
      </c>
      <c r="AS34" s="14">
        <v>3.4702232505305616E-2</v>
      </c>
      <c r="AT34" s="14">
        <v>-0.11870512324031726</v>
      </c>
      <c r="AU34" s="14">
        <v>3.448582293540374E-2</v>
      </c>
      <c r="AV34" s="14">
        <v>2.1693533654023416E-2</v>
      </c>
      <c r="AW34" s="14">
        <v>3.1064457211155062E-2</v>
      </c>
      <c r="AX34" s="14">
        <v>0.11674658715816592</v>
      </c>
      <c r="AY34" s="14">
        <v>-1.889204267742034E-2</v>
      </c>
      <c r="AZ34" s="14">
        <v>2.5499786690787903E-2</v>
      </c>
      <c r="BA34" s="14">
        <v>0.11173071043669271</v>
      </c>
      <c r="BB34" s="14">
        <v>4.2311757702631764E-2</v>
      </c>
      <c r="BC34" s="14">
        <v>-2.4618786297531704E-3</v>
      </c>
      <c r="BD34" s="14">
        <v>-1.449775394083086E-2</v>
      </c>
      <c r="BE34" s="14">
        <v>-1.6477102420536946E-2</v>
      </c>
      <c r="BF34" s="14">
        <v>1.2420282115336998E-2</v>
      </c>
      <c r="BG34" s="14">
        <v>2.8440006098567852E-2</v>
      </c>
      <c r="BH34" s="14">
        <v>7.5836752156484173E-3</v>
      </c>
      <c r="BI34" s="14">
        <v>-2.6403046946828629E-3</v>
      </c>
      <c r="BJ34" s="14">
        <v>6.7769171229904404E-2</v>
      </c>
      <c r="BK34" s="14">
        <v>-3.653610473125235E-2</v>
      </c>
      <c r="BL34" s="14">
        <v>6.2990823936845686E-2</v>
      </c>
      <c r="BM34" s="14">
        <v>6.1556847881525253E-2</v>
      </c>
      <c r="BN34" s="14">
        <v>2.7002140285983092E-2</v>
      </c>
      <c r="BO34" s="14">
        <v>-7.2535267713694229E-3</v>
      </c>
      <c r="BP34" s="14">
        <v>-3.0151137077787854E-2</v>
      </c>
      <c r="BQ34" s="14">
        <v>5.3194367389222376E-2</v>
      </c>
      <c r="BR34" s="14">
        <v>-1.5067020994936488E-2</v>
      </c>
      <c r="BS34" s="14">
        <v>7.7244911898057753E-3</v>
      </c>
      <c r="BT34" s="14">
        <v>-1.5493966660362304E-2</v>
      </c>
    </row>
    <row r="35" spans="1:72">
      <c r="A35" s="336" t="s">
        <v>105</v>
      </c>
      <c r="B35" s="342">
        <v>13.6</v>
      </c>
      <c r="C35" s="343">
        <v>5.6</v>
      </c>
      <c r="D35" s="344">
        <v>73.422529169257928</v>
      </c>
      <c r="E35" s="441">
        <v>414.1</v>
      </c>
      <c r="G35" s="38">
        <v>1</v>
      </c>
      <c r="H35" s="73">
        <f t="shared" si="3"/>
        <v>5.6</v>
      </c>
      <c r="I35" s="73">
        <f t="shared" si="4"/>
        <v>73.422529169257928</v>
      </c>
      <c r="J35" s="72">
        <f t="shared" si="5"/>
        <v>414.1</v>
      </c>
      <c r="L35" s="443">
        <f t="shared" si="1"/>
        <v>13.6</v>
      </c>
      <c r="S35" s="443">
        <v>10.857452575591617</v>
      </c>
      <c r="U35" s="443">
        <f t="shared" si="2"/>
        <v>2.7425474244083823</v>
      </c>
      <c r="W35" s="14">
        <v>-4.4593352615353993E-3</v>
      </c>
      <c r="X35" s="14">
        <v>4.5590259397661898E-2</v>
      </c>
      <c r="Y35" s="14">
        <v>2.1261984557831723E-2</v>
      </c>
      <c r="Z35" s="14">
        <v>-1.225952625805444E-2</v>
      </c>
      <c r="AA35" s="14">
        <v>7.2723432454270057E-2</v>
      </c>
      <c r="AB35" s="14">
        <v>2.7902539462339757E-2</v>
      </c>
      <c r="AC35" s="14">
        <v>2.6731397512832746E-2</v>
      </c>
      <c r="AD35" s="14">
        <v>7.9167481753568067E-3</v>
      </c>
      <c r="AE35" s="14">
        <v>1.8952940748171207E-2</v>
      </c>
      <c r="AF35" s="14">
        <v>2.7482575625701854E-2</v>
      </c>
      <c r="AG35" s="14">
        <v>0.15200159175183153</v>
      </c>
      <c r="AH35" s="14">
        <v>-7.8003580233035122E-3</v>
      </c>
      <c r="AI35" s="14">
        <v>1.7442705331813323E-2</v>
      </c>
      <c r="AJ35" s="14">
        <v>-1.9097656545269424E-2</v>
      </c>
      <c r="AK35" s="14">
        <v>3.11319386901543E-2</v>
      </c>
      <c r="AL35" s="14">
        <v>9.8020583912725862E-4</v>
      </c>
      <c r="AM35" s="14">
        <v>-1.2647407653469875E-2</v>
      </c>
      <c r="AN35" s="14">
        <v>-7.1702804858881017E-3</v>
      </c>
      <c r="AO35" s="14">
        <v>-2.3816627810581553E-3</v>
      </c>
      <c r="AP35" s="14">
        <v>3.6023529277907265E-2</v>
      </c>
      <c r="AQ35" s="14">
        <v>5.6112996833297235E-2</v>
      </c>
      <c r="AR35" s="14">
        <v>1.1096624736659864E-2</v>
      </c>
      <c r="AS35" s="14">
        <v>3.9350981817924249E-2</v>
      </c>
      <c r="AT35" s="14">
        <v>-2.0508076471438819E-2</v>
      </c>
      <c r="AU35" s="14">
        <v>2.7423520507591018E-3</v>
      </c>
      <c r="AV35" s="14">
        <v>2.3288021895952721E-2</v>
      </c>
      <c r="AW35" s="14">
        <v>2.6039540054929335E-2</v>
      </c>
      <c r="AX35" s="14">
        <v>3.6865107400800429E-2</v>
      </c>
      <c r="AY35" s="14">
        <v>4.1400500261539394E-3</v>
      </c>
      <c r="AZ35" s="14">
        <v>6.0067549298095921E-2</v>
      </c>
      <c r="BA35" s="14">
        <v>4.2311757702632458E-2</v>
      </c>
      <c r="BB35" s="14">
        <v>6.4523349754349535E-2</v>
      </c>
      <c r="BC35" s="14">
        <v>9.5567516030743479E-3</v>
      </c>
      <c r="BD35" s="14">
        <v>1.917031581763836E-2</v>
      </c>
      <c r="BE35" s="14">
        <v>-7.944612683501287E-3</v>
      </c>
      <c r="BF35" s="14">
        <v>3.6409407722574217E-3</v>
      </c>
      <c r="BG35" s="14">
        <v>3.05255513710719E-2</v>
      </c>
      <c r="BH35" s="14">
        <v>-3.7984127898923001E-3</v>
      </c>
      <c r="BI35" s="14">
        <v>1.986534301045121E-2</v>
      </c>
      <c r="BJ35" s="14">
        <v>1.8549732391828472E-2</v>
      </c>
      <c r="BK35" s="14">
        <v>2.0705150431866992E-3</v>
      </c>
      <c r="BL35" s="14">
        <v>-1.2365228156456742E-2</v>
      </c>
      <c r="BM35" s="14">
        <v>3.4471892535308274E-2</v>
      </c>
      <c r="BN35" s="14">
        <v>3.2786163117649751E-2</v>
      </c>
      <c r="BO35" s="14">
        <v>1.5183926147388414E-2</v>
      </c>
      <c r="BP35" s="14">
        <v>3.0285815288262671E-2</v>
      </c>
      <c r="BQ35" s="14">
        <v>6.0713955674309185E-2</v>
      </c>
      <c r="BR35" s="14">
        <v>-2.0227910584228508E-2</v>
      </c>
      <c r="BS35" s="14">
        <v>1.1835809952015545E-2</v>
      </c>
      <c r="BT35" s="14">
        <v>-1.0676425426887695E-2</v>
      </c>
    </row>
    <row r="36" spans="1:72">
      <c r="A36" s="336" t="s">
        <v>106</v>
      </c>
      <c r="B36" s="342">
        <v>14.6</v>
      </c>
      <c r="C36" s="343">
        <v>8.1</v>
      </c>
      <c r="D36" s="344">
        <v>73.937344387272134</v>
      </c>
      <c r="E36" s="441">
        <v>466.4</v>
      </c>
      <c r="G36" s="38">
        <v>1</v>
      </c>
      <c r="H36" s="73">
        <f t="shared" si="3"/>
        <v>8.1</v>
      </c>
      <c r="I36" s="73">
        <f t="shared" si="4"/>
        <v>73.937344387272134</v>
      </c>
      <c r="J36" s="72">
        <f t="shared" si="5"/>
        <v>466.4</v>
      </c>
      <c r="L36" s="443">
        <f t="shared" si="1"/>
        <v>14.6</v>
      </c>
      <c r="S36" s="443">
        <v>14.148922758102305</v>
      </c>
      <c r="U36" s="443">
        <f t="shared" si="2"/>
        <v>0.45107724189769449</v>
      </c>
      <c r="W36" s="14">
        <v>5.6399176421514458E-2</v>
      </c>
      <c r="X36" s="14">
        <v>2.2472414887263037E-2</v>
      </c>
      <c r="Y36" s="14">
        <v>8.741822381678109E-3</v>
      </c>
      <c r="Z36" s="14">
        <v>4.013423801532863E-2</v>
      </c>
      <c r="AA36" s="14">
        <v>-3.9234327718870726E-3</v>
      </c>
      <c r="AB36" s="14">
        <v>5.538896293249395E-4</v>
      </c>
      <c r="AC36" s="14">
        <v>1.38945501956909E-2</v>
      </c>
      <c r="AD36" s="14">
        <v>3.7923593978779535E-2</v>
      </c>
      <c r="AE36" s="14">
        <v>1.9350257368609153E-2</v>
      </c>
      <c r="AF36" s="14">
        <v>4.7198670391093961E-2</v>
      </c>
      <c r="AG36" s="14">
        <v>4.605758886564193E-2</v>
      </c>
      <c r="AH36" s="14">
        <v>1.4763188785386419E-2</v>
      </c>
      <c r="AI36" s="14">
        <v>2.5032787568414632E-2</v>
      </c>
      <c r="AJ36" s="14">
        <v>3.3341158240850606E-2</v>
      </c>
      <c r="AK36" s="14">
        <v>-9.4185179718435895E-3</v>
      </c>
      <c r="AL36" s="14">
        <v>1.7389140718351355E-2</v>
      </c>
      <c r="AM36" s="14">
        <v>2.6213597515743807E-2</v>
      </c>
      <c r="AN36" s="14">
        <v>6.5492384016925378E-2</v>
      </c>
      <c r="AO36" s="14">
        <v>9.9846591652449773E-3</v>
      </c>
      <c r="AP36" s="14">
        <v>4.3266073141573456E-2</v>
      </c>
      <c r="AQ36" s="14">
        <v>-1.1272139252396805E-2</v>
      </c>
      <c r="AR36" s="14">
        <v>2.4779274960759864E-2</v>
      </c>
      <c r="AS36" s="14">
        <v>-4.0792323647911039E-3</v>
      </c>
      <c r="AT36" s="14">
        <v>9.0100302495354417E-2</v>
      </c>
      <c r="AU36" s="14">
        <v>2.2760827497839267E-2</v>
      </c>
      <c r="AV36" s="14">
        <v>3.0072209010451687E-3</v>
      </c>
      <c r="AW36" s="14">
        <v>-7.797599056278701E-4</v>
      </c>
      <c r="AX36" s="14">
        <v>5.6074454548957764E-3</v>
      </c>
      <c r="AY36" s="14">
        <v>7.4256357607429962E-3</v>
      </c>
      <c r="AZ36" s="14">
        <v>8.5755519259014396E-3</v>
      </c>
      <c r="BA36" s="14">
        <v>-2.4618786297534306E-3</v>
      </c>
      <c r="BB36" s="14">
        <v>9.5567516030743375E-3</v>
      </c>
      <c r="BC36" s="14">
        <v>4.1553683449332475E-2</v>
      </c>
      <c r="BD36" s="14">
        <v>6.2826199519788739E-3</v>
      </c>
      <c r="BE36" s="14">
        <v>3.2787611602914088E-2</v>
      </c>
      <c r="BF36" s="14">
        <v>3.6157969046530819E-2</v>
      </c>
      <c r="BG36" s="14">
        <v>-8.0863349698306886E-4</v>
      </c>
      <c r="BH36" s="14">
        <v>2.7586724796754163E-2</v>
      </c>
      <c r="BI36" s="14">
        <v>1.018973493096037E-2</v>
      </c>
      <c r="BJ36" s="14">
        <v>4.0683375925873913E-2</v>
      </c>
      <c r="BK36" s="14">
        <v>2.2816483807493987E-2</v>
      </c>
      <c r="BL36" s="14">
        <v>3.7026597676892703E-2</v>
      </c>
      <c r="BM36" s="14">
        <v>8.3350074277196359E-3</v>
      </c>
      <c r="BN36" s="14">
        <v>-6.8451329002612582E-3</v>
      </c>
      <c r="BO36" s="14">
        <v>-1.0210211735803623E-3</v>
      </c>
      <c r="BP36" s="14">
        <v>3.408125450645863E-2</v>
      </c>
      <c r="BQ36" s="14">
        <v>-8.508210824178096E-3</v>
      </c>
      <c r="BR36" s="14">
        <v>2.1955784282873134E-2</v>
      </c>
      <c r="BS36" s="14">
        <v>1.1621099458468002E-2</v>
      </c>
      <c r="BT36" s="14">
        <v>1.8017810540027587E-2</v>
      </c>
    </row>
    <row r="37" spans="1:72">
      <c r="A37" s="336" t="s">
        <v>107</v>
      </c>
      <c r="B37" s="447">
        <v>12</v>
      </c>
      <c r="C37" s="343">
        <v>5.8</v>
      </c>
      <c r="D37" s="344">
        <v>91.393509706444945</v>
      </c>
      <c r="E37" s="441">
        <v>142.4</v>
      </c>
      <c r="G37" s="38">
        <v>1</v>
      </c>
      <c r="H37" s="73">
        <f t="shared" si="3"/>
        <v>5.8</v>
      </c>
      <c r="I37" s="73">
        <f t="shared" si="4"/>
        <v>91.393509706444945</v>
      </c>
      <c r="J37" s="72">
        <f t="shared" si="5"/>
        <v>142.4</v>
      </c>
      <c r="L37" s="443">
        <f t="shared" si="1"/>
        <v>12</v>
      </c>
      <c r="S37" s="443">
        <v>11.379935658704422</v>
      </c>
      <c r="U37" s="443">
        <f t="shared" si="2"/>
        <v>0.62006434129557775</v>
      </c>
      <c r="W37" s="14">
        <v>6.1379872496092024E-3</v>
      </c>
      <c r="X37" s="14">
        <v>-2.0424629815284985E-2</v>
      </c>
      <c r="Y37" s="14">
        <v>1.1340286508968228E-2</v>
      </c>
      <c r="Z37" s="14">
        <v>-1.7158627425349522E-3</v>
      </c>
      <c r="AA37" s="14">
        <v>5.6501815951349281E-3</v>
      </c>
      <c r="AB37" s="14">
        <v>3.3440330272589927E-2</v>
      </c>
      <c r="AC37" s="14">
        <v>4.4084315280008154E-2</v>
      </c>
      <c r="AD37" s="14">
        <v>-2.6458042589421294E-2</v>
      </c>
      <c r="AE37" s="14">
        <v>-2.7495009723741068E-2</v>
      </c>
      <c r="AF37" s="14">
        <v>-1.5452031798820001E-4</v>
      </c>
      <c r="AG37" s="14">
        <v>2.6724545551752188E-2</v>
      </c>
      <c r="AH37" s="14">
        <v>4.826021189990809E-2</v>
      </c>
      <c r="AI37" s="14">
        <v>-1.5044182137017269E-4</v>
      </c>
      <c r="AJ37" s="14">
        <v>2.999102094593575E-2</v>
      </c>
      <c r="AK37" s="14">
        <v>4.3784979801918165E-2</v>
      </c>
      <c r="AL37" s="14">
        <v>1.483470020273751E-2</v>
      </c>
      <c r="AM37" s="14">
        <v>3.725738617013391E-2</v>
      </c>
      <c r="AN37" s="14">
        <v>-3.8596937759214987E-2</v>
      </c>
      <c r="AO37" s="14">
        <v>6.753463659808065E-2</v>
      </c>
      <c r="AP37" s="14">
        <v>-2.2154743972468176E-2</v>
      </c>
      <c r="AQ37" s="14">
        <v>2.2174889161527555E-2</v>
      </c>
      <c r="AR37" s="14">
        <v>-1.6605734641712486E-4</v>
      </c>
      <c r="AS37" s="14">
        <v>4.2918041589499578E-2</v>
      </c>
      <c r="AT37" s="14">
        <v>2.2352597141317244E-2</v>
      </c>
      <c r="AU37" s="14">
        <v>5.4992427629469934E-3</v>
      </c>
      <c r="AV37" s="14">
        <v>4.22107708339578E-2</v>
      </c>
      <c r="AW37" s="14">
        <v>4.0747210524596171E-2</v>
      </c>
      <c r="AX37" s="14">
        <v>-2.9290128552881906E-2</v>
      </c>
      <c r="AY37" s="14">
        <v>6.4894312582981159E-2</v>
      </c>
      <c r="AZ37" s="14">
        <v>3.2495914781403339E-2</v>
      </c>
      <c r="BA37" s="14">
        <v>-1.4497753940830804E-2</v>
      </c>
      <c r="BB37" s="14">
        <v>1.91703158176382E-2</v>
      </c>
      <c r="BC37" s="14">
        <v>6.2826199519789225E-3</v>
      </c>
      <c r="BD37" s="14">
        <v>6.3588782287749418E-2</v>
      </c>
      <c r="BE37" s="14">
        <v>2.8068469073779849E-2</v>
      </c>
      <c r="BF37" s="14">
        <v>2.9200887048794317E-3</v>
      </c>
      <c r="BG37" s="14">
        <v>4.2751122226018082E-2</v>
      </c>
      <c r="BH37" s="14">
        <v>1.8038738435850694E-2</v>
      </c>
      <c r="BI37" s="14">
        <v>4.9724785190193403E-2</v>
      </c>
      <c r="BJ37" s="14">
        <v>-4.2727234506210174E-2</v>
      </c>
      <c r="BK37" s="14">
        <v>5.6348429978906003E-2</v>
      </c>
      <c r="BL37" s="14">
        <v>-3.4836508348894311E-2</v>
      </c>
      <c r="BM37" s="14">
        <v>6.4986296423346218E-3</v>
      </c>
      <c r="BN37" s="14">
        <v>5.2123948697268323E-2</v>
      </c>
      <c r="BO37" s="14">
        <v>6.8362953469375182E-2</v>
      </c>
      <c r="BP37" s="14">
        <v>3.6794997491146189E-2</v>
      </c>
      <c r="BQ37" s="14">
        <v>3.6135215898069235E-2</v>
      </c>
      <c r="BR37" s="14">
        <v>4.1726790495318924E-2</v>
      </c>
      <c r="BS37" s="14">
        <v>4.0176229491618566E-2</v>
      </c>
      <c r="BT37" s="14">
        <v>4.7622193130133411E-2</v>
      </c>
    </row>
    <row r="38" spans="1:72">
      <c r="A38" s="336" t="s">
        <v>108</v>
      </c>
      <c r="B38" s="342">
        <v>13.4</v>
      </c>
      <c r="C38" s="343">
        <v>7.8</v>
      </c>
      <c r="D38" s="344">
        <v>84.764237226305966</v>
      </c>
      <c r="E38" s="441">
        <v>343.2</v>
      </c>
      <c r="G38" s="38">
        <v>1</v>
      </c>
      <c r="H38" s="73">
        <f t="shared" si="3"/>
        <v>7.8</v>
      </c>
      <c r="I38" s="73">
        <f t="shared" si="4"/>
        <v>84.764237226305966</v>
      </c>
      <c r="J38" s="72">
        <f t="shared" si="5"/>
        <v>343.2</v>
      </c>
      <c r="L38" s="443">
        <f t="shared" si="1"/>
        <v>13.4</v>
      </c>
      <c r="S38" s="443">
        <v>13.983290890156265</v>
      </c>
      <c r="U38" s="443">
        <f t="shared" si="2"/>
        <v>-0.58329089015626501</v>
      </c>
      <c r="W38" s="14">
        <v>4.8250894154049817E-2</v>
      </c>
      <c r="X38" s="14">
        <v>-5.5038368644961602E-3</v>
      </c>
      <c r="Y38" s="14">
        <v>9.6249069148589481E-3</v>
      </c>
      <c r="Z38" s="14">
        <v>3.9589583128445155E-2</v>
      </c>
      <c r="AA38" s="14">
        <v>-2.4734761938326334E-2</v>
      </c>
      <c r="AB38" s="14">
        <v>9.5808378603631089E-3</v>
      </c>
      <c r="AC38" s="14">
        <v>2.1856775626549405E-2</v>
      </c>
      <c r="AD38" s="14">
        <v>1.9606250680169544E-2</v>
      </c>
      <c r="AE38" s="14">
        <v>2.9567364412230318E-3</v>
      </c>
      <c r="AF38" s="14">
        <v>2.513680201780966E-2</v>
      </c>
      <c r="AG38" s="14">
        <v>-2.5919475030041064E-2</v>
      </c>
      <c r="AH38" s="14">
        <v>4.0544574474353973E-2</v>
      </c>
      <c r="AI38" s="14">
        <v>1.6918111428067477E-2</v>
      </c>
      <c r="AJ38" s="14">
        <v>5.0345217995780955E-2</v>
      </c>
      <c r="AK38" s="14">
        <v>5.8826396573464657E-3</v>
      </c>
      <c r="AL38" s="14">
        <v>2.5773947254201426E-2</v>
      </c>
      <c r="AM38" s="14">
        <v>4.5656861742439665E-2</v>
      </c>
      <c r="AN38" s="14">
        <v>3.8751295808043221E-2</v>
      </c>
      <c r="AO38" s="14">
        <v>4.2078691533392533E-2</v>
      </c>
      <c r="AP38" s="14">
        <v>1.0745158640554437E-2</v>
      </c>
      <c r="AQ38" s="14">
        <v>-1.5077241907151651E-2</v>
      </c>
      <c r="AR38" s="14">
        <v>1.9825926542907605E-2</v>
      </c>
      <c r="AS38" s="14">
        <v>4.7497254622034307E-3</v>
      </c>
      <c r="AT38" s="14">
        <v>8.1722364274078058E-2</v>
      </c>
      <c r="AU38" s="14">
        <v>2.4715822394568276E-2</v>
      </c>
      <c r="AV38" s="14">
        <v>1.6423946734047859E-2</v>
      </c>
      <c r="AW38" s="14">
        <v>1.2334721964777366E-2</v>
      </c>
      <c r="AX38" s="14">
        <v>-1.4438043881834478E-2</v>
      </c>
      <c r="AY38" s="14">
        <v>3.6468330379443505E-2</v>
      </c>
      <c r="AZ38" s="14">
        <v>-1.5562936944268808E-3</v>
      </c>
      <c r="BA38" s="14">
        <v>-1.6477102420537459E-2</v>
      </c>
      <c r="BB38" s="14">
        <v>-7.9446126835014085E-3</v>
      </c>
      <c r="BC38" s="14">
        <v>3.2787611602914157E-2</v>
      </c>
      <c r="BD38" s="14">
        <v>2.80684690737798E-2</v>
      </c>
      <c r="BE38" s="14">
        <v>4.3941135407388685E-2</v>
      </c>
      <c r="BF38" s="14">
        <v>3.1247010757157374E-2</v>
      </c>
      <c r="BG38" s="14">
        <v>1.0876811424568041E-2</v>
      </c>
      <c r="BH38" s="14">
        <v>3.5249358251214391E-2</v>
      </c>
      <c r="BI38" s="14">
        <v>2.5025376905021157E-2</v>
      </c>
      <c r="BJ38" s="14">
        <v>1.0221081216096578E-2</v>
      </c>
      <c r="BK38" s="14">
        <v>4.3450776579803264E-2</v>
      </c>
      <c r="BL38" s="14">
        <v>2.5838329897970469E-2</v>
      </c>
      <c r="BM38" s="14">
        <v>1.2595629959516325E-3</v>
      </c>
      <c r="BN38" s="14">
        <v>9.6150060669265344E-3</v>
      </c>
      <c r="BO38" s="14">
        <v>2.7412767748909959E-2</v>
      </c>
      <c r="BP38" s="14">
        <v>2.9405957872612007E-2</v>
      </c>
      <c r="BQ38" s="14">
        <v>-1.0623111629250703E-2</v>
      </c>
      <c r="BR38" s="14">
        <v>4.8421072151702854E-2</v>
      </c>
      <c r="BS38" s="14">
        <v>2.6293471536363459E-2</v>
      </c>
      <c r="BT38" s="14">
        <v>4.3620557451512831E-2</v>
      </c>
    </row>
    <row r="39" spans="1:72">
      <c r="A39" s="336" t="s">
        <v>109</v>
      </c>
      <c r="B39" s="342">
        <v>15.9</v>
      </c>
      <c r="C39" s="343">
        <v>8</v>
      </c>
      <c r="D39" s="344">
        <v>78.141238608693655</v>
      </c>
      <c r="E39" s="441">
        <v>499.6</v>
      </c>
      <c r="G39" s="38">
        <v>1</v>
      </c>
      <c r="H39" s="73">
        <f t="shared" si="3"/>
        <v>8</v>
      </c>
      <c r="I39" s="73">
        <f t="shared" si="4"/>
        <v>78.141238608693655</v>
      </c>
      <c r="J39" s="72">
        <f t="shared" si="5"/>
        <v>499.6</v>
      </c>
      <c r="L39" s="443">
        <f t="shared" si="1"/>
        <v>15.9</v>
      </c>
      <c r="S39" s="443">
        <v>14.220894101178885</v>
      </c>
      <c r="U39" s="443">
        <f t="shared" si="2"/>
        <v>1.6791058988211152</v>
      </c>
      <c r="W39" s="14">
        <v>4.674675424587621E-2</v>
      </c>
      <c r="X39" s="14">
        <v>2.4559596661923561E-2</v>
      </c>
      <c r="Y39" s="14">
        <v>1.6647036500919532E-2</v>
      </c>
      <c r="Z39" s="14">
        <v>4.3269906436049804E-2</v>
      </c>
      <c r="AA39" s="14">
        <v>-1.3457051681182441E-3</v>
      </c>
      <c r="AB39" s="14">
        <v>5.5551465512089677E-3</v>
      </c>
      <c r="AC39" s="14">
        <v>9.3465739044115356E-3</v>
      </c>
      <c r="AD39" s="14">
        <v>4.3150424434160284E-2</v>
      </c>
      <c r="AE39" s="14">
        <v>3.1923680946770297E-2</v>
      </c>
      <c r="AF39" s="14">
        <v>3.5654803656483741E-2</v>
      </c>
      <c r="AG39" s="14">
        <v>-4.4827728533978761E-3</v>
      </c>
      <c r="AH39" s="14">
        <v>1.7806985367374635E-2</v>
      </c>
      <c r="AI39" s="14">
        <v>2.8067390239844243E-2</v>
      </c>
      <c r="AJ39" s="14">
        <v>3.396125622040537E-2</v>
      </c>
      <c r="AK39" s="14">
        <v>-2.5037287136131774E-3</v>
      </c>
      <c r="AL39" s="14">
        <v>2.5111377559534083E-2</v>
      </c>
      <c r="AM39" s="14">
        <v>2.7140636641291765E-2</v>
      </c>
      <c r="AN39" s="14">
        <v>6.291383910732587E-2</v>
      </c>
      <c r="AO39" s="14">
        <v>9.3224991939371837E-3</v>
      </c>
      <c r="AP39" s="14">
        <v>3.711997162161184E-2</v>
      </c>
      <c r="AQ39" s="14">
        <v>-4.5137847441428028E-3</v>
      </c>
      <c r="AR39" s="14">
        <v>2.9628411375702775E-2</v>
      </c>
      <c r="AS39" s="14">
        <v>-1.9885134774560191E-3</v>
      </c>
      <c r="AT39" s="14">
        <v>6.2463068503946062E-2</v>
      </c>
      <c r="AU39" s="14">
        <v>2.9475213941923782E-2</v>
      </c>
      <c r="AV39" s="14">
        <v>5.6990872205193305E-3</v>
      </c>
      <c r="AW39" s="14">
        <v>3.5927539217790387E-3</v>
      </c>
      <c r="AX39" s="14">
        <v>2.1304182542192351E-2</v>
      </c>
      <c r="AY39" s="14">
        <v>7.0845767995012521E-3</v>
      </c>
      <c r="AZ39" s="14">
        <v>1.0112718786954335E-3</v>
      </c>
      <c r="BA39" s="14">
        <v>1.2420282115336856E-2</v>
      </c>
      <c r="BB39" s="14">
        <v>3.640940772257505E-3</v>
      </c>
      <c r="BC39" s="14">
        <v>3.6157969046531159E-2</v>
      </c>
      <c r="BD39" s="14">
        <v>2.9200887048796142E-3</v>
      </c>
      <c r="BE39" s="14">
        <v>3.1247010757157682E-2</v>
      </c>
      <c r="BF39" s="14">
        <v>3.6073017620394457E-2</v>
      </c>
      <c r="BG39" s="14">
        <v>1.8918845032670703E-3</v>
      </c>
      <c r="BH39" s="14">
        <v>3.0274722626051132E-2</v>
      </c>
      <c r="BI39" s="14">
        <v>8.0283452202439612E-3</v>
      </c>
      <c r="BJ39" s="14">
        <v>4.571221776466132E-2</v>
      </c>
      <c r="BK39" s="14">
        <v>1.6886925547248618E-2</v>
      </c>
      <c r="BL39" s="14">
        <v>5.0194423739418778E-2</v>
      </c>
      <c r="BM39" s="14">
        <v>1.4192232280197822E-2</v>
      </c>
      <c r="BN39" s="14">
        <v>-3.8495648063568318E-3</v>
      </c>
      <c r="BO39" s="14">
        <v>-6.016422727169457E-4</v>
      </c>
      <c r="BP39" s="14">
        <v>1.9563647536917264E-2</v>
      </c>
      <c r="BQ39" s="14">
        <v>-7.9630773291153745E-3</v>
      </c>
      <c r="BR39" s="14">
        <v>2.6050125546930272E-2</v>
      </c>
      <c r="BS39" s="14">
        <v>1.3209491770684284E-2</v>
      </c>
      <c r="BT39" s="14">
        <v>2.0229018339353581E-2</v>
      </c>
    </row>
    <row r="40" spans="1:72">
      <c r="A40" s="336" t="s">
        <v>110</v>
      </c>
      <c r="B40" s="342">
        <v>13.6</v>
      </c>
      <c r="C40" s="343">
        <v>5.5</v>
      </c>
      <c r="D40" s="344">
        <v>90.140446325387984</v>
      </c>
      <c r="E40" s="441">
        <v>287.60000000000002</v>
      </c>
      <c r="G40" s="38">
        <v>1</v>
      </c>
      <c r="H40" s="73">
        <f t="shared" si="3"/>
        <v>5.5</v>
      </c>
      <c r="I40" s="73">
        <f t="shared" si="4"/>
        <v>90.140446325387984</v>
      </c>
      <c r="J40" s="72">
        <f t="shared" si="5"/>
        <v>287.60000000000002</v>
      </c>
      <c r="L40" s="443">
        <f t="shared" si="1"/>
        <v>13.6</v>
      </c>
      <c r="S40" s="443">
        <v>11.157006478778413</v>
      </c>
      <c r="U40" s="443">
        <f t="shared" si="2"/>
        <v>2.4429935212215863</v>
      </c>
      <c r="W40" s="14">
        <v>-1.291993706544239E-2</v>
      </c>
      <c r="X40" s="14">
        <v>8.2262996380725872E-3</v>
      </c>
      <c r="Y40" s="14">
        <v>2.6055262294289692E-2</v>
      </c>
      <c r="Z40" s="14">
        <v>-3.4670394978336752E-3</v>
      </c>
      <c r="AA40" s="14">
        <v>3.7310679917635613E-2</v>
      </c>
      <c r="AB40" s="14">
        <v>3.8979530947766822E-2</v>
      </c>
      <c r="AC40" s="14">
        <v>3.1935149158002982E-2</v>
      </c>
      <c r="AD40" s="14">
        <v>-7.5801539936958262E-3</v>
      </c>
      <c r="AE40" s="14">
        <v>6.7969273592336926E-3</v>
      </c>
      <c r="AF40" s="14">
        <v>-5.7196304513636598E-3</v>
      </c>
      <c r="AG40" s="14">
        <v>1.1011463967089075E-2</v>
      </c>
      <c r="AH40" s="14">
        <v>3.0216207693418075E-2</v>
      </c>
      <c r="AI40" s="14">
        <v>1.0272552677175563E-2</v>
      </c>
      <c r="AJ40" s="14">
        <v>1.0281159655924143E-2</v>
      </c>
      <c r="AK40" s="14">
        <v>4.9648828354169935E-2</v>
      </c>
      <c r="AL40" s="14">
        <v>1.9232465310999446E-2</v>
      </c>
      <c r="AM40" s="14">
        <v>1.8141903900781214E-2</v>
      </c>
      <c r="AN40" s="14">
        <v>-3.2758624858901061E-2</v>
      </c>
      <c r="AO40" s="14">
        <v>3.9689036903684631E-2</v>
      </c>
      <c r="AP40" s="14">
        <v>-8.5158170701163001E-3</v>
      </c>
      <c r="AQ40" s="14">
        <v>4.6480931991642237E-2</v>
      </c>
      <c r="AR40" s="14">
        <v>1.0042387188743909E-2</v>
      </c>
      <c r="AS40" s="14">
        <v>4.5928625156354264E-2</v>
      </c>
      <c r="AT40" s="14">
        <v>-3.4635294299772912E-2</v>
      </c>
      <c r="AU40" s="14">
        <v>1.2635623415379826E-2</v>
      </c>
      <c r="AV40" s="14">
        <v>3.9349732829327771E-2</v>
      </c>
      <c r="AW40" s="14">
        <v>4.1954861216342093E-2</v>
      </c>
      <c r="AX40" s="14">
        <v>1.7779086181826859E-2</v>
      </c>
      <c r="AY40" s="14">
        <v>4.1281507516056901E-2</v>
      </c>
      <c r="AZ40" s="14">
        <v>3.4792421785850777E-2</v>
      </c>
      <c r="BA40" s="14">
        <v>2.8440006098567838E-2</v>
      </c>
      <c r="BB40" s="14">
        <v>3.0525551371071418E-2</v>
      </c>
      <c r="BC40" s="14">
        <v>-8.0863349698308447E-4</v>
      </c>
      <c r="BD40" s="14">
        <v>4.2751122226017943E-2</v>
      </c>
      <c r="BE40" s="14">
        <v>1.087681142456811E-2</v>
      </c>
      <c r="BF40" s="14">
        <v>1.8918845032668699E-3</v>
      </c>
      <c r="BG40" s="14">
        <v>4.2845451258304537E-2</v>
      </c>
      <c r="BH40" s="14">
        <v>1.2178468295722613E-2</v>
      </c>
      <c r="BI40" s="14">
        <v>3.5885515174567013E-2</v>
      </c>
      <c r="BJ40" s="14">
        <v>-1.3622205308610129E-2</v>
      </c>
      <c r="BK40" s="14">
        <v>2.7134262740506405E-2</v>
      </c>
      <c r="BL40" s="14">
        <v>-1.0639367521716639E-2</v>
      </c>
      <c r="BM40" s="14">
        <v>2.5838313110935162E-2</v>
      </c>
      <c r="BN40" s="14">
        <v>5.021613582029625E-2</v>
      </c>
      <c r="BO40" s="14">
        <v>4.9344997224536995E-2</v>
      </c>
      <c r="BP40" s="14">
        <v>1.4914786672134889E-2</v>
      </c>
      <c r="BQ40" s="14">
        <v>4.8710642511708938E-2</v>
      </c>
      <c r="BR40" s="14">
        <v>2.212491062248171E-2</v>
      </c>
      <c r="BS40" s="14">
        <v>3.1545191367423391E-2</v>
      </c>
      <c r="BT40" s="14">
        <v>2.7400008082564872E-2</v>
      </c>
    </row>
    <row r="41" spans="1:72">
      <c r="A41" s="336" t="s">
        <v>111</v>
      </c>
      <c r="B41" s="342">
        <v>12.1</v>
      </c>
      <c r="C41" s="343">
        <v>7.6</v>
      </c>
      <c r="D41" s="344">
        <v>85.424563507935517</v>
      </c>
      <c r="E41" s="441">
        <v>416.5</v>
      </c>
      <c r="G41" s="38">
        <v>1</v>
      </c>
      <c r="H41" s="73">
        <f t="shared" si="3"/>
        <v>7.6</v>
      </c>
      <c r="I41" s="73">
        <f t="shared" si="4"/>
        <v>85.424563507935517</v>
      </c>
      <c r="J41" s="72">
        <f t="shared" si="5"/>
        <v>416.5</v>
      </c>
      <c r="L41" s="443">
        <f t="shared" si="1"/>
        <v>12.1</v>
      </c>
      <c r="S41" s="443">
        <v>13.855600457391526</v>
      </c>
      <c r="U41" s="443">
        <f t="shared" si="2"/>
        <v>-1.7556004573915267</v>
      </c>
      <c r="W41" s="14">
        <v>3.6064993075132439E-2</v>
      </c>
      <c r="X41" s="14">
        <v>8.1652489757192553E-3</v>
      </c>
      <c r="Y41" s="14">
        <v>1.8644734451786438E-2</v>
      </c>
      <c r="Z41" s="14">
        <v>3.8933939053771502E-2</v>
      </c>
      <c r="AA41" s="14">
        <v>-8.7786802762762489E-3</v>
      </c>
      <c r="AB41" s="14">
        <v>1.3908005271728755E-2</v>
      </c>
      <c r="AC41" s="14">
        <v>1.5336069159830455E-2</v>
      </c>
      <c r="AD41" s="14">
        <v>2.9050615675317651E-2</v>
      </c>
      <c r="AE41" s="14">
        <v>2.1826671806017245E-2</v>
      </c>
      <c r="AF41" s="14">
        <v>1.900842154445662E-2</v>
      </c>
      <c r="AG41" s="14">
        <v>-4.6006407605902702E-2</v>
      </c>
      <c r="AH41" s="14">
        <v>3.3084028530399497E-2</v>
      </c>
      <c r="AI41" s="14">
        <v>2.2311563227262715E-2</v>
      </c>
      <c r="AJ41" s="14">
        <v>4.0988398009384447E-2</v>
      </c>
      <c r="AK41" s="14">
        <v>1.1110510678135333E-2</v>
      </c>
      <c r="AL41" s="14">
        <v>2.9725755078041705E-2</v>
      </c>
      <c r="AM41" s="14">
        <v>3.6858302447236743E-2</v>
      </c>
      <c r="AN41" s="14">
        <v>3.9492887672124229E-2</v>
      </c>
      <c r="AO41" s="14">
        <v>2.9344313487359205E-2</v>
      </c>
      <c r="AP41" s="14">
        <v>1.4897527666125635E-2</v>
      </c>
      <c r="AQ41" s="14">
        <v>-1.3068840028235482E-3</v>
      </c>
      <c r="AR41" s="14">
        <v>2.556047143665973E-2</v>
      </c>
      <c r="AS41" s="14">
        <v>7.3505040836033793E-3</v>
      </c>
      <c r="AT41" s="14">
        <v>4.6718963565784838E-2</v>
      </c>
      <c r="AU41" s="14">
        <v>2.9534712273854374E-2</v>
      </c>
      <c r="AV41" s="14">
        <v>1.6244805250539684E-2</v>
      </c>
      <c r="AW41" s="14">
        <v>1.4548966501464406E-2</v>
      </c>
      <c r="AX41" s="14">
        <v>1.1488753787997422E-2</v>
      </c>
      <c r="AY41" s="14">
        <v>2.5842697558079948E-2</v>
      </c>
      <c r="AZ41" s="14">
        <v>-1.961825082991947E-3</v>
      </c>
      <c r="BA41" s="14">
        <v>7.5836752156483306E-3</v>
      </c>
      <c r="BB41" s="14">
        <v>-3.7984127898921553E-3</v>
      </c>
      <c r="BC41" s="14">
        <v>2.7586724796754704E-2</v>
      </c>
      <c r="BD41" s="14">
        <v>1.8038738435851027E-2</v>
      </c>
      <c r="BE41" s="14">
        <v>3.5249358251214925E-2</v>
      </c>
      <c r="BF41" s="14">
        <v>3.0274722626051347E-2</v>
      </c>
      <c r="BG41" s="14">
        <v>1.2178468295722918E-2</v>
      </c>
      <c r="BH41" s="14">
        <v>3.2957668214444014E-2</v>
      </c>
      <c r="BI41" s="14">
        <v>1.8401942655566765E-2</v>
      </c>
      <c r="BJ41" s="14">
        <v>2.4264407517758019E-2</v>
      </c>
      <c r="BK41" s="14">
        <v>2.8448823120774916E-2</v>
      </c>
      <c r="BL41" s="14">
        <v>3.9662081306771388E-2</v>
      </c>
      <c r="BM41" s="14">
        <v>1.1940741864540867E-2</v>
      </c>
      <c r="BN41" s="14">
        <v>1.0239625956015692E-2</v>
      </c>
      <c r="BO41" s="14">
        <v>1.93417413238961E-2</v>
      </c>
      <c r="BP41" s="14">
        <v>1.5413480709296087E-2</v>
      </c>
      <c r="BQ41" s="14">
        <v>-3.8388483714332181E-3</v>
      </c>
      <c r="BR41" s="14">
        <v>4.0278738932649646E-2</v>
      </c>
      <c r="BS41" s="14">
        <v>2.2929744289866914E-2</v>
      </c>
      <c r="BT41" s="14">
        <v>3.4858514348684526E-2</v>
      </c>
    </row>
    <row r="42" spans="1:72">
      <c r="A42" s="336" t="s">
        <v>112</v>
      </c>
      <c r="B42" s="342">
        <v>11.7</v>
      </c>
      <c r="C42" s="343">
        <v>6.1</v>
      </c>
      <c r="D42" s="344">
        <v>88.483880668602993</v>
      </c>
      <c r="E42" s="441">
        <v>227.3</v>
      </c>
      <c r="G42" s="38">
        <v>1</v>
      </c>
      <c r="H42" s="73">
        <f t="shared" si="3"/>
        <v>6.1</v>
      </c>
      <c r="I42" s="73">
        <f t="shared" si="4"/>
        <v>88.483880668602993</v>
      </c>
      <c r="J42" s="72">
        <f t="shared" si="5"/>
        <v>227.3</v>
      </c>
      <c r="L42" s="443">
        <f t="shared" si="1"/>
        <v>11.7</v>
      </c>
      <c r="S42" s="443">
        <v>11.778733948462611</v>
      </c>
      <c r="U42" s="443">
        <f t="shared" si="2"/>
        <v>-7.8733948462611281E-2</v>
      </c>
      <c r="W42" s="14">
        <v>9.6807971199379256E-3</v>
      </c>
      <c r="X42" s="14">
        <v>-7.2238027171214955E-3</v>
      </c>
      <c r="Y42" s="14">
        <v>1.4434796295073587E-2</v>
      </c>
      <c r="Z42" s="14">
        <v>4.7439410585432776E-3</v>
      </c>
      <c r="AA42" s="14">
        <v>1.1102518720708617E-2</v>
      </c>
      <c r="AB42" s="14">
        <v>2.9562850588401912E-2</v>
      </c>
      <c r="AC42" s="14">
        <v>3.6416683738623855E-2</v>
      </c>
      <c r="AD42" s="14">
        <v>-1.1811483816291261E-2</v>
      </c>
      <c r="AE42" s="14">
        <v>-1.2021585944154846E-2</v>
      </c>
      <c r="AF42" s="14">
        <v>5.7826868904834339E-3</v>
      </c>
      <c r="AG42" s="14">
        <v>2.4425577058675388E-2</v>
      </c>
      <c r="AH42" s="14">
        <v>3.907724804789911E-2</v>
      </c>
      <c r="AI42" s="14">
        <v>6.2786099878122982E-3</v>
      </c>
      <c r="AJ42" s="14">
        <v>2.6265143232800634E-2</v>
      </c>
      <c r="AK42" s="14">
        <v>3.679198332230104E-2</v>
      </c>
      <c r="AL42" s="14">
        <v>1.650460323235927E-2</v>
      </c>
      <c r="AM42" s="14">
        <v>3.1362380738657283E-2</v>
      </c>
      <c r="AN42" s="14">
        <v>-2.0719776364858923E-2</v>
      </c>
      <c r="AO42" s="14">
        <v>5.221288686720945E-2</v>
      </c>
      <c r="AP42" s="14">
        <v>-8.9275507871584905E-3</v>
      </c>
      <c r="AQ42" s="14">
        <v>2.2359211961715052E-2</v>
      </c>
      <c r="AR42" s="14">
        <v>6.2493555488938556E-3</v>
      </c>
      <c r="AS42" s="14">
        <v>3.6111159970804718E-2</v>
      </c>
      <c r="AT42" s="14">
        <v>1.9744520319833286E-2</v>
      </c>
      <c r="AU42" s="14">
        <v>1.0086147632379881E-2</v>
      </c>
      <c r="AV42" s="14">
        <v>3.5401119737317251E-2</v>
      </c>
      <c r="AW42" s="14">
        <v>3.4515740185686532E-2</v>
      </c>
      <c r="AX42" s="14">
        <v>-1.2832170806823001E-2</v>
      </c>
      <c r="AY42" s="14">
        <v>5.0519081888752752E-2</v>
      </c>
      <c r="AZ42" s="14">
        <v>2.8858965602538311E-2</v>
      </c>
      <c r="BA42" s="14">
        <v>-2.6403046946828004E-3</v>
      </c>
      <c r="BB42" s="14">
        <v>1.9865343010451071E-2</v>
      </c>
      <c r="BC42" s="14">
        <v>1.0189734930960447E-2</v>
      </c>
      <c r="BD42" s="14">
        <v>4.9724785190193445E-2</v>
      </c>
      <c r="BE42" s="14">
        <v>2.5025376905021261E-2</v>
      </c>
      <c r="BF42" s="14">
        <v>8.0283452202437981E-3</v>
      </c>
      <c r="BG42" s="14">
        <v>3.5885515174567187E-2</v>
      </c>
      <c r="BH42" s="14">
        <v>1.840194265556646E-2</v>
      </c>
      <c r="BI42" s="14">
        <v>4.0283054370710704E-2</v>
      </c>
      <c r="BJ42" s="14">
        <v>-2.2808988362723943E-2</v>
      </c>
      <c r="BK42" s="14">
        <v>4.4377514379677296E-2</v>
      </c>
      <c r="BL42" s="14">
        <v>-1.7520108440258406E-2</v>
      </c>
      <c r="BM42" s="14">
        <v>1.1230751512479327E-2</v>
      </c>
      <c r="BN42" s="14">
        <v>4.2360871422117669E-2</v>
      </c>
      <c r="BO42" s="14">
        <v>5.3104582003408209E-2</v>
      </c>
      <c r="BP42" s="14">
        <v>3.1029400434913659E-2</v>
      </c>
      <c r="BQ42" s="14">
        <v>3.1726379753854776E-2</v>
      </c>
      <c r="BR42" s="14">
        <v>3.4449413678381224E-2</v>
      </c>
      <c r="BS42" s="14">
        <v>3.37772375807497E-2</v>
      </c>
      <c r="BT42" s="14">
        <v>3.855751396337477E-2</v>
      </c>
    </row>
    <row r="43" spans="1:72">
      <c r="A43" s="336" t="s">
        <v>113</v>
      </c>
      <c r="B43" s="342">
        <v>15.7</v>
      </c>
      <c r="C43" s="343">
        <v>8.4</v>
      </c>
      <c r="D43" s="344">
        <v>68.748136077503446</v>
      </c>
      <c r="E43" s="441">
        <v>788.3</v>
      </c>
      <c r="G43" s="38">
        <v>1</v>
      </c>
      <c r="H43" s="73">
        <f t="shared" si="3"/>
        <v>8.4</v>
      </c>
      <c r="I43" s="73">
        <f t="shared" si="4"/>
        <v>68.748136077503446</v>
      </c>
      <c r="J43" s="72">
        <f t="shared" si="5"/>
        <v>788.3</v>
      </c>
      <c r="L43" s="443">
        <f t="shared" si="1"/>
        <v>15.7</v>
      </c>
      <c r="S43" s="443">
        <v>14.80180620713495</v>
      </c>
      <c r="U43" s="443">
        <f t="shared" si="2"/>
        <v>0.89819379286504919</v>
      </c>
      <c r="W43" s="14">
        <v>4.1963807164930506E-2</v>
      </c>
      <c r="X43" s="14">
        <v>7.6609516043330342E-2</v>
      </c>
      <c r="Y43" s="14">
        <v>3.2109315771106955E-2</v>
      </c>
      <c r="Z43" s="14">
        <v>5.3305751876194796E-2</v>
      </c>
      <c r="AA43" s="14">
        <v>3.7202719519719901E-2</v>
      </c>
      <c r="AB43" s="14">
        <v>-1.0392442805640112E-4</v>
      </c>
      <c r="AC43" s="14">
        <v>-1.5019025816111517E-2</v>
      </c>
      <c r="AD43" s="14">
        <v>8.7630576372723853E-2</v>
      </c>
      <c r="AE43" s="14">
        <v>8.8127907607180186E-2</v>
      </c>
      <c r="AF43" s="14">
        <v>4.9054672662880758E-2</v>
      </c>
      <c r="AG43" s="14">
        <v>3.7289399333502449E-3</v>
      </c>
      <c r="AH43" s="14">
        <v>-1.9109441830295212E-2</v>
      </c>
      <c r="AI43" s="14">
        <v>4.9130349133226399E-2</v>
      </c>
      <c r="AJ43" s="14">
        <v>8.0830985423188881E-3</v>
      </c>
      <c r="AK43" s="14">
        <v>-1.5317596536454127E-2</v>
      </c>
      <c r="AL43" s="14">
        <v>2.8383967343822147E-2</v>
      </c>
      <c r="AM43" s="14">
        <v>-2.8333479036697223E-3</v>
      </c>
      <c r="AN43" s="14">
        <v>0.10642968670066957</v>
      </c>
      <c r="AO43" s="14">
        <v>-4.7134266158180199E-2</v>
      </c>
      <c r="AP43" s="14">
        <v>8.0045441353423286E-2</v>
      </c>
      <c r="AQ43" s="14">
        <v>1.4263577161023583E-2</v>
      </c>
      <c r="AR43" s="14">
        <v>4.9492475282610526E-2</v>
      </c>
      <c r="AS43" s="14">
        <v>-1.4409864728104462E-2</v>
      </c>
      <c r="AT43" s="14">
        <v>2.0298635920155544E-2</v>
      </c>
      <c r="AU43" s="14">
        <v>4.1783165484524647E-2</v>
      </c>
      <c r="AV43" s="14">
        <v>-1.2374142361301934E-2</v>
      </c>
      <c r="AW43" s="14">
        <v>-1.0505056663126688E-2</v>
      </c>
      <c r="AX43" s="14">
        <v>8.9439391636573468E-2</v>
      </c>
      <c r="AY43" s="14">
        <v>-4.3757546946696146E-2</v>
      </c>
      <c r="AZ43" s="14">
        <v>-3.3093468622785727E-4</v>
      </c>
      <c r="BA43" s="14">
        <v>6.7769171229904196E-2</v>
      </c>
      <c r="BB43" s="14">
        <v>1.8549732391828357E-2</v>
      </c>
      <c r="BC43" s="14">
        <v>4.0683375925874218E-2</v>
      </c>
      <c r="BD43" s="14">
        <v>-4.2727234506210063E-2</v>
      </c>
      <c r="BE43" s="14">
        <v>1.0221081216096946E-2</v>
      </c>
      <c r="BF43" s="14">
        <v>4.5712217764661334E-2</v>
      </c>
      <c r="BG43" s="14">
        <v>-1.3622205308610028E-2</v>
      </c>
      <c r="BH43" s="14">
        <v>2.4264407517757876E-2</v>
      </c>
      <c r="BI43" s="14">
        <v>-2.2808988362723853E-2</v>
      </c>
      <c r="BJ43" s="14">
        <v>0.11043230646670174</v>
      </c>
      <c r="BK43" s="14">
        <v>-3.107197559757692E-2</v>
      </c>
      <c r="BL43" s="14">
        <v>0.10072518337584561</v>
      </c>
      <c r="BM43" s="14">
        <v>3.8323102870401214E-2</v>
      </c>
      <c r="BN43" s="14">
        <v>-2.7307627336750413E-2</v>
      </c>
      <c r="BO43" s="14">
        <v>-4.9507317870767141E-2</v>
      </c>
      <c r="BP43" s="14">
        <v>-4.3400694426259517E-3</v>
      </c>
      <c r="BQ43" s="14">
        <v>-5.9409577552999165E-3</v>
      </c>
      <c r="BR43" s="14">
        <v>-8.9173146382655333E-3</v>
      </c>
      <c r="BS43" s="14">
        <v>-8.654462503296198E-3</v>
      </c>
      <c r="BT43" s="14">
        <v>-1.7970272888482589E-2</v>
      </c>
    </row>
    <row r="44" spans="1:72">
      <c r="A44" s="336" t="s">
        <v>114</v>
      </c>
      <c r="B44" s="342">
        <v>12.5</v>
      </c>
      <c r="C44" s="343">
        <v>6.9</v>
      </c>
      <c r="D44" s="344">
        <v>88.189790025789804</v>
      </c>
      <c r="E44" s="441">
        <v>169.2</v>
      </c>
      <c r="G44" s="38">
        <v>1</v>
      </c>
      <c r="H44" s="73">
        <f t="shared" si="3"/>
        <v>6.9</v>
      </c>
      <c r="I44" s="73">
        <f t="shared" si="4"/>
        <v>88.189790025789804</v>
      </c>
      <c r="J44" s="72">
        <f t="shared" si="5"/>
        <v>169.2</v>
      </c>
      <c r="L44" s="443">
        <f t="shared" si="1"/>
        <v>12.5</v>
      </c>
      <c r="S44" s="443">
        <v>12.708957171550225</v>
      </c>
      <c r="U44" s="443">
        <f t="shared" si="2"/>
        <v>-0.20895717155022453</v>
      </c>
      <c r="W44" s="14">
        <v>3.6005073456287368E-2</v>
      </c>
      <c r="X44" s="14">
        <v>-2.6273647816068967E-2</v>
      </c>
      <c r="Y44" s="14">
        <v>2.8943070557205415E-3</v>
      </c>
      <c r="Z44" s="14">
        <v>1.8297723436888028E-2</v>
      </c>
      <c r="AA44" s="14">
        <v>-2.3191022820383784E-2</v>
      </c>
      <c r="AB44" s="14">
        <v>1.890938126265107E-2</v>
      </c>
      <c r="AC44" s="14">
        <v>3.9507669357442467E-2</v>
      </c>
      <c r="AD44" s="14">
        <v>-1.3591606358392214E-2</v>
      </c>
      <c r="AE44" s="14">
        <v>-2.992729101730237E-2</v>
      </c>
      <c r="AF44" s="14">
        <v>1.6001125800271111E-2</v>
      </c>
      <c r="AG44" s="14">
        <v>1.5770490507701407E-2</v>
      </c>
      <c r="AH44" s="14">
        <v>5.2125063966866461E-2</v>
      </c>
      <c r="AI44" s="14">
        <v>2.9457367769473858E-3</v>
      </c>
      <c r="AJ44" s="14">
        <v>4.8314760521352897E-2</v>
      </c>
      <c r="AK44" s="14">
        <v>2.2145625510074263E-2</v>
      </c>
      <c r="AL44" s="14">
        <v>1.7005817759449104E-2</v>
      </c>
      <c r="AM44" s="14">
        <v>4.9577260962965622E-2</v>
      </c>
      <c r="AN44" s="14">
        <v>-3.9471651342399636E-3</v>
      </c>
      <c r="AO44" s="14">
        <v>6.7804029953399958E-2</v>
      </c>
      <c r="AP44" s="14">
        <v>-1.1628708830769517E-2</v>
      </c>
      <c r="AQ44" s="14">
        <v>-7.2834159794918293E-3</v>
      </c>
      <c r="AR44" s="14">
        <v>4.1600604031866474E-3</v>
      </c>
      <c r="AS44" s="14">
        <v>2.309935899993202E-2</v>
      </c>
      <c r="AT44" s="14">
        <v>7.9767214156434646E-2</v>
      </c>
      <c r="AU44" s="14">
        <v>1.0548224784506736E-2</v>
      </c>
      <c r="AV44" s="14">
        <v>3.0802587076315894E-2</v>
      </c>
      <c r="AW44" s="14">
        <v>2.6050268040151862E-2</v>
      </c>
      <c r="AX44" s="14">
        <v>-4.5248717061466145E-2</v>
      </c>
      <c r="AY44" s="14">
        <v>6.1831721028149676E-2</v>
      </c>
      <c r="AZ44" s="14">
        <v>1.632819915380166E-2</v>
      </c>
      <c r="BA44" s="14">
        <v>-3.6536104731252607E-2</v>
      </c>
      <c r="BB44" s="14">
        <v>2.0705150431866793E-3</v>
      </c>
      <c r="BC44" s="14">
        <v>2.2816483807493994E-2</v>
      </c>
      <c r="BD44" s="14">
        <v>5.6348429978905941E-2</v>
      </c>
      <c r="BE44" s="14">
        <v>4.3450776579803153E-2</v>
      </c>
      <c r="BF44" s="14">
        <v>1.6886925547248278E-2</v>
      </c>
      <c r="BG44" s="14">
        <v>2.7134262740506437E-2</v>
      </c>
      <c r="BH44" s="14">
        <v>2.8448823120774378E-2</v>
      </c>
      <c r="BI44" s="14">
        <v>4.4377514379677213E-2</v>
      </c>
      <c r="BJ44" s="14">
        <v>-3.1071975597577232E-2</v>
      </c>
      <c r="BK44" s="14">
        <v>6.3957269303740058E-2</v>
      </c>
      <c r="BL44" s="14">
        <v>-1.848765702653745E-2</v>
      </c>
      <c r="BM44" s="14">
        <v>-5.3793534485506826E-3</v>
      </c>
      <c r="BN44" s="14">
        <v>3.2281668272257806E-2</v>
      </c>
      <c r="BO44" s="14">
        <v>5.7192437193985854E-2</v>
      </c>
      <c r="BP44" s="14">
        <v>4.5009582940123499E-2</v>
      </c>
      <c r="BQ44" s="14">
        <v>8.2150512784176094E-3</v>
      </c>
      <c r="BR44" s="14">
        <v>5.2998338108271516E-2</v>
      </c>
      <c r="BS44" s="14">
        <v>3.7148619188640437E-2</v>
      </c>
      <c r="BT44" s="14">
        <v>5.4338268368507213E-2</v>
      </c>
    </row>
    <row r="45" spans="1:72">
      <c r="A45" s="336" t="s">
        <v>115</v>
      </c>
      <c r="B45" s="342">
        <v>15.5</v>
      </c>
      <c r="C45" s="343">
        <v>8.6999999999999993</v>
      </c>
      <c r="D45" s="344">
        <v>80.371971305033981</v>
      </c>
      <c r="E45" s="441">
        <v>753.3</v>
      </c>
      <c r="G45" s="38">
        <v>1</v>
      </c>
      <c r="H45" s="73">
        <f t="shared" si="3"/>
        <v>8.6999999999999993</v>
      </c>
      <c r="I45" s="73">
        <f t="shared" si="4"/>
        <v>80.371971305033981</v>
      </c>
      <c r="J45" s="72">
        <f t="shared" si="5"/>
        <v>753.3</v>
      </c>
      <c r="L45" s="443">
        <f t="shared" si="1"/>
        <v>15.5</v>
      </c>
      <c r="S45" s="443">
        <v>15.558122806587686</v>
      </c>
      <c r="U45" s="443">
        <f t="shared" si="2"/>
        <v>-5.8122806587686426E-2</v>
      </c>
      <c r="W45" s="14">
        <v>4.1289174948893378E-2</v>
      </c>
      <c r="X45" s="14">
        <v>5.4637003999787215E-2</v>
      </c>
      <c r="Y45" s="14">
        <v>3.7804729979022539E-2</v>
      </c>
      <c r="Z45" s="14">
        <v>6.8777008950237833E-2</v>
      </c>
      <c r="AA45" s="14">
        <v>7.6023039257119007E-3</v>
      </c>
      <c r="AB45" s="14">
        <v>4.4392935816421966E-3</v>
      </c>
      <c r="AC45" s="14">
        <v>-1.750167205207788E-2</v>
      </c>
      <c r="AD45" s="14">
        <v>8.8076081029151196E-2</v>
      </c>
      <c r="AE45" s="14">
        <v>9.0271859542991412E-2</v>
      </c>
      <c r="AF45" s="14">
        <v>2.7306987512050827E-2</v>
      </c>
      <c r="AG45" s="14">
        <v>-0.12143731211287739</v>
      </c>
      <c r="AH45" s="14">
        <v>6.5465286045070514E-3</v>
      </c>
      <c r="AI45" s="14">
        <v>4.869398198796325E-2</v>
      </c>
      <c r="AJ45" s="14">
        <v>3.2618136896780538E-2</v>
      </c>
      <c r="AK45" s="14">
        <v>-7.8246499923602143E-3</v>
      </c>
      <c r="AL45" s="14">
        <v>4.5829080273397778E-2</v>
      </c>
      <c r="AM45" s="14">
        <v>2.0366754083601613E-2</v>
      </c>
      <c r="AN45" s="14">
        <v>0.10353475802572459</v>
      </c>
      <c r="AO45" s="14">
        <v>-2.3554350902396368E-2</v>
      </c>
      <c r="AP45" s="14">
        <v>5.3905988174821062E-2</v>
      </c>
      <c r="AQ45" s="14">
        <v>2.4663082747440473E-3</v>
      </c>
      <c r="AR45" s="14">
        <v>5.4483568144010702E-2</v>
      </c>
      <c r="AS45" s="14">
        <v>-1.6859309147169467E-2</v>
      </c>
      <c r="AT45" s="14">
        <v>1.2965005232484561E-2</v>
      </c>
      <c r="AU45" s="14">
        <v>5.4797307918143287E-2</v>
      </c>
      <c r="AV45" s="14">
        <v>-5.5916814954558303E-3</v>
      </c>
      <c r="AW45" s="14">
        <v>-3.7697615222728464E-3</v>
      </c>
      <c r="AX45" s="14">
        <v>8.4752036086460869E-2</v>
      </c>
      <c r="AY45" s="14">
        <v>-2.4056834771087179E-2</v>
      </c>
      <c r="AZ45" s="14">
        <v>-2.7216255384506807E-2</v>
      </c>
      <c r="BA45" s="14">
        <v>6.2990823936844881E-2</v>
      </c>
      <c r="BB45" s="14">
        <v>-1.2365228156457171E-2</v>
      </c>
      <c r="BC45" s="14">
        <v>3.7026597676893092E-2</v>
      </c>
      <c r="BD45" s="14">
        <v>-3.4836508348894332E-2</v>
      </c>
      <c r="BE45" s="14">
        <v>2.5838329897970948E-2</v>
      </c>
      <c r="BF45" s="14">
        <v>5.019442373941882E-2</v>
      </c>
      <c r="BG45" s="14">
        <v>-1.0639367521716837E-2</v>
      </c>
      <c r="BH45" s="14">
        <v>3.9662081306771221E-2</v>
      </c>
      <c r="BI45" s="14">
        <v>-1.7520108440258433E-2</v>
      </c>
      <c r="BJ45" s="14">
        <v>0.10072518337584546</v>
      </c>
      <c r="BK45" s="14">
        <v>-1.8487657026537027E-2</v>
      </c>
      <c r="BL45" s="14">
        <v>0.11872410803438913</v>
      </c>
      <c r="BM45" s="14">
        <v>3.3358838373423419E-2</v>
      </c>
      <c r="BN45" s="14">
        <v>-2.2852127734226142E-2</v>
      </c>
      <c r="BO45" s="14">
        <v>-3.4120069018248489E-2</v>
      </c>
      <c r="BP45" s="14">
        <v>-2.1444992711213084E-2</v>
      </c>
      <c r="BQ45" s="14">
        <v>-2.3444001914719449E-2</v>
      </c>
      <c r="BR45" s="14">
        <v>2.2993965886667252E-2</v>
      </c>
      <c r="BS45" s="14">
        <v>2.6563969065423326E-3</v>
      </c>
      <c r="BT45" s="14">
        <v>8.1872419455797235E-3</v>
      </c>
    </row>
    <row r="46" spans="1:72">
      <c r="A46" s="336" t="s">
        <v>116</v>
      </c>
      <c r="B46" s="342">
        <v>15.8</v>
      </c>
      <c r="C46" s="343">
        <v>6.2</v>
      </c>
      <c r="D46" s="344">
        <v>82.402677784750395</v>
      </c>
      <c r="E46" s="441">
        <v>510.6</v>
      </c>
      <c r="G46" s="38">
        <v>1</v>
      </c>
      <c r="H46" s="73">
        <f t="shared" si="3"/>
        <v>6.2</v>
      </c>
      <c r="I46" s="73">
        <f t="shared" si="4"/>
        <v>82.402677784750395</v>
      </c>
      <c r="J46" s="72">
        <f t="shared" si="5"/>
        <v>510.6</v>
      </c>
      <c r="L46" s="443">
        <f t="shared" si="1"/>
        <v>15.8</v>
      </c>
      <c r="S46" s="443">
        <v>12.088470187680514</v>
      </c>
      <c r="U46" s="443">
        <f t="shared" si="2"/>
        <v>3.7115298123194869</v>
      </c>
      <c r="W46" s="14">
        <v>-5.8366695403571922E-3</v>
      </c>
      <c r="X46" s="14">
        <v>4.4095670163727549E-2</v>
      </c>
      <c r="Y46" s="14">
        <v>3.4724318817791609E-2</v>
      </c>
      <c r="Z46" s="14">
        <v>1.1653437548812644E-2</v>
      </c>
      <c r="AA46" s="14">
        <v>5.4682057670271011E-2</v>
      </c>
      <c r="AB46" s="14">
        <v>2.9737733690948332E-2</v>
      </c>
      <c r="AC46" s="14">
        <v>1.2106697948778139E-2</v>
      </c>
      <c r="AD46" s="14">
        <v>3.0091295728605291E-2</v>
      </c>
      <c r="AE46" s="14">
        <v>4.7779129192504072E-2</v>
      </c>
      <c r="AF46" s="14">
        <v>9.2817592826439956E-3</v>
      </c>
      <c r="AG46" s="14">
        <v>9.0266569097149918E-3</v>
      </c>
      <c r="AH46" s="14">
        <v>5.0108853595311684E-3</v>
      </c>
      <c r="AI46" s="14">
        <v>2.7020108026972689E-2</v>
      </c>
      <c r="AJ46" s="14">
        <v>-1.595259216777889E-3</v>
      </c>
      <c r="AK46" s="14">
        <v>3.2649700055501288E-2</v>
      </c>
      <c r="AL46" s="14">
        <v>2.3022522934606993E-2</v>
      </c>
      <c r="AM46" s="14">
        <v>1.0332284903684583E-3</v>
      </c>
      <c r="AN46" s="14">
        <v>1.18601218219734E-2</v>
      </c>
      <c r="AO46" s="14">
        <v>-1.3941158998602016E-3</v>
      </c>
      <c r="AP46" s="14">
        <v>2.6276993645179547E-2</v>
      </c>
      <c r="AQ46" s="14">
        <v>4.9529795858480816E-2</v>
      </c>
      <c r="AR46" s="14">
        <v>2.6518988611277695E-2</v>
      </c>
      <c r="AS46" s="14">
        <v>2.9539226248800173E-2</v>
      </c>
      <c r="AT46" s="14">
        <v>-4.5728314429685751E-2</v>
      </c>
      <c r="AU46" s="14">
        <v>2.4021353579897237E-2</v>
      </c>
      <c r="AV46" s="14">
        <v>2.2069438509211895E-2</v>
      </c>
      <c r="AW46" s="14">
        <v>2.6454146801593949E-2</v>
      </c>
      <c r="AX46" s="14">
        <v>6.2573734487780905E-2</v>
      </c>
      <c r="AY46" s="14">
        <v>3.0530672689766114E-3</v>
      </c>
      <c r="AZ46" s="14">
        <v>2.7125995295774266E-2</v>
      </c>
      <c r="BA46" s="14">
        <v>6.1556847881525323E-2</v>
      </c>
      <c r="BB46" s="14">
        <v>3.4471892535307913E-2</v>
      </c>
      <c r="BC46" s="14">
        <v>8.3350074277198458E-3</v>
      </c>
      <c r="BD46" s="14">
        <v>6.4986296423347051E-3</v>
      </c>
      <c r="BE46" s="14">
        <v>1.2595629959520072E-3</v>
      </c>
      <c r="BF46" s="14">
        <v>1.4192232280197854E-2</v>
      </c>
      <c r="BG46" s="14">
        <v>2.5838313110935346E-2</v>
      </c>
      <c r="BH46" s="14">
        <v>1.1940741864540833E-2</v>
      </c>
      <c r="BI46" s="14">
        <v>1.1230751512479396E-2</v>
      </c>
      <c r="BJ46" s="14">
        <v>3.8323102870401277E-2</v>
      </c>
      <c r="BK46" s="14">
        <v>-5.3793534485504363E-3</v>
      </c>
      <c r="BL46" s="14">
        <v>3.3358838373423877E-2</v>
      </c>
      <c r="BM46" s="14">
        <v>3.937012847055478E-2</v>
      </c>
      <c r="BN46" s="14">
        <v>2.5844817171795681E-2</v>
      </c>
      <c r="BO46" s="14">
        <v>9.5178380601595863E-3</v>
      </c>
      <c r="BP46" s="14">
        <v>-4.9264184822216117E-4</v>
      </c>
      <c r="BQ46" s="14">
        <v>3.9663219467204081E-2</v>
      </c>
      <c r="BR46" s="14">
        <v>1.2210303620550852E-3</v>
      </c>
      <c r="BS46" s="14">
        <v>1.4589757206280356E-2</v>
      </c>
      <c r="BT46" s="14">
        <v>2.275579200868065E-3</v>
      </c>
    </row>
    <row r="47" spans="1:72">
      <c r="A47" s="336" t="s">
        <v>117</v>
      </c>
      <c r="B47" s="342">
        <v>9.6</v>
      </c>
      <c r="C47" s="343">
        <v>5.0999999999999996</v>
      </c>
      <c r="D47" s="344">
        <v>92.915461931338129</v>
      </c>
      <c r="E47" s="441">
        <v>234.8</v>
      </c>
      <c r="G47" s="38">
        <v>1</v>
      </c>
      <c r="H47" s="73">
        <f t="shared" si="3"/>
        <v>5.0999999999999996</v>
      </c>
      <c r="I47" s="73">
        <f t="shared" si="4"/>
        <v>92.915461931338129</v>
      </c>
      <c r="J47" s="72">
        <f t="shared" si="5"/>
        <v>234.8</v>
      </c>
      <c r="L47" s="443">
        <f t="shared" si="1"/>
        <v>9.6</v>
      </c>
      <c r="S47" s="443">
        <v>10.671011249440689</v>
      </c>
      <c r="U47" s="443">
        <f t="shared" si="2"/>
        <v>-1.0710112494406889</v>
      </c>
      <c r="W47" s="14">
        <v>-2.1704570721193757E-2</v>
      </c>
      <c r="X47" s="14">
        <v>1.6238169183573001E-3</v>
      </c>
      <c r="Y47" s="14">
        <v>2.6592798332099328E-2</v>
      </c>
      <c r="Z47" s="14">
        <v>-1.0855069122513624E-2</v>
      </c>
      <c r="AA47" s="14">
        <v>3.9797818735169271E-2</v>
      </c>
      <c r="AB47" s="14">
        <v>4.4576829670163957E-2</v>
      </c>
      <c r="AC47" s="14">
        <v>3.6961764927560259E-2</v>
      </c>
      <c r="AD47" s="14">
        <v>-1.8312033828523713E-2</v>
      </c>
      <c r="AE47" s="14">
        <v>-7.8320012799876909E-4</v>
      </c>
      <c r="AF47" s="14">
        <v>-1.3511984586186396E-2</v>
      </c>
      <c r="AG47" s="14">
        <v>9.4749664453336185E-3</v>
      </c>
      <c r="AH47" s="14">
        <v>3.5293509967612678E-2</v>
      </c>
      <c r="AI47" s="14">
        <v>6.1222249738915463E-3</v>
      </c>
      <c r="AJ47" s="14">
        <v>9.0819186160297147E-3</v>
      </c>
      <c r="AK47" s="14">
        <v>5.8663158925531318E-2</v>
      </c>
      <c r="AL47" s="14">
        <v>1.8580576685539391E-2</v>
      </c>
      <c r="AM47" s="14">
        <v>1.9421457164491857E-2</v>
      </c>
      <c r="AN47" s="14">
        <v>-5.036162264892674E-2</v>
      </c>
      <c r="AO47" s="14">
        <v>4.8771175189027099E-2</v>
      </c>
      <c r="AP47" s="14">
        <v>-1.9075643116582663E-2</v>
      </c>
      <c r="AQ47" s="14">
        <v>5.2663011638971399E-2</v>
      </c>
      <c r="AR47" s="14">
        <v>5.8452646785483349E-3</v>
      </c>
      <c r="AS47" s="14">
        <v>5.4005687947756995E-2</v>
      </c>
      <c r="AT47" s="14">
        <v>-4.6767313651331577E-2</v>
      </c>
      <c r="AU47" s="14">
        <v>9.58316991960282E-3</v>
      </c>
      <c r="AV47" s="14">
        <v>4.5882597847376555E-2</v>
      </c>
      <c r="AW47" s="14">
        <v>4.8934881674165105E-2</v>
      </c>
      <c r="AX47" s="14">
        <v>1.2499263254617504E-2</v>
      </c>
      <c r="AY47" s="14">
        <v>5.046319290213476E-2</v>
      </c>
      <c r="AZ47" s="14">
        <v>3.9312693256752504E-2</v>
      </c>
      <c r="BA47" s="14">
        <v>2.7002140285983113E-2</v>
      </c>
      <c r="BB47" s="14">
        <v>3.2786163117649196E-2</v>
      </c>
      <c r="BC47" s="14">
        <v>-6.845132900261305E-3</v>
      </c>
      <c r="BD47" s="14">
        <v>5.2123948697268142E-2</v>
      </c>
      <c r="BE47" s="14">
        <v>9.6150060669265916E-3</v>
      </c>
      <c r="BF47" s="14">
        <v>-3.8495648063570408E-3</v>
      </c>
      <c r="BG47" s="14">
        <v>5.0216135820296229E-2</v>
      </c>
      <c r="BH47" s="14">
        <v>1.0239625956015398E-2</v>
      </c>
      <c r="BI47" s="14">
        <v>4.2360871422117488E-2</v>
      </c>
      <c r="BJ47" s="14">
        <v>-2.7307627336750483E-2</v>
      </c>
      <c r="BK47" s="14">
        <v>3.2281668272257723E-2</v>
      </c>
      <c r="BL47" s="14">
        <v>-2.2852127734225847E-2</v>
      </c>
      <c r="BM47" s="14">
        <v>2.5844817171795497E-2</v>
      </c>
      <c r="BN47" s="14">
        <v>6.0162257505410641E-2</v>
      </c>
      <c r="BO47" s="14">
        <v>6.0679935458350001E-2</v>
      </c>
      <c r="BP47" s="14">
        <v>1.5369956558785904E-2</v>
      </c>
      <c r="BQ47" s="14">
        <v>5.6741215692457818E-2</v>
      </c>
      <c r="BR47" s="14">
        <v>2.4748376372648401E-2</v>
      </c>
      <c r="BS47" s="14">
        <v>3.6122447699241791E-2</v>
      </c>
      <c r="BT47" s="14">
        <v>3.1779544812922778E-2</v>
      </c>
    </row>
    <row r="48" spans="1:72">
      <c r="A48" s="336" t="s">
        <v>118</v>
      </c>
      <c r="B48" s="342">
        <v>10.6</v>
      </c>
      <c r="C48" s="343">
        <v>5.5</v>
      </c>
      <c r="D48" s="344">
        <v>96.408807764739961</v>
      </c>
      <c r="E48" s="441">
        <v>124.3</v>
      </c>
      <c r="G48" s="38">
        <v>1</v>
      </c>
      <c r="H48" s="73">
        <f t="shared" si="3"/>
        <v>5.5</v>
      </c>
      <c r="I48" s="73">
        <f t="shared" si="4"/>
        <v>96.408807764739961</v>
      </c>
      <c r="J48" s="72">
        <f t="shared" si="5"/>
        <v>124.3</v>
      </c>
      <c r="L48" s="443">
        <f t="shared" si="1"/>
        <v>10.6</v>
      </c>
      <c r="S48" s="443">
        <v>11.152585977856385</v>
      </c>
      <c r="U48" s="443">
        <f t="shared" si="2"/>
        <v>-0.55258597785638486</v>
      </c>
      <c r="W48" s="14">
        <v>-5.2064141413142168E-3</v>
      </c>
      <c r="X48" s="14">
        <v>-2.505795895021419E-2</v>
      </c>
      <c r="Y48" s="14">
        <v>1.6600601637084642E-2</v>
      </c>
      <c r="Z48" s="14">
        <v>-3.7356419209636288E-3</v>
      </c>
      <c r="AA48" s="14">
        <v>6.7600339702335206E-3</v>
      </c>
      <c r="AB48" s="14">
        <v>4.0289387495069447E-2</v>
      </c>
      <c r="AC48" s="14">
        <v>4.4620943869332998E-2</v>
      </c>
      <c r="AD48" s="14">
        <v>-3.0496272172953247E-2</v>
      </c>
      <c r="AE48" s="14">
        <v>-2.514325600364457E-2</v>
      </c>
      <c r="AF48" s="14">
        <v>-1.3352362347174082E-2</v>
      </c>
      <c r="AG48" s="14">
        <v>-1.1654477769310626E-2</v>
      </c>
      <c r="AH48" s="14">
        <v>5.5074376945483998E-2</v>
      </c>
      <c r="AI48" s="14">
        <v>-1.1736891933734842E-3</v>
      </c>
      <c r="AJ48" s="14">
        <v>3.1215078930287112E-2</v>
      </c>
      <c r="AK48" s="14">
        <v>5.4175264191624668E-2</v>
      </c>
      <c r="AL48" s="14">
        <v>2.0002129061725899E-2</v>
      </c>
      <c r="AM48" s="14">
        <v>4.0197060813844013E-2</v>
      </c>
      <c r="AN48" s="14">
        <v>-5.184470276502514E-2</v>
      </c>
      <c r="AO48" s="14">
        <v>7.4722549170745223E-2</v>
      </c>
      <c r="AP48" s="14">
        <v>-3.4381897917227733E-2</v>
      </c>
      <c r="AQ48" s="14">
        <v>2.9309344299972569E-2</v>
      </c>
      <c r="AR48" s="14">
        <v>1.8464427249117836E-4</v>
      </c>
      <c r="AS48" s="14">
        <v>4.9260562468156271E-2</v>
      </c>
      <c r="AT48" s="14">
        <v>-1.9308946655304873E-3</v>
      </c>
      <c r="AU48" s="14">
        <v>8.2119165742110846E-3</v>
      </c>
      <c r="AV48" s="14">
        <v>4.8505456259115259E-2</v>
      </c>
      <c r="AW48" s="14">
        <v>4.8294148165298714E-2</v>
      </c>
      <c r="AX48" s="14">
        <v>-2.4100586519834009E-2</v>
      </c>
      <c r="AY48" s="14">
        <v>7.2069214130469683E-2</v>
      </c>
      <c r="AZ48" s="14">
        <v>2.9325035673348307E-2</v>
      </c>
      <c r="BA48" s="14">
        <v>-7.2535267713696797E-3</v>
      </c>
      <c r="BB48" s="14">
        <v>1.5183926147387913E-2</v>
      </c>
      <c r="BC48" s="14">
        <v>-1.0210211735804846E-3</v>
      </c>
      <c r="BD48" s="14">
        <v>6.8362953469374946E-2</v>
      </c>
      <c r="BE48" s="14">
        <v>2.7412767748909855E-2</v>
      </c>
      <c r="BF48" s="14">
        <v>-6.016422727173126E-4</v>
      </c>
      <c r="BG48" s="14">
        <v>4.9344997224536863E-2</v>
      </c>
      <c r="BH48" s="14">
        <v>1.9341741323895573E-2</v>
      </c>
      <c r="BI48" s="14">
        <v>5.3104582003407924E-2</v>
      </c>
      <c r="BJ48" s="14">
        <v>-4.9507317870767439E-2</v>
      </c>
      <c r="BK48" s="14">
        <v>5.7192437193985722E-2</v>
      </c>
      <c r="BL48" s="14">
        <v>-3.4120069018248607E-2</v>
      </c>
      <c r="BM48" s="14">
        <v>9.5178380601592186E-3</v>
      </c>
      <c r="BN48" s="14">
        <v>6.0679935458349904E-2</v>
      </c>
      <c r="BO48" s="14">
        <v>7.7097487511806034E-2</v>
      </c>
      <c r="BP48" s="14">
        <v>2.7634133544983036E-2</v>
      </c>
      <c r="BQ48" s="14">
        <v>4.0545746498573003E-2</v>
      </c>
      <c r="BR48" s="14">
        <v>4.7950771643233345E-2</v>
      </c>
      <c r="BS48" s="14">
        <v>4.4859573087239507E-2</v>
      </c>
      <c r="BT48" s="14">
        <v>5.3535092628917494E-2</v>
      </c>
    </row>
    <row r="49" spans="1:72">
      <c r="A49" s="336" t="s">
        <v>119</v>
      </c>
      <c r="B49" s="342">
        <v>10.199999999999999</v>
      </c>
      <c r="C49" s="343">
        <v>7.1</v>
      </c>
      <c r="D49" s="344">
        <v>73.031896017666924</v>
      </c>
      <c r="E49" s="441">
        <v>269.7</v>
      </c>
      <c r="G49" s="38">
        <v>1</v>
      </c>
      <c r="H49" s="73">
        <f t="shared" si="3"/>
        <v>7.1</v>
      </c>
      <c r="I49" s="73">
        <f t="shared" si="4"/>
        <v>73.031896017666924</v>
      </c>
      <c r="J49" s="72">
        <f t="shared" si="5"/>
        <v>269.7</v>
      </c>
      <c r="L49" s="443">
        <f t="shared" si="1"/>
        <v>10.199999999999999</v>
      </c>
      <c r="S49" s="443">
        <v>12.55705210087239</v>
      </c>
      <c r="U49" s="443">
        <f t="shared" si="2"/>
        <v>-2.3570521008723908</v>
      </c>
      <c r="W49" s="14">
        <v>4.7768171392651548E-2</v>
      </c>
      <c r="X49" s="14">
        <v>3.9413774168464352E-3</v>
      </c>
      <c r="Y49" s="14">
        <v>-3.5831554417971902E-3</v>
      </c>
      <c r="Z49" s="14">
        <v>1.1982344000141677E-2</v>
      </c>
      <c r="AA49" s="14">
        <v>3.3142973187934299E-3</v>
      </c>
      <c r="AB49" s="14">
        <v>7.3100980175422074E-3</v>
      </c>
      <c r="AC49" s="14">
        <v>3.5781015508350056E-2</v>
      </c>
      <c r="AD49" s="14">
        <v>-7.1475474949848905E-4</v>
      </c>
      <c r="AE49" s="14">
        <v>-2.2779986319071355E-2</v>
      </c>
      <c r="AF49" s="14">
        <v>4.7653721034997751E-2</v>
      </c>
      <c r="AG49" s="14">
        <v>0.14369160923558594</v>
      </c>
      <c r="AH49" s="14">
        <v>2.0057471757855577E-2</v>
      </c>
      <c r="AI49" s="14">
        <v>8.5218767457233644E-3</v>
      </c>
      <c r="AJ49" s="14">
        <v>2.5233211514769763E-2</v>
      </c>
      <c r="AK49" s="14">
        <v>3.3036671317408992E-3</v>
      </c>
      <c r="AL49" s="14">
        <v>2.4853184537154162E-4</v>
      </c>
      <c r="AM49" s="14">
        <v>2.4735495410835057E-2</v>
      </c>
      <c r="AN49" s="14">
        <v>2.0950565699750821E-2</v>
      </c>
      <c r="AO49" s="14">
        <v>3.2866597473370278E-2</v>
      </c>
      <c r="AP49" s="14">
        <v>2.7804656001727348E-2</v>
      </c>
      <c r="AQ49" s="14">
        <v>-3.2716515633424842E-3</v>
      </c>
      <c r="AR49" s="14">
        <v>4.3357326719827595E-3</v>
      </c>
      <c r="AS49" s="14">
        <v>1.5446419983813218E-2</v>
      </c>
      <c r="AT49" s="14">
        <v>0.10261047677040706</v>
      </c>
      <c r="AU49" s="14">
        <v>1.2367845346570525E-3</v>
      </c>
      <c r="AV49" s="14">
        <v>1.5823638796677149E-2</v>
      </c>
      <c r="AW49" s="14">
        <v>1.0538645924718881E-2</v>
      </c>
      <c r="AX49" s="14">
        <v>-3.4171512615039479E-2</v>
      </c>
      <c r="AY49" s="14">
        <v>3.0650590177268726E-2</v>
      </c>
      <c r="AZ49" s="14">
        <v>3.7710061754939961E-2</v>
      </c>
      <c r="BA49" s="14">
        <v>-3.0151137077787188E-2</v>
      </c>
      <c r="BB49" s="14">
        <v>3.0285815288263372E-2</v>
      </c>
      <c r="BC49" s="14">
        <v>3.4081254506458943E-2</v>
      </c>
      <c r="BD49" s="14">
        <v>3.6794997491146661E-2</v>
      </c>
      <c r="BE49" s="14">
        <v>2.9405957872612205E-2</v>
      </c>
      <c r="BF49" s="14">
        <v>1.9563647536917333E-2</v>
      </c>
      <c r="BG49" s="14">
        <v>1.4914786672135619E-2</v>
      </c>
      <c r="BH49" s="14">
        <v>1.5413480709295964E-2</v>
      </c>
      <c r="BI49" s="14">
        <v>3.1029400434914096E-2</v>
      </c>
      <c r="BJ49" s="14">
        <v>-4.3400694426257921E-3</v>
      </c>
      <c r="BK49" s="14">
        <v>4.5009582940123798E-2</v>
      </c>
      <c r="BL49" s="14">
        <v>-2.1444992711212987E-2</v>
      </c>
      <c r="BM49" s="14">
        <v>-4.9264184822164422E-4</v>
      </c>
      <c r="BN49" s="14">
        <v>1.5369956558786693E-2</v>
      </c>
      <c r="BO49" s="14">
        <v>2.7634133544983772E-2</v>
      </c>
      <c r="BP49" s="14">
        <v>6.176039597843154E-2</v>
      </c>
      <c r="BQ49" s="14">
        <v>1.5715271983370027E-2</v>
      </c>
      <c r="BR49" s="14">
        <v>1.7714736069024847E-2</v>
      </c>
      <c r="BS49" s="14">
        <v>2.008946236090934E-2</v>
      </c>
      <c r="BT49" s="14">
        <v>2.2649963700712414E-2</v>
      </c>
    </row>
    <row r="50" spans="1:72">
      <c r="A50" s="336" t="s">
        <v>120</v>
      </c>
      <c r="B50" s="342">
        <v>11.3</v>
      </c>
      <c r="C50" s="343">
        <v>4.7</v>
      </c>
      <c r="D50" s="344">
        <v>84.290902250404002</v>
      </c>
      <c r="E50" s="441">
        <v>333.1</v>
      </c>
      <c r="G50" s="38">
        <v>1</v>
      </c>
      <c r="H50" s="73">
        <f t="shared" si="3"/>
        <v>4.7</v>
      </c>
      <c r="I50" s="73">
        <f t="shared" si="4"/>
        <v>84.290902250404002</v>
      </c>
      <c r="J50" s="72">
        <f t="shared" si="5"/>
        <v>333.1</v>
      </c>
      <c r="L50" s="443">
        <f t="shared" si="1"/>
        <v>11.3</v>
      </c>
      <c r="S50" s="443">
        <v>9.9856930226675171</v>
      </c>
      <c r="U50" s="443">
        <f t="shared" si="2"/>
        <v>1.3143069773324836</v>
      </c>
      <c r="W50" s="14">
        <v>-3.2055177694678749E-2</v>
      </c>
      <c r="X50" s="14">
        <v>3.1871773573285321E-2</v>
      </c>
      <c r="Y50" s="14">
        <v>3.0498023220558799E-2</v>
      </c>
      <c r="Z50" s="14">
        <v>-2.3186781796545729E-2</v>
      </c>
      <c r="AA50" s="14">
        <v>7.7669704852394217E-2</v>
      </c>
      <c r="AB50" s="14">
        <v>4.4756468461848685E-2</v>
      </c>
      <c r="AC50" s="14">
        <v>3.2578609866434974E-2</v>
      </c>
      <c r="AD50" s="14">
        <v>-9.3197394372110109E-3</v>
      </c>
      <c r="AE50" s="14">
        <v>1.5483432696116115E-2</v>
      </c>
      <c r="AF50" s="14">
        <v>-1.7918543254725715E-3</v>
      </c>
      <c r="AG50" s="14">
        <v>8.8805119566837842E-2</v>
      </c>
      <c r="AH50" s="14">
        <v>8.0171969891846412E-3</v>
      </c>
      <c r="AI50" s="14">
        <v>1.1695378812398535E-2</v>
      </c>
      <c r="AJ50" s="14">
        <v>-1.8755510946617711E-2</v>
      </c>
      <c r="AK50" s="14">
        <v>5.7195357997292279E-2</v>
      </c>
      <c r="AL50" s="14">
        <v>8.640459716550114E-3</v>
      </c>
      <c r="AM50" s="14">
        <v>-6.9808193718318076E-3</v>
      </c>
      <c r="AN50" s="14">
        <v>-4.6493737609455243E-2</v>
      </c>
      <c r="AO50" s="14">
        <v>1.8006297732511563E-2</v>
      </c>
      <c r="AP50" s="14">
        <v>5.7863991598636894E-3</v>
      </c>
      <c r="AQ50" s="14">
        <v>7.4380655499268783E-2</v>
      </c>
      <c r="AR50" s="14">
        <v>7.4915111268807968E-3</v>
      </c>
      <c r="AS50" s="14">
        <v>5.79222273585034E-2</v>
      </c>
      <c r="AT50" s="14">
        <v>-7.2956688450279791E-2</v>
      </c>
      <c r="AU50" s="14">
        <v>4.0409493565730682E-3</v>
      </c>
      <c r="AV50" s="14">
        <v>4.0070346987888715E-2</v>
      </c>
      <c r="AW50" s="14">
        <v>4.5362430323543403E-2</v>
      </c>
      <c r="AX50" s="14">
        <v>4.0555163597207594E-2</v>
      </c>
      <c r="AY50" s="14">
        <v>2.4689686175618619E-2</v>
      </c>
      <c r="AZ50" s="14">
        <v>5.973681535434984E-2</v>
      </c>
      <c r="BA50" s="14">
        <v>5.3194367389223285E-2</v>
      </c>
      <c r="BB50" s="14">
        <v>6.0713955674309213E-2</v>
      </c>
      <c r="BC50" s="14">
        <v>-8.5082108241777005E-3</v>
      </c>
      <c r="BD50" s="14">
        <v>3.6135215898069596E-2</v>
      </c>
      <c r="BE50" s="14">
        <v>-1.0623111629250146E-2</v>
      </c>
      <c r="BF50" s="14">
        <v>-7.9630773291150588E-3</v>
      </c>
      <c r="BG50" s="14">
        <v>4.8710642511709604E-2</v>
      </c>
      <c r="BH50" s="14">
        <v>-3.8388483714329189E-3</v>
      </c>
      <c r="BI50" s="14">
        <v>3.172637975385513E-2</v>
      </c>
      <c r="BJ50" s="14">
        <v>-5.9409577552993892E-3</v>
      </c>
      <c r="BK50" s="14">
        <v>8.2150512784179772E-3</v>
      </c>
      <c r="BL50" s="14">
        <v>-2.3444001914718446E-2</v>
      </c>
      <c r="BM50" s="14">
        <v>3.966321946720465E-2</v>
      </c>
      <c r="BN50" s="14">
        <v>5.6741215692458477E-2</v>
      </c>
      <c r="BO50" s="14">
        <v>4.0545746498573711E-2</v>
      </c>
      <c r="BP50" s="14">
        <v>1.5715271983369548E-2</v>
      </c>
      <c r="BQ50" s="14">
        <v>7.6329554800437086E-2</v>
      </c>
      <c r="BR50" s="14">
        <v>-7.9291043658062665E-3</v>
      </c>
      <c r="BS50" s="14">
        <v>2.390651227582127E-2</v>
      </c>
      <c r="BT50" s="14">
        <v>2.9364801733438722E-3</v>
      </c>
    </row>
    <row r="51" spans="1:72">
      <c r="A51" s="336" t="s">
        <v>121</v>
      </c>
      <c r="B51" s="447">
        <v>17</v>
      </c>
      <c r="C51" s="343">
        <v>7.4</v>
      </c>
      <c r="D51" s="344">
        <v>94.524786328554711</v>
      </c>
      <c r="E51" s="441">
        <v>275.2</v>
      </c>
      <c r="G51" s="38">
        <v>1</v>
      </c>
      <c r="H51" s="73">
        <f t="shared" si="3"/>
        <v>7.4</v>
      </c>
      <c r="I51" s="73">
        <f t="shared" si="4"/>
        <v>94.524786328554711</v>
      </c>
      <c r="J51" s="72">
        <f t="shared" si="5"/>
        <v>275.2</v>
      </c>
      <c r="L51" s="443">
        <f t="shared" si="1"/>
        <v>17</v>
      </c>
      <c r="S51" s="443">
        <v>13.72945181414045</v>
      </c>
      <c r="U51" s="443">
        <f t="shared" si="2"/>
        <v>3.2705481858595498</v>
      </c>
      <c r="W51" s="14">
        <v>3.3814449776084318E-2</v>
      </c>
      <c r="X51" s="14">
        <v>-2.2124769426122279E-2</v>
      </c>
      <c r="Y51" s="14">
        <v>1.5434205493654166E-2</v>
      </c>
      <c r="Z51" s="14">
        <v>3.8112949251871156E-2</v>
      </c>
      <c r="AA51" s="14">
        <v>-3.3227777365577381E-2</v>
      </c>
      <c r="AB51" s="14">
        <v>2.0108499787496022E-2</v>
      </c>
      <c r="AC51" s="14">
        <v>2.5402206190868193E-2</v>
      </c>
      <c r="AD51" s="14">
        <v>8.4333423269604968E-3</v>
      </c>
      <c r="AE51" s="14">
        <v>-1.0712013926010427E-3</v>
      </c>
      <c r="AF51" s="14">
        <v>2.3995998230148131E-3</v>
      </c>
      <c r="AG51" s="14">
        <v>-9.8044149736477099E-2</v>
      </c>
      <c r="AH51" s="14">
        <v>5.8628724486449291E-2</v>
      </c>
      <c r="AI51" s="14">
        <v>1.2694339200032321E-2</v>
      </c>
      <c r="AJ51" s="14">
        <v>5.9404458883537445E-2</v>
      </c>
      <c r="AK51" s="14">
        <v>2.2514226410265403E-2</v>
      </c>
      <c r="AL51" s="14">
        <v>3.4998936114461879E-2</v>
      </c>
      <c r="AM51" s="14">
        <v>5.7306316667306664E-2</v>
      </c>
      <c r="AN51" s="14">
        <v>1.5014879629424639E-2</v>
      </c>
      <c r="AO51" s="14">
        <v>6.2917612573159698E-2</v>
      </c>
      <c r="AP51" s="14">
        <v>-1.5357066012716136E-2</v>
      </c>
      <c r="AQ51" s="14">
        <v>-1.008973283416156E-2</v>
      </c>
      <c r="AR51" s="14">
        <v>1.8458962953205871E-2</v>
      </c>
      <c r="AS51" s="14">
        <v>1.4368873205679998E-2</v>
      </c>
      <c r="AT51" s="14">
        <v>5.4108338238603296E-2</v>
      </c>
      <c r="AU51" s="14">
        <v>2.8778103241102554E-2</v>
      </c>
      <c r="AV51" s="14">
        <v>2.823759644172074E-2</v>
      </c>
      <c r="AW51" s="14">
        <v>2.5263329681517569E-2</v>
      </c>
      <c r="AX51" s="14">
        <v>-1.7424748644551846E-2</v>
      </c>
      <c r="AY51" s="14">
        <v>5.5910325539616577E-2</v>
      </c>
      <c r="AZ51" s="14">
        <v>-9.9442139593710448E-3</v>
      </c>
      <c r="BA51" s="14">
        <v>-1.50670209949368E-2</v>
      </c>
      <c r="BB51" s="14">
        <v>-2.0227910584228462E-2</v>
      </c>
      <c r="BC51" s="14">
        <v>2.1955784282873689E-2</v>
      </c>
      <c r="BD51" s="14">
        <v>4.1726790495319258E-2</v>
      </c>
      <c r="BE51" s="14">
        <v>4.8421072151703416E-2</v>
      </c>
      <c r="BF51" s="14">
        <v>2.6050125546930453E-2</v>
      </c>
      <c r="BG51" s="14">
        <v>2.2124910622481939E-2</v>
      </c>
      <c r="BH51" s="14">
        <v>4.0278738932649577E-2</v>
      </c>
      <c r="BI51" s="14">
        <v>3.4449413678381488E-2</v>
      </c>
      <c r="BJ51" s="14">
        <v>-8.9173146382654847E-3</v>
      </c>
      <c r="BK51" s="14">
        <v>5.2998338108272133E-2</v>
      </c>
      <c r="BL51" s="14">
        <v>2.2993965886667293E-2</v>
      </c>
      <c r="BM51" s="14">
        <v>1.2210303620549638E-3</v>
      </c>
      <c r="BN51" s="14">
        <v>2.4748376372648651E-2</v>
      </c>
      <c r="BO51" s="14">
        <v>4.7950771643233817E-2</v>
      </c>
      <c r="BP51" s="14">
        <v>1.7714736069025058E-2</v>
      </c>
      <c r="BQ51" s="14">
        <v>-7.9291043658066621E-3</v>
      </c>
      <c r="BR51" s="14">
        <v>6.648748869827184E-2</v>
      </c>
      <c r="BS51" s="14">
        <v>3.7224719559671104E-2</v>
      </c>
      <c r="BT51" s="14">
        <v>6.0768471628598206E-2</v>
      </c>
    </row>
    <row r="52" spans="1:72">
      <c r="A52" s="336" t="s">
        <v>122</v>
      </c>
      <c r="B52" s="342">
        <v>10.4</v>
      </c>
      <c r="C52" s="343">
        <v>6.4</v>
      </c>
      <c r="D52" s="344">
        <v>89.673695670212709</v>
      </c>
      <c r="E52" s="441">
        <v>290.89999999999998</v>
      </c>
      <c r="G52" s="38">
        <v>1</v>
      </c>
      <c r="H52" s="73">
        <f t="shared" si="3"/>
        <v>6.4</v>
      </c>
      <c r="I52" s="73">
        <f t="shared" si="4"/>
        <v>89.673695670212709</v>
      </c>
      <c r="J52" s="72">
        <f t="shared" si="5"/>
        <v>290.89999999999998</v>
      </c>
      <c r="L52" s="443">
        <f t="shared" si="1"/>
        <v>10.4</v>
      </c>
      <c r="S52" s="443">
        <v>12.296174498038807</v>
      </c>
      <c r="U52" s="443">
        <f t="shared" si="2"/>
        <v>-1.8961744980388069</v>
      </c>
      <c r="W52" s="14">
        <v>1.0964437398857906E-2</v>
      </c>
      <c r="X52" s="14">
        <v>-1.9119083286364552E-3</v>
      </c>
      <c r="Y52" s="14">
        <v>1.9449628426586697E-2</v>
      </c>
      <c r="Z52" s="14">
        <v>1.421182668312891E-2</v>
      </c>
      <c r="AA52" s="14">
        <v>8.399058473234744E-3</v>
      </c>
      <c r="AB52" s="14">
        <v>2.8321125775131354E-2</v>
      </c>
      <c r="AC52" s="14">
        <v>2.9039135559920101E-2</v>
      </c>
      <c r="AD52" s="14">
        <v>7.1337388633229554E-4</v>
      </c>
      <c r="AE52" s="14">
        <v>2.6306703473368831E-3</v>
      </c>
      <c r="AF52" s="14">
        <v>3.42748427992484E-3</v>
      </c>
      <c r="AG52" s="14">
        <v>-1.593324022291584E-2</v>
      </c>
      <c r="AH52" s="14">
        <v>3.8618123914598394E-2</v>
      </c>
      <c r="AI52" s="14">
        <v>1.1723179692179743E-2</v>
      </c>
      <c r="AJ52" s="14">
        <v>2.9529623626212195E-2</v>
      </c>
      <c r="AK52" s="14">
        <v>3.4078172603303945E-2</v>
      </c>
      <c r="AL52" s="14">
        <v>2.3301259316227139E-2</v>
      </c>
      <c r="AM52" s="14">
        <v>3.2607598176092462E-2</v>
      </c>
      <c r="AN52" s="14">
        <v>-7.5655289500152698E-3</v>
      </c>
      <c r="AO52" s="14">
        <v>4.5815872574109504E-2</v>
      </c>
      <c r="AP52" s="14">
        <v>-5.8073462356343815E-3</v>
      </c>
      <c r="AQ52" s="14">
        <v>2.0510740323317681E-2</v>
      </c>
      <c r="AR52" s="14">
        <v>1.3300132601572479E-2</v>
      </c>
      <c r="AS52" s="14">
        <v>3.0370399987164447E-2</v>
      </c>
      <c r="AT52" s="14">
        <v>1.1905362275098808E-2</v>
      </c>
      <c r="AU52" s="14">
        <v>1.7954279766472153E-2</v>
      </c>
      <c r="AV52" s="14">
        <v>3.2055866622342014E-2</v>
      </c>
      <c r="AW52" s="14">
        <v>3.1858021301123529E-2</v>
      </c>
      <c r="AX52" s="14">
        <v>1.3369996142172519E-3</v>
      </c>
      <c r="AY52" s="14">
        <v>4.3950251437459641E-2</v>
      </c>
      <c r="AZ52" s="14">
        <v>1.8152755059444872E-2</v>
      </c>
      <c r="BA52" s="14">
        <v>7.7244911898056157E-3</v>
      </c>
      <c r="BB52" s="14">
        <v>1.1835809952015259E-2</v>
      </c>
      <c r="BC52" s="14">
        <v>1.16210994584681E-2</v>
      </c>
      <c r="BD52" s="14">
        <v>4.0176229491618518E-2</v>
      </c>
      <c r="BE52" s="14">
        <v>2.6293471536363581E-2</v>
      </c>
      <c r="BF52" s="14">
        <v>1.3209491770684118E-2</v>
      </c>
      <c r="BG52" s="14">
        <v>3.1545191367423418E-2</v>
      </c>
      <c r="BH52" s="14">
        <v>2.2929744289866591E-2</v>
      </c>
      <c r="BI52" s="14">
        <v>3.3777237580749617E-2</v>
      </c>
      <c r="BJ52" s="14">
        <v>-8.6544625032963229E-3</v>
      </c>
      <c r="BK52" s="14">
        <v>3.7148619188640535E-2</v>
      </c>
      <c r="BL52" s="14">
        <v>2.6563969065423326E-3</v>
      </c>
      <c r="BM52" s="14">
        <v>1.4589757206280144E-2</v>
      </c>
      <c r="BN52" s="14">
        <v>3.6122447699241833E-2</v>
      </c>
      <c r="BO52" s="14">
        <v>4.4859573087239681E-2</v>
      </c>
      <c r="BP52" s="14">
        <v>2.0089462360908868E-2</v>
      </c>
      <c r="BQ52" s="14">
        <v>2.3906512275820701E-2</v>
      </c>
      <c r="BR52" s="14">
        <v>3.7224719559670792E-2</v>
      </c>
      <c r="BS52" s="14">
        <v>3.1736795345798548E-2</v>
      </c>
      <c r="BT52" s="14">
        <v>3.8200056251974826E-2</v>
      </c>
    </row>
    <row r="53" spans="1:72">
      <c r="A53" s="448" t="s">
        <v>123</v>
      </c>
      <c r="B53" s="449">
        <v>9.4</v>
      </c>
      <c r="C53" s="450">
        <v>7</v>
      </c>
      <c r="D53" s="451">
        <v>93.867286940458214</v>
      </c>
      <c r="E53" s="452">
        <v>239.3</v>
      </c>
      <c r="G53" s="259">
        <v>1</v>
      </c>
      <c r="H53" s="260">
        <f t="shared" si="3"/>
        <v>7</v>
      </c>
      <c r="I53" s="260">
        <f t="shared" si="4"/>
        <v>93.867286940458214</v>
      </c>
      <c r="J53" s="261">
        <f t="shared" si="5"/>
        <v>239.3</v>
      </c>
      <c r="L53" s="444">
        <f t="shared" si="1"/>
        <v>9.4</v>
      </c>
      <c r="S53" s="444">
        <v>13.1427872095651</v>
      </c>
      <c r="U53" s="444">
        <f t="shared" si="2"/>
        <v>-3.7427872095650994</v>
      </c>
      <c r="W53" s="14">
        <v>2.7001299991556246E-2</v>
      </c>
      <c r="X53" s="14">
        <v>-2.2273489743722598E-2</v>
      </c>
      <c r="Y53" s="14">
        <v>1.427523381737696E-2</v>
      </c>
      <c r="Z53" s="14">
        <v>2.8171407072507808E-2</v>
      </c>
      <c r="AA53" s="14">
        <v>-2.4040963469329484E-2</v>
      </c>
      <c r="AB53" s="14">
        <v>2.3479396951951708E-2</v>
      </c>
      <c r="AC53" s="14">
        <v>3.0273466192653923E-2</v>
      </c>
      <c r="AD53" s="14">
        <v>-6.6266919418490888E-4</v>
      </c>
      <c r="AE53" s="14">
        <v>-8.1831563765671148E-3</v>
      </c>
      <c r="AF53" s="14">
        <v>1.5866696616672372E-3</v>
      </c>
      <c r="AG53" s="14">
        <v>-6.7458616623045461E-2</v>
      </c>
      <c r="AH53" s="14">
        <v>5.6483809867598385E-2</v>
      </c>
      <c r="AI53" s="14">
        <v>9.2972509687464649E-3</v>
      </c>
      <c r="AJ53" s="14">
        <v>5.2425359767929253E-2</v>
      </c>
      <c r="AK53" s="14">
        <v>2.7931121732954634E-2</v>
      </c>
      <c r="AL53" s="14">
        <v>3.0003805338430341E-2</v>
      </c>
      <c r="AM53" s="14">
        <v>5.268690682847002E-2</v>
      </c>
      <c r="AN53" s="14">
        <v>1.281603009648323E-3</v>
      </c>
      <c r="AO53" s="14">
        <v>6.467988095095864E-2</v>
      </c>
      <c r="AP53" s="14">
        <v>-1.7528632052103612E-2</v>
      </c>
      <c r="AQ53" s="14">
        <v>-2.3061249030834965E-3</v>
      </c>
      <c r="AR53" s="14">
        <v>1.3652410656076724E-2</v>
      </c>
      <c r="AS53" s="14">
        <v>2.1565427141201861E-2</v>
      </c>
      <c r="AT53" s="14">
        <v>4.6647403668350546E-2</v>
      </c>
      <c r="AU53" s="14">
        <v>2.2910732901469638E-2</v>
      </c>
      <c r="AV53" s="14">
        <v>3.1897266708729312E-2</v>
      </c>
      <c r="AW53" s="14">
        <v>2.9257258668447604E-2</v>
      </c>
      <c r="AX53" s="14">
        <v>-2.1062566566681734E-2</v>
      </c>
      <c r="AY53" s="14">
        <v>5.8690405438747838E-2</v>
      </c>
      <c r="AZ53" s="14">
        <v>5.3343395023364854E-4</v>
      </c>
      <c r="BA53" s="14">
        <v>-1.5493966660362742E-2</v>
      </c>
      <c r="BB53" s="14">
        <v>-1.0676425426887896E-2</v>
      </c>
      <c r="BC53" s="14">
        <v>1.8017810540027782E-2</v>
      </c>
      <c r="BD53" s="14">
        <v>4.7622193130133432E-2</v>
      </c>
      <c r="BE53" s="14">
        <v>4.3620557451513019E-2</v>
      </c>
      <c r="BF53" s="14">
        <v>2.0229018339353456E-2</v>
      </c>
      <c r="BG53" s="14">
        <v>2.740000808256484E-2</v>
      </c>
      <c r="BH53" s="14">
        <v>3.4858514348684165E-2</v>
      </c>
      <c r="BI53" s="14">
        <v>3.8557513963374736E-2</v>
      </c>
      <c r="BJ53" s="14">
        <v>-1.7970272888482783E-2</v>
      </c>
      <c r="BK53" s="14">
        <v>5.4338268368507449E-2</v>
      </c>
      <c r="BL53" s="14">
        <v>8.1872419455795362E-3</v>
      </c>
      <c r="BM53" s="14">
        <v>2.2755792008677458E-3</v>
      </c>
      <c r="BN53" s="14">
        <v>3.1779544812922757E-2</v>
      </c>
      <c r="BO53" s="14">
        <v>5.353509262891766E-2</v>
      </c>
      <c r="BP53" s="14">
        <v>2.264996370071224E-2</v>
      </c>
      <c r="BQ53" s="14">
        <v>2.9364801733432712E-3</v>
      </c>
      <c r="BR53" s="14">
        <v>6.0768471628597831E-2</v>
      </c>
      <c r="BS53" s="14">
        <v>3.8200056251974819E-2</v>
      </c>
      <c r="BT53" s="14">
        <v>5.7949018051671977E-2</v>
      </c>
    </row>
  </sheetData>
  <mergeCells count="3">
    <mergeCell ref="G3:J3"/>
    <mergeCell ref="N9:Q9"/>
    <mergeCell ref="N15:Q15"/>
  </mergeCells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150"/>
  <dimension ref="A1:W81"/>
  <sheetViews>
    <sheetView workbookViewId="0"/>
  </sheetViews>
  <sheetFormatPr defaultRowHeight="15"/>
  <cols>
    <col min="1" max="2" width="8.28515625" customWidth="1"/>
    <col min="3" max="3" width="4.85546875" customWidth="1"/>
    <col min="4" max="7" width="5.7109375" customWidth="1"/>
    <col min="8" max="14" width="9.5703125" customWidth="1"/>
  </cols>
  <sheetData>
    <row r="1" spans="1:15">
      <c r="A1" s="1" t="s">
        <v>470</v>
      </c>
    </row>
    <row r="3" spans="1:15">
      <c r="A3" s="14" t="s">
        <v>477</v>
      </c>
    </row>
    <row r="5" spans="1:15">
      <c r="A5" s="80" t="s">
        <v>446</v>
      </c>
      <c r="B5" s="80" t="s">
        <v>134</v>
      </c>
      <c r="E5" s="272" t="s">
        <v>55</v>
      </c>
      <c r="F5" s="272" t="s">
        <v>291</v>
      </c>
      <c r="G5" s="273" t="s">
        <v>292</v>
      </c>
      <c r="H5" s="269" t="s">
        <v>471</v>
      </c>
      <c r="I5" s="269" t="s">
        <v>211</v>
      </c>
      <c r="J5" s="269" t="s">
        <v>472</v>
      </c>
      <c r="K5" s="269" t="s">
        <v>473</v>
      </c>
      <c r="L5" s="269" t="s">
        <v>474</v>
      </c>
      <c r="M5" s="272" t="s">
        <v>475</v>
      </c>
      <c r="N5" s="273" t="s">
        <v>476</v>
      </c>
      <c r="O5" s="356" t="s">
        <v>594</v>
      </c>
    </row>
    <row r="6" spans="1:15">
      <c r="A6" s="40">
        <v>5</v>
      </c>
      <c r="B6" s="81">
        <v>80</v>
      </c>
      <c r="E6" s="267">
        <v>1</v>
      </c>
      <c r="F6" s="274">
        <f t="shared" ref="F6:F20" si="0">A6</f>
        <v>5</v>
      </c>
      <c r="G6" s="275">
        <f t="shared" ref="G6:G20" si="1">B6</f>
        <v>80</v>
      </c>
      <c r="H6" s="270">
        <f t="shared" ref="H6:H20" si="2">FORECAST(F6,G$6:G$20,F$6:F$20)</f>
        <v>82.579419168662113</v>
      </c>
      <c r="I6" s="270">
        <f>G6-H6</f>
        <v>-2.5794191686621133</v>
      </c>
      <c r="J6" s="270">
        <f t="shared" ref="J6:J20" si="3">1/E$20+(F6-F$22)^2/F$23</f>
        <v>0.16215386504574197</v>
      </c>
      <c r="K6" s="270">
        <f>(I$25-I6^2/((1-J6)*$I$24))*$I$24/($I$24-1)</f>
        <v>68.233438370218394</v>
      </c>
      <c r="L6" s="270">
        <f>I6/SQRT(K6*(1-J6))</f>
        <v>-0.34114668806182424</v>
      </c>
      <c r="M6" s="267">
        <f>TDIST(ABS(L6),$I$24,2)</f>
        <v>0.73844391303179213</v>
      </c>
      <c r="N6" s="268">
        <f t="shared" ref="N6:N20" si="4">(I6^2/I$25)*(J6/(1-J6)^2)/(E$21+1)</f>
        <v>1.2083306344603048E-2</v>
      </c>
      <c r="O6" s="293">
        <f>L6*SQRT(J6/(1-J6))</f>
        <v>-0.15007995006224775</v>
      </c>
    </row>
    <row r="7" spans="1:15">
      <c r="A7" s="40">
        <v>23</v>
      </c>
      <c r="B7" s="40">
        <v>78</v>
      </c>
      <c r="E7" s="201">
        <f>E6+1</f>
        <v>2</v>
      </c>
      <c r="F7" s="194">
        <f t="shared" si="0"/>
        <v>23</v>
      </c>
      <c r="G7" s="30">
        <f t="shared" si="1"/>
        <v>78</v>
      </c>
      <c r="H7" s="5">
        <f t="shared" si="2"/>
        <v>71.271811874501125</v>
      </c>
      <c r="I7" s="5">
        <f t="shared" ref="I7:I17" si="5">G7-H7</f>
        <v>6.7281881254988747</v>
      </c>
      <c r="J7" s="5">
        <f t="shared" si="3"/>
        <v>7.2634616565358884E-2</v>
      </c>
      <c r="K7" s="5">
        <f t="shared" ref="K7:K20" si="6">(I$25-I7^2/((1-J7)*$I$24))*$I$24/($I$24-1)</f>
        <v>64.827352577683612</v>
      </c>
      <c r="L7" s="5">
        <f t="shared" ref="L7:L20" si="7">I7/SQRT(K7*(1-J7))</f>
        <v>0.8677478429535036</v>
      </c>
      <c r="M7" s="4">
        <f t="shared" ref="M7:M20" si="8">TDIST(ABS(L7),$I$24,2)</f>
        <v>0.40126717937513812</v>
      </c>
      <c r="N7" s="6">
        <f t="shared" si="4"/>
        <v>3.0059469800597524E-2</v>
      </c>
      <c r="O7" s="293">
        <f t="shared" ref="O7:O20" si="9">L7*SQRT(J7/(1-J7))</f>
        <v>0.24285101704604017</v>
      </c>
    </row>
    <row r="8" spans="1:15">
      <c r="A8" s="40">
        <v>25</v>
      </c>
      <c r="B8" s="40">
        <v>60</v>
      </c>
      <c r="E8" s="201">
        <f t="shared" ref="E8:E20" si="10">E7+1</f>
        <v>3</v>
      </c>
      <c r="F8" s="194">
        <f t="shared" si="0"/>
        <v>25</v>
      </c>
      <c r="G8" s="30">
        <f t="shared" si="1"/>
        <v>60</v>
      </c>
      <c r="H8" s="5">
        <f t="shared" si="2"/>
        <v>70.015411064038801</v>
      </c>
      <c r="I8" s="5">
        <f t="shared" si="5"/>
        <v>-10.015411064038801</v>
      </c>
      <c r="J8" s="5">
        <f t="shared" si="3"/>
        <v>8.11076318536256E-2</v>
      </c>
      <c r="K8" s="5">
        <f t="shared" si="6"/>
        <v>59.798331774243849</v>
      </c>
      <c r="L8" s="5">
        <f t="shared" si="7"/>
        <v>-1.3511137768141768</v>
      </c>
      <c r="M8" s="4">
        <f t="shared" si="8"/>
        <v>0.19970578171404116</v>
      </c>
      <c r="N8" s="6">
        <f t="shared" si="4"/>
        <v>7.5755325130713522E-2</v>
      </c>
      <c r="O8" s="293">
        <f t="shared" si="9"/>
        <v>-0.40141210108054132</v>
      </c>
    </row>
    <row r="9" spans="1:15">
      <c r="A9" s="40">
        <v>48</v>
      </c>
      <c r="B9" s="262">
        <v>53</v>
      </c>
      <c r="E9" s="201">
        <f t="shared" si="10"/>
        <v>4</v>
      </c>
      <c r="F9" s="194">
        <f t="shared" si="0"/>
        <v>48</v>
      </c>
      <c r="G9" s="30">
        <f t="shared" si="1"/>
        <v>53</v>
      </c>
      <c r="H9" s="5">
        <f t="shared" si="2"/>
        <v>55.566801743721982</v>
      </c>
      <c r="I9" s="5">
        <f t="shared" si="5"/>
        <v>-2.5668017437219817</v>
      </c>
      <c r="J9" s="5">
        <f t="shared" si="3"/>
        <v>0.44332903542702762</v>
      </c>
      <c r="K9" s="5">
        <f t="shared" si="6"/>
        <v>67.908904575451757</v>
      </c>
      <c r="L9" s="5">
        <f t="shared" si="7"/>
        <v>-0.41747423579741882</v>
      </c>
      <c r="M9" s="4">
        <f t="shared" si="8"/>
        <v>0.68314401724421714</v>
      </c>
      <c r="N9" s="6">
        <f t="shared" si="4"/>
        <v>7.4106595989850158E-2</v>
      </c>
      <c r="O9" s="293">
        <f t="shared" si="9"/>
        <v>-0.37255764665172403</v>
      </c>
    </row>
    <row r="10" spans="1:15">
      <c r="A10" s="82">
        <v>17</v>
      </c>
      <c r="B10" s="40">
        <v>85</v>
      </c>
      <c r="E10" s="201">
        <f t="shared" si="10"/>
        <v>5</v>
      </c>
      <c r="F10" s="194">
        <f t="shared" si="0"/>
        <v>17</v>
      </c>
      <c r="G10" s="30">
        <f t="shared" si="1"/>
        <v>85</v>
      </c>
      <c r="H10" s="5">
        <f t="shared" si="2"/>
        <v>75.041014305888126</v>
      </c>
      <c r="I10" s="5">
        <f t="shared" si="5"/>
        <v>9.958985694111874</v>
      </c>
      <c r="J10" s="5">
        <f t="shared" si="3"/>
        <v>6.9319088843863202E-2</v>
      </c>
      <c r="K10" s="5">
        <f t="shared" si="6"/>
        <v>60.014475304569636</v>
      </c>
      <c r="L10" s="5">
        <f t="shared" si="7"/>
        <v>1.3325597725103162</v>
      </c>
      <c r="M10" s="4">
        <f t="shared" si="8"/>
        <v>0.2055631574336946</v>
      </c>
      <c r="N10" s="6">
        <f t="shared" si="4"/>
        <v>6.2405752807508305E-2</v>
      </c>
      <c r="O10" s="293">
        <f t="shared" si="9"/>
        <v>0.36367438927449458</v>
      </c>
    </row>
    <row r="11" spans="1:15">
      <c r="A11" s="82">
        <v>8</v>
      </c>
      <c r="B11" s="40">
        <v>84</v>
      </c>
      <c r="E11" s="201">
        <f t="shared" si="10"/>
        <v>6</v>
      </c>
      <c r="F11" s="194">
        <f t="shared" si="0"/>
        <v>8</v>
      </c>
      <c r="G11" s="30">
        <f t="shared" si="1"/>
        <v>84</v>
      </c>
      <c r="H11" s="5">
        <f t="shared" si="2"/>
        <v>80.69481795296862</v>
      </c>
      <c r="I11" s="5">
        <f t="shared" si="5"/>
        <v>3.30518204703138</v>
      </c>
      <c r="J11" s="5">
        <f t="shared" si="3"/>
        <v>0.12651194203966351</v>
      </c>
      <c r="K11" s="5">
        <f t="shared" si="6"/>
        <v>67.852991483030493</v>
      </c>
      <c r="L11" s="5">
        <f t="shared" si="7"/>
        <v>0.42932126412379101</v>
      </c>
      <c r="M11" s="4">
        <f t="shared" si="8"/>
        <v>0.67471904030617647</v>
      </c>
      <c r="N11" s="6">
        <f t="shared" si="4"/>
        <v>1.424136199317892E-2</v>
      </c>
      <c r="O11" s="293">
        <f t="shared" si="9"/>
        <v>0.16338781869922164</v>
      </c>
    </row>
    <row r="12" spans="1:15">
      <c r="A12" s="40">
        <v>4</v>
      </c>
      <c r="B12" s="40">
        <v>73</v>
      </c>
      <c r="E12" s="201">
        <f t="shared" si="10"/>
        <v>7</v>
      </c>
      <c r="F12" s="194">
        <f t="shared" si="0"/>
        <v>4</v>
      </c>
      <c r="G12" s="30">
        <f t="shared" si="1"/>
        <v>73</v>
      </c>
      <c r="H12" s="5">
        <f t="shared" si="2"/>
        <v>83.207619573893282</v>
      </c>
      <c r="I12" s="5">
        <f t="shared" si="5"/>
        <v>-10.207619573893282</v>
      </c>
      <c r="J12" s="5">
        <f t="shared" si="3"/>
        <v>0.17587646589304351</v>
      </c>
      <c r="K12" s="5">
        <f t="shared" si="6"/>
        <v>58.359204072763418</v>
      </c>
      <c r="L12" s="5">
        <f t="shared" si="7"/>
        <v>-1.4718841811600343</v>
      </c>
      <c r="M12" s="4">
        <f t="shared" si="8"/>
        <v>0.1648436566787799</v>
      </c>
      <c r="N12" s="6">
        <f t="shared" si="4"/>
        <v>0.21213641556569074</v>
      </c>
      <c r="O12" s="293">
        <f t="shared" si="9"/>
        <v>-0.67995683668488183</v>
      </c>
    </row>
    <row r="13" spans="1:15">
      <c r="A13" s="40">
        <v>26</v>
      </c>
      <c r="B13" s="40">
        <v>79</v>
      </c>
      <c r="E13" s="201">
        <f t="shared" si="10"/>
        <v>8</v>
      </c>
      <c r="F13" s="194">
        <f t="shared" si="0"/>
        <v>26</v>
      </c>
      <c r="G13" s="30">
        <f t="shared" si="1"/>
        <v>79</v>
      </c>
      <c r="H13" s="5">
        <f t="shared" si="2"/>
        <v>69.387210658807632</v>
      </c>
      <c r="I13" s="5">
        <f t="shared" si="5"/>
        <v>9.6127893411923679</v>
      </c>
      <c r="J13" s="5">
        <f t="shared" si="3"/>
        <v>8.6725609381715474E-2</v>
      </c>
      <c r="K13" s="5">
        <f t="shared" si="6"/>
        <v>60.463472161529232</v>
      </c>
      <c r="L13" s="5">
        <f t="shared" si="7"/>
        <v>1.2936066624599454</v>
      </c>
      <c r="M13" s="4">
        <f t="shared" si="8"/>
        <v>0.21831419276800018</v>
      </c>
      <c r="N13" s="6">
        <f t="shared" si="4"/>
        <v>7.5541712807570799E-2</v>
      </c>
      <c r="O13" s="293">
        <f t="shared" si="9"/>
        <v>0.39863486870293308</v>
      </c>
    </row>
    <row r="14" spans="1:15">
      <c r="A14" s="40">
        <v>11</v>
      </c>
      <c r="B14" s="40">
        <v>81</v>
      </c>
      <c r="E14" s="201">
        <f t="shared" si="10"/>
        <v>9</v>
      </c>
      <c r="F14" s="194">
        <f t="shared" si="0"/>
        <v>11</v>
      </c>
      <c r="G14" s="30">
        <f t="shared" si="1"/>
        <v>81</v>
      </c>
      <c r="H14" s="5">
        <f t="shared" si="2"/>
        <v>78.810216737275127</v>
      </c>
      <c r="I14" s="5">
        <f t="shared" si="5"/>
        <v>2.1897832627248732</v>
      </c>
      <c r="J14" s="5">
        <f t="shared" si="3"/>
        <v>9.9158838337324223E-2</v>
      </c>
      <c r="K14" s="5">
        <f t="shared" si="6"/>
        <v>68.451614185750643</v>
      </c>
      <c r="L14" s="5">
        <f t="shared" si="7"/>
        <v>0.27885932646467648</v>
      </c>
      <c r="M14" s="4">
        <f t="shared" si="8"/>
        <v>0.78473946633758551</v>
      </c>
      <c r="N14" s="6">
        <f t="shared" si="4"/>
        <v>4.6065991909096746E-3</v>
      </c>
      <c r="O14" s="293">
        <f t="shared" si="9"/>
        <v>9.2518115540734414E-2</v>
      </c>
    </row>
    <row r="15" spans="1:15">
      <c r="A15" s="40">
        <v>19</v>
      </c>
      <c r="B15" s="40">
        <v>75</v>
      </c>
      <c r="E15" s="201">
        <f t="shared" si="10"/>
        <v>10</v>
      </c>
      <c r="F15" s="194">
        <f t="shared" si="0"/>
        <v>19</v>
      </c>
      <c r="G15" s="30">
        <f t="shared" si="1"/>
        <v>75</v>
      </c>
      <c r="H15" s="5">
        <f t="shared" si="2"/>
        <v>73.784613495425788</v>
      </c>
      <c r="I15" s="5">
        <f t="shared" si="5"/>
        <v>1.2153865045742123</v>
      </c>
      <c r="J15" s="5">
        <f t="shared" si="3"/>
        <v>6.6740345060477685E-2</v>
      </c>
      <c r="K15" s="5">
        <f t="shared" si="6"/>
        <v>68.763294956140356</v>
      </c>
      <c r="L15" s="5">
        <f t="shared" si="7"/>
        <v>0.1517172019269904</v>
      </c>
      <c r="M15" s="4">
        <f t="shared" si="8"/>
        <v>0.88173917879630681</v>
      </c>
      <c r="N15" s="6">
        <f t="shared" si="4"/>
        <v>8.8992920763197002E-4</v>
      </c>
      <c r="O15" s="293">
        <f t="shared" si="9"/>
        <v>4.0572129462719875E-2</v>
      </c>
    </row>
    <row r="16" spans="1:15">
      <c r="A16" s="40">
        <v>14</v>
      </c>
      <c r="B16" s="40">
        <v>68</v>
      </c>
      <c r="E16" s="201">
        <f t="shared" si="10"/>
        <v>11</v>
      </c>
      <c r="F16" s="194">
        <f t="shared" si="0"/>
        <v>14</v>
      </c>
      <c r="G16" s="30">
        <f t="shared" si="1"/>
        <v>68</v>
      </c>
      <c r="H16" s="5">
        <f t="shared" si="2"/>
        <v>76.925615521581619</v>
      </c>
      <c r="I16" s="5">
        <f t="shared" si="5"/>
        <v>-8.9256155215816193</v>
      </c>
      <c r="J16" s="5">
        <f t="shared" si="3"/>
        <v>8.0094553938724125E-2</v>
      </c>
      <c r="K16" s="5">
        <f t="shared" si="6"/>
        <v>61.678274653762742</v>
      </c>
      <c r="L16" s="5">
        <f t="shared" si="7"/>
        <v>-1.1849512188942048</v>
      </c>
      <c r="M16" s="4">
        <f t="shared" si="8"/>
        <v>0.25724721767103392</v>
      </c>
      <c r="N16" s="6">
        <f t="shared" si="4"/>
        <v>5.9283813766001253E-2</v>
      </c>
      <c r="O16" s="293">
        <f t="shared" si="9"/>
        <v>-0.34964745427899241</v>
      </c>
    </row>
    <row r="17" spans="1:15">
      <c r="A17" s="40">
        <v>35</v>
      </c>
      <c r="B17" s="40">
        <v>72</v>
      </c>
      <c r="E17" s="201">
        <f t="shared" si="10"/>
        <v>12</v>
      </c>
      <c r="F17" s="194">
        <f t="shared" si="0"/>
        <v>35</v>
      </c>
      <c r="G17" s="30">
        <f t="shared" si="1"/>
        <v>72</v>
      </c>
      <c r="H17" s="5">
        <f t="shared" si="2"/>
        <v>63.733407011727138</v>
      </c>
      <c r="I17" s="5">
        <f t="shared" si="5"/>
        <v>8.2665929882728619</v>
      </c>
      <c r="J17" s="5">
        <f t="shared" si="3"/>
        <v>0.17873150365322035</v>
      </c>
      <c r="K17" s="5">
        <f t="shared" si="6"/>
        <v>61.961149322169057</v>
      </c>
      <c r="L17" s="5">
        <f t="shared" si="7"/>
        <v>1.1588420374683235</v>
      </c>
      <c r="M17" s="4">
        <f t="shared" si="8"/>
        <v>0.26736523095199272</v>
      </c>
      <c r="N17" s="6">
        <f t="shared" si="4"/>
        <v>0.14237281399753904</v>
      </c>
      <c r="O17" s="293">
        <f t="shared" si="9"/>
        <v>0.54060768324014774</v>
      </c>
    </row>
    <row r="18" spans="1:15">
      <c r="A18" s="40">
        <v>29</v>
      </c>
      <c r="B18" s="40">
        <v>58</v>
      </c>
      <c r="C18" s="262"/>
      <c r="E18" s="201">
        <f t="shared" si="10"/>
        <v>13</v>
      </c>
      <c r="F18" s="194">
        <f t="shared" si="0"/>
        <v>29</v>
      </c>
      <c r="G18" s="30">
        <f t="shared" si="1"/>
        <v>58</v>
      </c>
      <c r="H18" s="5">
        <f t="shared" si="2"/>
        <v>67.502609443114139</v>
      </c>
      <c r="I18" s="5">
        <f>G18-H18</f>
        <v>-9.5026094431141388</v>
      </c>
      <c r="J18" s="5">
        <f t="shared" si="3"/>
        <v>0.10910542150181127</v>
      </c>
      <c r="K18" s="5">
        <f t="shared" si="6"/>
        <v>60.448667585573169</v>
      </c>
      <c r="L18" s="5">
        <f t="shared" si="7"/>
        <v>-1.2949003726146766</v>
      </c>
      <c r="M18" s="4">
        <f t="shared" si="8"/>
        <v>0.21788071079848756</v>
      </c>
      <c r="N18" s="6">
        <f t="shared" si="4"/>
        <v>9.7593891642462349E-2</v>
      </c>
      <c r="O18" s="293">
        <f t="shared" si="9"/>
        <v>-0.45315456934644049</v>
      </c>
    </row>
    <row r="19" spans="1:15">
      <c r="A19" s="40">
        <v>4</v>
      </c>
      <c r="B19" s="40">
        <v>92</v>
      </c>
      <c r="C19" s="262"/>
      <c r="E19" s="201">
        <f t="shared" si="10"/>
        <v>14</v>
      </c>
      <c r="F19" s="194">
        <f t="shared" si="0"/>
        <v>4</v>
      </c>
      <c r="G19" s="30">
        <f t="shared" si="1"/>
        <v>92</v>
      </c>
      <c r="H19" s="5">
        <f t="shared" si="2"/>
        <v>83.207619573893282</v>
      </c>
      <c r="I19" s="5">
        <f>G19-H19</f>
        <v>8.7923804261067176</v>
      </c>
      <c r="J19" s="5">
        <f t="shared" si="3"/>
        <v>0.17587646589304351</v>
      </c>
      <c r="K19" s="5">
        <f t="shared" si="6"/>
        <v>61.078208232445519</v>
      </c>
      <c r="L19" s="5">
        <f t="shared" si="7"/>
        <v>1.2392735154674501</v>
      </c>
      <c r="M19" s="4">
        <f t="shared" si="8"/>
        <v>0.23715188528573208</v>
      </c>
      <c r="N19" s="6">
        <f t="shared" si="4"/>
        <v>0.15739075395985552</v>
      </c>
      <c r="O19" s="293">
        <f t="shared" si="9"/>
        <v>0.57249918855740511</v>
      </c>
    </row>
    <row r="20" spans="1:15">
      <c r="A20" s="264">
        <v>23</v>
      </c>
      <c r="B20" s="264">
        <v>65</v>
      </c>
      <c r="D20" s="42" t="s">
        <v>15</v>
      </c>
      <c r="E20" s="7">
        <f t="shared" si="10"/>
        <v>15</v>
      </c>
      <c r="F20" s="31">
        <f t="shared" si="0"/>
        <v>23</v>
      </c>
      <c r="G20" s="32">
        <f t="shared" si="1"/>
        <v>65</v>
      </c>
      <c r="H20" s="8">
        <f t="shared" si="2"/>
        <v>71.271811874501125</v>
      </c>
      <c r="I20" s="8">
        <f>G20-H20</f>
        <v>-6.2718118745011253</v>
      </c>
      <c r="J20" s="8">
        <f t="shared" si="3"/>
        <v>7.2634616565358884E-2</v>
      </c>
      <c r="K20" s="8">
        <f t="shared" si="6"/>
        <v>65.360483977754257</v>
      </c>
      <c r="L20" s="8">
        <f t="shared" si="7"/>
        <v>-0.80558236972443698</v>
      </c>
      <c r="M20" s="7">
        <f t="shared" si="8"/>
        <v>0.43497186113925168</v>
      </c>
      <c r="N20" s="9">
        <f t="shared" si="4"/>
        <v>2.6119875935669737E-2</v>
      </c>
      <c r="O20" s="289">
        <f t="shared" si="9"/>
        <v>-0.22545316521451894</v>
      </c>
    </row>
    <row r="21" spans="1:15">
      <c r="D21" s="42" t="s">
        <v>23</v>
      </c>
      <c r="E21">
        <v>1</v>
      </c>
    </row>
    <row r="22" spans="1:15">
      <c r="D22" s="42" t="s">
        <v>8</v>
      </c>
      <c r="F22">
        <f>AVERAGE(F6:F20)</f>
        <v>19.399999999999999</v>
      </c>
    </row>
    <row r="23" spans="1:15">
      <c r="D23" s="42" t="s">
        <v>137</v>
      </c>
      <c r="F23">
        <f>DEVSQ(F6:F20)</f>
        <v>2171.6000000000004</v>
      </c>
      <c r="I23">
        <f>SUMSQ(I6:I20)</f>
        <v>826.74234051697681</v>
      </c>
    </row>
    <row r="24" spans="1:15">
      <c r="D24" s="113" t="s">
        <v>26</v>
      </c>
      <c r="I24">
        <f>E20-E21-1</f>
        <v>13</v>
      </c>
    </row>
    <row r="25" spans="1:15">
      <c r="D25" s="42" t="s">
        <v>156</v>
      </c>
      <c r="I25">
        <f>I23/I24</f>
        <v>63.59556465515206</v>
      </c>
    </row>
    <row r="26" spans="1:15">
      <c r="A26" s="14" t="s">
        <v>478</v>
      </c>
    </row>
    <row r="28" spans="1:15">
      <c r="A28" s="80" t="s">
        <v>446</v>
      </c>
      <c r="B28" s="80" t="s">
        <v>134</v>
      </c>
      <c r="E28" s="272" t="s">
        <v>55</v>
      </c>
      <c r="F28" s="272" t="s">
        <v>291</v>
      </c>
      <c r="G28" s="273" t="s">
        <v>292</v>
      </c>
      <c r="H28" s="269" t="s">
        <v>471</v>
      </c>
      <c r="I28" s="269" t="s">
        <v>211</v>
      </c>
      <c r="J28" s="269" t="s">
        <v>472</v>
      </c>
      <c r="K28" s="269" t="s">
        <v>473</v>
      </c>
      <c r="L28" s="269" t="s">
        <v>474</v>
      </c>
      <c r="M28" s="272" t="s">
        <v>475</v>
      </c>
      <c r="N28" s="273" t="s">
        <v>476</v>
      </c>
      <c r="O28" s="356" t="s">
        <v>594</v>
      </c>
    </row>
    <row r="29" spans="1:15">
      <c r="A29" s="40">
        <v>5</v>
      </c>
      <c r="B29" s="81">
        <v>80</v>
      </c>
      <c r="E29" s="267">
        <v>1</v>
      </c>
      <c r="F29" s="274">
        <f t="shared" ref="F29:F43" si="11">A29</f>
        <v>5</v>
      </c>
      <c r="G29" s="275">
        <f t="shared" ref="G29:G43" si="12">B29</f>
        <v>80</v>
      </c>
      <c r="H29" s="270">
        <f>FORECAST(F29,G$29:G$43,F$29:F$43)</f>
        <v>78.889973598575551</v>
      </c>
      <c r="I29" s="270">
        <f>G29-H29</f>
        <v>1.1100264014244487</v>
      </c>
      <c r="J29" s="270">
        <f>1/E$43+(F29-F$45)^2/F$46</f>
        <v>0.16215386504574197</v>
      </c>
      <c r="K29" s="267">
        <f>(I$25-I29^2/((1-J29)*$I$47))*$I$47/($I$47-1)</f>
        <v>68.772642846397687</v>
      </c>
      <c r="L29" s="270">
        <f>I29/SQRT(K29*(1-J29))</f>
        <v>0.14623230177453703</v>
      </c>
      <c r="M29" s="267">
        <f>TDIST(ABS(L29),$I$47,2)</f>
        <v>0.88598126062274074</v>
      </c>
      <c r="N29" s="268">
        <f t="shared" ref="N29:N43" si="13">(I29^2/I$48)*(J29/(1-J29)^2)/(E$44+1)</f>
        <v>1.5761862458888059E-3</v>
      </c>
      <c r="O29" s="293">
        <f>L29*SQRT(J29/(1-J29))</f>
        <v>6.4331671142686869E-2</v>
      </c>
    </row>
    <row r="30" spans="1:15">
      <c r="A30" s="40">
        <v>23</v>
      </c>
      <c r="B30" s="40">
        <v>78</v>
      </c>
      <c r="E30" s="201">
        <f>E29+1</f>
        <v>2</v>
      </c>
      <c r="F30" s="194">
        <f t="shared" si="11"/>
        <v>23</v>
      </c>
      <c r="G30" s="30">
        <f t="shared" si="12"/>
        <v>78</v>
      </c>
      <c r="H30" s="5">
        <f t="shared" ref="H30:H43" si="14">FORECAST(F30,G$29:G$43,F$29:F$43)</f>
        <v>74.694173267022776</v>
      </c>
      <c r="I30" s="5">
        <f t="shared" ref="I30:I43" si="15">G30-H30</f>
        <v>3.3058267329772235</v>
      </c>
      <c r="J30" s="5">
        <f t="shared" ref="J30:J43" si="16">1/E$43+(F30-F$45)^2/F$46</f>
        <v>7.2634616565358884E-2</v>
      </c>
      <c r="K30" s="4">
        <f t="shared" ref="K30:K43" si="17">(I$25-I30^2/((1-J30)*$I$47))*$I$47/($I$47-1)</f>
        <v>67.91315759738842</v>
      </c>
      <c r="L30" s="5">
        <f t="shared" ref="L30:L43" si="18">I30/SQRT(K30*(1-J30))</f>
        <v>0.41656011578665819</v>
      </c>
      <c r="M30" s="4">
        <f t="shared" ref="M30:M43" si="19">TDIST(ABS(L30),$I$47,2)</f>
        <v>0.68379594847797853</v>
      </c>
      <c r="N30" s="6">
        <f t="shared" si="13"/>
        <v>5.1114511512823438E-3</v>
      </c>
      <c r="O30" s="293">
        <f t="shared" ref="O30:O43" si="20">L30*SQRT(J30/(1-J30))</f>
        <v>0.11658000489553133</v>
      </c>
    </row>
    <row r="31" spans="1:15">
      <c r="A31" s="40">
        <v>25</v>
      </c>
      <c r="B31" s="40">
        <v>60</v>
      </c>
      <c r="E31" s="201">
        <f t="shared" ref="E31:E43" si="21">E30+1</f>
        <v>3</v>
      </c>
      <c r="F31" s="194">
        <f t="shared" si="11"/>
        <v>25</v>
      </c>
      <c r="G31" s="30">
        <f t="shared" si="12"/>
        <v>60</v>
      </c>
      <c r="H31" s="5">
        <f t="shared" si="14"/>
        <v>74.227973230183579</v>
      </c>
      <c r="I31" s="5">
        <f t="shared" si="15"/>
        <v>-14.227973230183579</v>
      </c>
      <c r="J31" s="5">
        <f t="shared" si="16"/>
        <v>8.11076318536256E-2</v>
      </c>
      <c r="K31" s="4">
        <f t="shared" si="17"/>
        <v>50.536568463926024</v>
      </c>
      <c r="L31" s="5">
        <f t="shared" si="18"/>
        <v>-2.0878910978328102</v>
      </c>
      <c r="M31" s="4">
        <f t="shared" si="19"/>
        <v>5.7051848302790274E-2</v>
      </c>
      <c r="N31" s="6">
        <f t="shared" si="13"/>
        <v>0.10768635175167078</v>
      </c>
      <c r="O31" s="293">
        <f t="shared" si="20"/>
        <v>-0.62030656987645671</v>
      </c>
    </row>
    <row r="32" spans="1:15">
      <c r="A32" s="40">
        <v>48</v>
      </c>
      <c r="B32" s="276">
        <v>83</v>
      </c>
      <c r="E32" s="201">
        <f t="shared" si="21"/>
        <v>4</v>
      </c>
      <c r="F32" s="194">
        <f t="shared" si="11"/>
        <v>48</v>
      </c>
      <c r="G32" s="30">
        <f t="shared" si="12"/>
        <v>83</v>
      </c>
      <c r="H32" s="5">
        <f t="shared" si="14"/>
        <v>68.866672806532819</v>
      </c>
      <c r="I32" s="5">
        <f t="shared" si="15"/>
        <v>14.133327193467181</v>
      </c>
      <c r="J32" s="5">
        <f t="shared" si="16"/>
        <v>0.44332903542702762</v>
      </c>
      <c r="K32" s="4">
        <f t="shared" si="17"/>
        <v>38.992590951088779</v>
      </c>
      <c r="L32" s="5">
        <f t="shared" si="18"/>
        <v>3.0335704242792341</v>
      </c>
      <c r="M32" s="278">
        <f t="shared" si="19"/>
        <v>9.5986524115798492E-3</v>
      </c>
      <c r="N32" s="277">
        <f t="shared" si="13"/>
        <v>1.5825593870633301</v>
      </c>
      <c r="O32" s="277">
        <f t="shared" si="20"/>
        <v>2.7071846866501437</v>
      </c>
    </row>
    <row r="33" spans="1:15">
      <c r="A33" s="82">
        <v>17</v>
      </c>
      <c r="B33" s="40">
        <v>85</v>
      </c>
      <c r="E33" s="201">
        <f t="shared" si="21"/>
        <v>5</v>
      </c>
      <c r="F33" s="194">
        <f t="shared" si="11"/>
        <v>17</v>
      </c>
      <c r="G33" s="30">
        <f t="shared" si="12"/>
        <v>85</v>
      </c>
      <c r="H33" s="5">
        <f t="shared" si="14"/>
        <v>76.092773377540368</v>
      </c>
      <c r="I33" s="5">
        <f t="shared" si="15"/>
        <v>8.9072266224596319</v>
      </c>
      <c r="J33" s="5">
        <f t="shared" si="16"/>
        <v>6.9319088843863202E-2</v>
      </c>
      <c r="K33" s="4">
        <f t="shared" si="17"/>
        <v>61.791195061919289</v>
      </c>
      <c r="L33" s="5">
        <f t="shared" si="18"/>
        <v>1.1745697221543929</v>
      </c>
      <c r="M33" s="4">
        <f t="shared" si="19"/>
        <v>0.26123423157628856</v>
      </c>
      <c r="N33" s="6">
        <f t="shared" si="13"/>
        <v>3.5162390266088722E-2</v>
      </c>
      <c r="O33" s="293">
        <f t="shared" si="20"/>
        <v>0.32055667233606566</v>
      </c>
    </row>
    <row r="34" spans="1:15">
      <c r="A34" s="82">
        <v>8</v>
      </c>
      <c r="B34" s="40">
        <v>84</v>
      </c>
      <c r="E34" s="201">
        <f t="shared" si="21"/>
        <v>6</v>
      </c>
      <c r="F34" s="194">
        <f t="shared" si="11"/>
        <v>8</v>
      </c>
      <c r="G34" s="30">
        <f t="shared" si="12"/>
        <v>84</v>
      </c>
      <c r="H34" s="5">
        <f t="shared" si="14"/>
        <v>78.190673543316748</v>
      </c>
      <c r="I34" s="5">
        <f t="shared" si="15"/>
        <v>5.8093264566832516</v>
      </c>
      <c r="J34" s="5">
        <f t="shared" si="16"/>
        <v>0.12651194203966351</v>
      </c>
      <c r="K34" s="4">
        <f t="shared" si="17"/>
        <v>65.675510319216485</v>
      </c>
      <c r="L34" s="5">
        <f t="shared" si="18"/>
        <v>0.76700036126600379</v>
      </c>
      <c r="M34" s="4">
        <f t="shared" si="19"/>
        <v>0.4567854492341652</v>
      </c>
      <c r="N34" s="6">
        <f t="shared" si="13"/>
        <v>3.0989266492074521E-2</v>
      </c>
      <c r="O34" s="293">
        <f t="shared" si="20"/>
        <v>0.29189915907038055</v>
      </c>
    </row>
    <row r="35" spans="1:15">
      <c r="A35" s="40">
        <v>4</v>
      </c>
      <c r="B35" s="40">
        <v>73</v>
      </c>
      <c r="E35" s="201">
        <f t="shared" si="21"/>
        <v>7</v>
      </c>
      <c r="F35" s="194">
        <f t="shared" si="11"/>
        <v>4</v>
      </c>
      <c r="G35" s="30">
        <f t="shared" si="12"/>
        <v>73</v>
      </c>
      <c r="H35" s="5">
        <f t="shared" si="14"/>
        <v>79.123073616995143</v>
      </c>
      <c r="I35" s="5">
        <f t="shared" si="15"/>
        <v>-6.1230736169951427</v>
      </c>
      <c r="J35" s="5">
        <f t="shared" si="16"/>
        <v>0.17587646589304351</v>
      </c>
      <c r="K35" s="4">
        <f t="shared" si="17"/>
        <v>65.104093651976498</v>
      </c>
      <c r="L35" s="5">
        <f t="shared" si="18"/>
        <v>-0.8359285807354262</v>
      </c>
      <c r="M35" s="4">
        <f t="shared" si="19"/>
        <v>0.41829509422943034</v>
      </c>
      <c r="N35" s="6">
        <f t="shared" si="13"/>
        <v>5.3765564822009719E-2</v>
      </c>
      <c r="O35" s="293">
        <f t="shared" si="20"/>
        <v>-0.38616853195838718</v>
      </c>
    </row>
    <row r="36" spans="1:15">
      <c r="A36" s="40">
        <v>26</v>
      </c>
      <c r="B36" s="40">
        <v>79</v>
      </c>
      <c r="E36" s="201">
        <f t="shared" si="21"/>
        <v>8</v>
      </c>
      <c r="F36" s="194">
        <f t="shared" si="11"/>
        <v>26</v>
      </c>
      <c r="G36" s="30">
        <f t="shared" si="12"/>
        <v>79</v>
      </c>
      <c r="H36" s="5">
        <f t="shared" si="14"/>
        <v>73.994873211763974</v>
      </c>
      <c r="I36" s="5">
        <f t="shared" si="15"/>
        <v>5.0051267882360264</v>
      </c>
      <c r="J36" s="5">
        <f t="shared" si="16"/>
        <v>8.6725609381715474E-2</v>
      </c>
      <c r="K36" s="4">
        <f t="shared" si="17"/>
        <v>66.60934550143395</v>
      </c>
      <c r="L36" s="5">
        <f t="shared" si="18"/>
        <v>0.64172189954042136</v>
      </c>
      <c r="M36" s="4">
        <f t="shared" si="19"/>
        <v>0.53220628982870055</v>
      </c>
      <c r="N36" s="6">
        <f t="shared" si="13"/>
        <v>1.4425043135969257E-2</v>
      </c>
      <c r="O36" s="293">
        <f t="shared" si="20"/>
        <v>0.19775155199079963</v>
      </c>
    </row>
    <row r="37" spans="1:15">
      <c r="A37" s="40">
        <v>11</v>
      </c>
      <c r="B37" s="40">
        <v>81</v>
      </c>
      <c r="E37" s="201">
        <f t="shared" si="21"/>
        <v>9</v>
      </c>
      <c r="F37" s="194">
        <f t="shared" si="11"/>
        <v>11</v>
      </c>
      <c r="G37" s="30">
        <f t="shared" si="12"/>
        <v>81</v>
      </c>
      <c r="H37" s="5">
        <f t="shared" si="14"/>
        <v>77.49137348805796</v>
      </c>
      <c r="I37" s="5">
        <f t="shared" si="15"/>
        <v>3.5086265119420403</v>
      </c>
      <c r="J37" s="5">
        <f t="shared" si="16"/>
        <v>9.9158838337324223E-2</v>
      </c>
      <c r="K37" s="4">
        <f t="shared" si="17"/>
        <v>67.756401979053962</v>
      </c>
      <c r="L37" s="5">
        <f t="shared" si="18"/>
        <v>0.44909462967616182</v>
      </c>
      <c r="M37" s="4">
        <f t="shared" si="19"/>
        <v>0.66075882857287715</v>
      </c>
      <c r="N37" s="6">
        <f t="shared" si="13"/>
        <v>8.3301231267839705E-3</v>
      </c>
      <c r="O37" s="293">
        <f t="shared" si="20"/>
        <v>0.14899766618480159</v>
      </c>
    </row>
    <row r="38" spans="1:15">
      <c r="A38" s="40">
        <v>19</v>
      </c>
      <c r="B38" s="40">
        <v>75</v>
      </c>
      <c r="E38" s="201">
        <f t="shared" si="21"/>
        <v>10</v>
      </c>
      <c r="F38" s="194">
        <f t="shared" si="11"/>
        <v>19</v>
      </c>
      <c r="G38" s="30">
        <f t="shared" si="12"/>
        <v>75</v>
      </c>
      <c r="H38" s="5">
        <f t="shared" si="14"/>
        <v>75.626573340701171</v>
      </c>
      <c r="I38" s="5">
        <f t="shared" si="15"/>
        <v>-0.62657334070117088</v>
      </c>
      <c r="J38" s="5">
        <f t="shared" si="16"/>
        <v>6.6740345060477685E-2</v>
      </c>
      <c r="K38" s="4">
        <f t="shared" si="17"/>
        <v>68.860139226514207</v>
      </c>
      <c r="L38" s="5">
        <f t="shared" si="18"/>
        <v>-7.8160390167444527E-2</v>
      </c>
      <c r="M38" s="4">
        <f t="shared" si="19"/>
        <v>0.93889071306326943</v>
      </c>
      <c r="N38" s="6">
        <f t="shared" si="13"/>
        <v>1.6659786937590882E-4</v>
      </c>
      <c r="O38" s="293">
        <f t="shared" si="20"/>
        <v>-2.0901607915602579E-2</v>
      </c>
    </row>
    <row r="39" spans="1:15">
      <c r="A39" s="40">
        <v>14</v>
      </c>
      <c r="B39" s="40">
        <v>68</v>
      </c>
      <c r="E39" s="201">
        <f t="shared" si="21"/>
        <v>11</v>
      </c>
      <c r="F39" s="194">
        <f t="shared" si="11"/>
        <v>14</v>
      </c>
      <c r="G39" s="30">
        <f t="shared" si="12"/>
        <v>68</v>
      </c>
      <c r="H39" s="5">
        <f t="shared" si="14"/>
        <v>76.792073432799157</v>
      </c>
      <c r="I39" s="5">
        <f t="shared" si="15"/>
        <v>-8.7920734327991568</v>
      </c>
      <c r="J39" s="5">
        <f t="shared" si="16"/>
        <v>8.0094553938724125E-2</v>
      </c>
      <c r="K39" s="4">
        <f t="shared" si="17"/>
        <v>61.892613457232223</v>
      </c>
      <c r="L39" s="5">
        <f t="shared" si="18"/>
        <v>-1.1651995306055807</v>
      </c>
      <c r="M39" s="4">
        <f t="shared" si="19"/>
        <v>0.26487373079415383</v>
      </c>
      <c r="N39" s="6">
        <f t="shared" si="13"/>
        <v>4.0517381768841398E-2</v>
      </c>
      <c r="O39" s="293">
        <f t="shared" si="20"/>
        <v>-0.34381925863877488</v>
      </c>
    </row>
    <row r="40" spans="1:15">
      <c r="A40" s="40">
        <v>35</v>
      </c>
      <c r="B40" s="40">
        <v>72</v>
      </c>
      <c r="E40" s="201">
        <f t="shared" si="21"/>
        <v>12</v>
      </c>
      <c r="F40" s="194">
        <f t="shared" si="11"/>
        <v>35</v>
      </c>
      <c r="G40" s="30">
        <f t="shared" si="12"/>
        <v>72</v>
      </c>
      <c r="H40" s="5">
        <f t="shared" si="14"/>
        <v>71.896973045987593</v>
      </c>
      <c r="I40" s="5">
        <f t="shared" si="15"/>
        <v>0.10302695401240669</v>
      </c>
      <c r="J40" s="5">
        <f t="shared" si="16"/>
        <v>0.17873150365322035</v>
      </c>
      <c r="K40" s="4">
        <f t="shared" si="17"/>
        <v>68.894117994456792</v>
      </c>
      <c r="L40" s="5">
        <f t="shared" si="18"/>
        <v>1.3696739817148742E-2</v>
      </c>
      <c r="M40" s="4">
        <f t="shared" si="19"/>
        <v>0.98927989581116516</v>
      </c>
      <c r="N40" s="6">
        <f t="shared" si="13"/>
        <v>1.5576671276696031E-5</v>
      </c>
      <c r="O40" s="293">
        <f t="shared" si="20"/>
        <v>6.3896221754850416E-3</v>
      </c>
    </row>
    <row r="41" spans="1:15">
      <c r="A41" s="40">
        <v>29</v>
      </c>
      <c r="B41" s="40">
        <v>58</v>
      </c>
      <c r="C41" s="262"/>
      <c r="E41" s="201">
        <f t="shared" si="21"/>
        <v>13</v>
      </c>
      <c r="F41" s="194">
        <f t="shared" si="11"/>
        <v>29</v>
      </c>
      <c r="G41" s="30">
        <f t="shared" si="12"/>
        <v>58</v>
      </c>
      <c r="H41" s="5">
        <f t="shared" si="14"/>
        <v>73.295573156505185</v>
      </c>
      <c r="I41" s="5">
        <f t="shared" si="15"/>
        <v>-15.295573156505185</v>
      </c>
      <c r="J41" s="5">
        <f t="shared" si="16"/>
        <v>0.10910542150181127</v>
      </c>
      <c r="K41" s="4">
        <f t="shared" si="17"/>
        <v>47.011333974993796</v>
      </c>
      <c r="L41" s="5">
        <f t="shared" si="18"/>
        <v>-2.3634766178487125</v>
      </c>
      <c r="M41" s="4">
        <f t="shared" si="19"/>
        <v>3.4351715873535388E-2</v>
      </c>
      <c r="N41" s="6">
        <f t="shared" si="13"/>
        <v>0.17810141230850238</v>
      </c>
      <c r="O41" s="293">
        <f t="shared" si="20"/>
        <v>-0.82710627904060263</v>
      </c>
    </row>
    <row r="42" spans="1:15">
      <c r="A42" s="40">
        <v>4</v>
      </c>
      <c r="B42" s="40">
        <v>92</v>
      </c>
      <c r="C42" s="262"/>
      <c r="E42" s="201">
        <f t="shared" si="21"/>
        <v>14</v>
      </c>
      <c r="F42" s="194">
        <f t="shared" si="11"/>
        <v>4</v>
      </c>
      <c r="G42" s="30">
        <f t="shared" si="12"/>
        <v>92</v>
      </c>
      <c r="H42" s="5">
        <f t="shared" si="14"/>
        <v>79.123073616995143</v>
      </c>
      <c r="I42" s="5">
        <f t="shared" si="15"/>
        <v>12.876926383004857</v>
      </c>
      <c r="J42" s="5">
        <f t="shared" si="16"/>
        <v>0.17587646589304351</v>
      </c>
      <c r="K42" s="4">
        <f t="shared" si="17"/>
        <v>52.128368811844858</v>
      </c>
      <c r="L42" s="5">
        <f t="shared" si="18"/>
        <v>1.9646219279288331</v>
      </c>
      <c r="M42" s="4">
        <f t="shared" si="19"/>
        <v>7.1200149564722329E-2</v>
      </c>
      <c r="N42" s="6">
        <f t="shared" si="13"/>
        <v>0.23778785888187254</v>
      </c>
      <c r="O42" s="293">
        <f t="shared" si="20"/>
        <v>0.90758371378338676</v>
      </c>
    </row>
    <row r="43" spans="1:15">
      <c r="A43" s="264">
        <v>23</v>
      </c>
      <c r="B43" s="264">
        <v>65</v>
      </c>
      <c r="D43" s="42" t="s">
        <v>15</v>
      </c>
      <c r="E43" s="7">
        <f t="shared" si="21"/>
        <v>15</v>
      </c>
      <c r="F43" s="31">
        <f t="shared" si="11"/>
        <v>23</v>
      </c>
      <c r="G43" s="32">
        <f t="shared" si="12"/>
        <v>65</v>
      </c>
      <c r="H43" s="8">
        <f t="shared" si="14"/>
        <v>74.694173267022776</v>
      </c>
      <c r="I43" s="8">
        <f t="shared" si="15"/>
        <v>-9.6941732670227765</v>
      </c>
      <c r="J43" s="8">
        <f t="shared" si="16"/>
        <v>7.2634616565358884E-2</v>
      </c>
      <c r="K43" s="7">
        <f t="shared" si="17"/>
        <v>60.450393870340413</v>
      </c>
      <c r="L43" s="8">
        <f t="shared" si="18"/>
        <v>-1.294749553741537</v>
      </c>
      <c r="M43" s="7">
        <f t="shared" si="19"/>
        <v>0.21793120985225448</v>
      </c>
      <c r="N43" s="9">
        <f t="shared" si="13"/>
        <v>4.3954727863048056E-2</v>
      </c>
      <c r="O43" s="289">
        <f t="shared" si="20"/>
        <v>-0.36235324408969694</v>
      </c>
    </row>
    <row r="44" spans="1:15">
      <c r="D44" s="42" t="s">
        <v>23</v>
      </c>
      <c r="E44">
        <v>1</v>
      </c>
    </row>
    <row r="45" spans="1:15">
      <c r="D45" s="42" t="s">
        <v>8</v>
      </c>
      <c r="F45">
        <f>AVERAGE(F29:F43)</f>
        <v>19.399999999999999</v>
      </c>
    </row>
    <row r="46" spans="1:15">
      <c r="D46" s="42" t="s">
        <v>137</v>
      </c>
      <c r="F46">
        <f>DEVSQ(F29:F43)</f>
        <v>2171.6000000000004</v>
      </c>
      <c r="I46">
        <f>SUMSQ(I29:I43)</f>
        <v>1173.7381040093326</v>
      </c>
    </row>
    <row r="47" spans="1:15">
      <c r="D47" s="42" t="s">
        <v>26</v>
      </c>
      <c r="I47">
        <f>E43-E44-1</f>
        <v>13</v>
      </c>
    </row>
    <row r="48" spans="1:15">
      <c r="D48" s="42" t="s">
        <v>156</v>
      </c>
      <c r="I48">
        <f>I46/(E43-E44-1)</f>
        <v>90.287546462256358</v>
      </c>
    </row>
    <row r="64" spans="19:23">
      <c r="S64" s="735" t="s">
        <v>477</v>
      </c>
      <c r="T64" s="735"/>
      <c r="V64" s="735" t="s">
        <v>478</v>
      </c>
      <c r="W64" s="735"/>
    </row>
    <row r="66" spans="19:23">
      <c r="S66" s="264" t="s">
        <v>291</v>
      </c>
      <c r="T66" s="8" t="s">
        <v>474</v>
      </c>
      <c r="V66" s="264" t="s">
        <v>291</v>
      </c>
      <c r="W66" s="8" t="s">
        <v>474</v>
      </c>
    </row>
    <row r="67" spans="19:23">
      <c r="S67" s="194">
        <f t="shared" ref="S67:S81" si="22">F6</f>
        <v>5</v>
      </c>
      <c r="T67" s="6">
        <f t="shared" ref="T67:T81" si="23">L6</f>
        <v>-0.34114668806182424</v>
      </c>
      <c r="V67" s="194">
        <f>F29</f>
        <v>5</v>
      </c>
      <c r="W67" s="6">
        <f>L29</f>
        <v>0.14623230177453703</v>
      </c>
    </row>
    <row r="68" spans="19:23">
      <c r="S68" s="194">
        <f t="shared" si="22"/>
        <v>23</v>
      </c>
      <c r="T68" s="6">
        <f t="shared" si="23"/>
        <v>0.8677478429535036</v>
      </c>
      <c r="V68" s="194">
        <f t="shared" ref="V68:V81" si="24">F30</f>
        <v>23</v>
      </c>
      <c r="W68" s="6">
        <f t="shared" ref="W68:W81" si="25">L30</f>
        <v>0.41656011578665819</v>
      </c>
    </row>
    <row r="69" spans="19:23">
      <c r="S69" s="194">
        <f t="shared" si="22"/>
        <v>25</v>
      </c>
      <c r="T69" s="6">
        <f t="shared" si="23"/>
        <v>-1.3511137768141768</v>
      </c>
      <c r="V69" s="194">
        <f t="shared" si="24"/>
        <v>25</v>
      </c>
      <c r="W69" s="6">
        <f t="shared" si="25"/>
        <v>-2.0878910978328102</v>
      </c>
    </row>
    <row r="70" spans="19:23">
      <c r="S70" s="194">
        <f t="shared" si="22"/>
        <v>48</v>
      </c>
      <c r="T70" s="6">
        <f t="shared" si="23"/>
        <v>-0.41747423579741882</v>
      </c>
      <c r="V70" s="194">
        <f t="shared" si="24"/>
        <v>48</v>
      </c>
      <c r="W70" s="6">
        <f t="shared" si="25"/>
        <v>3.0335704242792341</v>
      </c>
    </row>
    <row r="71" spans="19:23">
      <c r="S71" s="194">
        <f t="shared" si="22"/>
        <v>17</v>
      </c>
      <c r="T71" s="6">
        <f t="shared" si="23"/>
        <v>1.3325597725103162</v>
      </c>
      <c r="V71" s="194">
        <f t="shared" si="24"/>
        <v>17</v>
      </c>
      <c r="W71" s="6">
        <f t="shared" si="25"/>
        <v>1.1745697221543929</v>
      </c>
    </row>
    <row r="72" spans="19:23">
      <c r="S72" s="194">
        <f t="shared" si="22"/>
        <v>8</v>
      </c>
      <c r="T72" s="6">
        <f t="shared" si="23"/>
        <v>0.42932126412379101</v>
      </c>
      <c r="V72" s="194">
        <f t="shared" si="24"/>
        <v>8</v>
      </c>
      <c r="W72" s="6">
        <f t="shared" si="25"/>
        <v>0.76700036126600379</v>
      </c>
    </row>
    <row r="73" spans="19:23">
      <c r="S73" s="194">
        <f t="shared" si="22"/>
        <v>4</v>
      </c>
      <c r="T73" s="6">
        <f t="shared" si="23"/>
        <v>-1.4718841811600343</v>
      </c>
      <c r="V73" s="194">
        <f t="shared" si="24"/>
        <v>4</v>
      </c>
      <c r="W73" s="6">
        <f t="shared" si="25"/>
        <v>-0.8359285807354262</v>
      </c>
    </row>
    <row r="74" spans="19:23">
      <c r="S74" s="194">
        <f t="shared" si="22"/>
        <v>26</v>
      </c>
      <c r="T74" s="6">
        <f t="shared" si="23"/>
        <v>1.2936066624599454</v>
      </c>
      <c r="V74" s="194">
        <f t="shared" si="24"/>
        <v>26</v>
      </c>
      <c r="W74" s="6">
        <f t="shared" si="25"/>
        <v>0.64172189954042136</v>
      </c>
    </row>
    <row r="75" spans="19:23">
      <c r="S75" s="194">
        <f t="shared" si="22"/>
        <v>11</v>
      </c>
      <c r="T75" s="6">
        <f t="shared" si="23"/>
        <v>0.27885932646467648</v>
      </c>
      <c r="V75" s="194">
        <f t="shared" si="24"/>
        <v>11</v>
      </c>
      <c r="W75" s="6">
        <f t="shared" si="25"/>
        <v>0.44909462967616182</v>
      </c>
    </row>
    <row r="76" spans="19:23">
      <c r="S76" s="194">
        <f t="shared" si="22"/>
        <v>19</v>
      </c>
      <c r="T76" s="6">
        <f t="shared" si="23"/>
        <v>0.1517172019269904</v>
      </c>
      <c r="V76" s="194">
        <f t="shared" si="24"/>
        <v>19</v>
      </c>
      <c r="W76" s="6">
        <f t="shared" si="25"/>
        <v>-7.8160390167444527E-2</v>
      </c>
    </row>
    <row r="77" spans="19:23">
      <c r="S77" s="194">
        <f t="shared" si="22"/>
        <v>14</v>
      </c>
      <c r="T77" s="6">
        <f t="shared" si="23"/>
        <v>-1.1849512188942048</v>
      </c>
      <c r="V77" s="194">
        <f t="shared" si="24"/>
        <v>14</v>
      </c>
      <c r="W77" s="6">
        <f t="shared" si="25"/>
        <v>-1.1651995306055807</v>
      </c>
    </row>
    <row r="78" spans="19:23">
      <c r="S78" s="194">
        <f t="shared" si="22"/>
        <v>35</v>
      </c>
      <c r="T78" s="6">
        <f t="shared" si="23"/>
        <v>1.1588420374683235</v>
      </c>
      <c r="V78" s="194">
        <f t="shared" si="24"/>
        <v>35</v>
      </c>
      <c r="W78" s="6">
        <f t="shared" si="25"/>
        <v>1.3696739817148742E-2</v>
      </c>
    </row>
    <row r="79" spans="19:23">
      <c r="S79" s="194">
        <f t="shared" si="22"/>
        <v>29</v>
      </c>
      <c r="T79" s="6">
        <f t="shared" si="23"/>
        <v>-1.2949003726146766</v>
      </c>
      <c r="V79" s="194">
        <f t="shared" si="24"/>
        <v>29</v>
      </c>
      <c r="W79" s="6">
        <f t="shared" si="25"/>
        <v>-2.3634766178487125</v>
      </c>
    </row>
    <row r="80" spans="19:23">
      <c r="S80" s="194">
        <f t="shared" si="22"/>
        <v>4</v>
      </c>
      <c r="T80" s="6">
        <f t="shared" si="23"/>
        <v>1.2392735154674501</v>
      </c>
      <c r="V80" s="194">
        <f t="shared" si="24"/>
        <v>4</v>
      </c>
      <c r="W80" s="6">
        <f t="shared" si="25"/>
        <v>1.9646219279288331</v>
      </c>
    </row>
    <row r="81" spans="19:23">
      <c r="S81" s="31">
        <f t="shared" si="22"/>
        <v>23</v>
      </c>
      <c r="T81" s="9">
        <f t="shared" si="23"/>
        <v>-0.80558236972443698</v>
      </c>
      <c r="V81" s="31">
        <f t="shared" si="24"/>
        <v>23</v>
      </c>
      <c r="W81" s="9">
        <f t="shared" si="25"/>
        <v>-1.294749553741537</v>
      </c>
    </row>
  </sheetData>
  <mergeCells count="2">
    <mergeCell ref="S64:T64"/>
    <mergeCell ref="V64:W64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149"/>
  <dimension ref="A1:AT32"/>
  <sheetViews>
    <sheetView workbookViewId="0"/>
  </sheetViews>
  <sheetFormatPr defaultRowHeight="15"/>
  <cols>
    <col min="1" max="3" width="8.28515625" customWidth="1"/>
    <col min="4" max="4" width="5.5703125" customWidth="1"/>
    <col min="5" max="10" width="5.85546875" customWidth="1"/>
    <col min="11" max="11" width="6.5703125" customWidth="1"/>
    <col min="12" max="12" width="5.42578125" customWidth="1"/>
    <col min="14" max="14" width="5.7109375" customWidth="1"/>
    <col min="16" max="16" width="5.85546875" customWidth="1"/>
    <col min="31" max="34" width="7.28515625" customWidth="1"/>
    <col min="44" max="44" width="5" customWidth="1"/>
    <col min="45" max="45" width="6.28515625" customWidth="1"/>
  </cols>
  <sheetData>
    <row r="1" spans="1:46">
      <c r="A1" s="1" t="s">
        <v>470</v>
      </c>
      <c r="AE1" t="s">
        <v>596</v>
      </c>
    </row>
    <row r="3" spans="1:46" ht="17.25">
      <c r="A3" s="112" t="s">
        <v>296</v>
      </c>
      <c r="B3" s="112" t="s">
        <v>297</v>
      </c>
      <c r="C3" s="112" t="s">
        <v>290</v>
      </c>
      <c r="E3" s="735" t="s">
        <v>291</v>
      </c>
      <c r="F3" s="735"/>
      <c r="G3" s="735"/>
      <c r="I3" s="262" t="s">
        <v>292</v>
      </c>
      <c r="K3" s="262" t="s">
        <v>60</v>
      </c>
      <c r="M3" s="68" t="s">
        <v>305</v>
      </c>
      <c r="N3" s="262"/>
      <c r="O3" s="68" t="s">
        <v>62</v>
      </c>
      <c r="Q3" t="s">
        <v>445</v>
      </c>
      <c r="AC3" s="262" t="s">
        <v>458</v>
      </c>
      <c r="AE3" t="s">
        <v>476</v>
      </c>
    </row>
    <row r="4" spans="1:46" ht="15.75" thickBot="1">
      <c r="A4" s="262">
        <v>7</v>
      </c>
      <c r="B4" s="262">
        <v>5</v>
      </c>
      <c r="C4" s="262">
        <v>65</v>
      </c>
      <c r="E4" s="121">
        <v>1</v>
      </c>
      <c r="F4" s="110">
        <f t="shared" ref="F4:G14" si="0">A4</f>
        <v>7</v>
      </c>
      <c r="G4" s="85">
        <f t="shared" si="0"/>
        <v>5</v>
      </c>
      <c r="I4" s="107">
        <f t="shared" ref="I4:I14" si="1">C4</f>
        <v>65</v>
      </c>
      <c r="K4" s="95">
        <f t="array" ref="K4:K6">MMULT(E17:G19,MMULT(TRANSPOSE(E4:G14),I4:I14))</f>
        <v>1.7514036585681367</v>
      </c>
      <c r="M4" s="153">
        <f t="array" ref="M4:M14">MMULT(E4:G14,K4:K6)</f>
        <v>54.810499624828537</v>
      </c>
      <c r="O4" s="145">
        <f>I4-M4</f>
        <v>10.189500375171463</v>
      </c>
      <c r="Q4" s="235">
        <f t="array" ref="Q4:AA14">MMULT(MMULT(E4:G14,E17:G19),TRANSPOSE(E4:G14))</f>
        <v>0.12773939817330332</v>
      </c>
      <c r="R4" s="236">
        <v>6.8695179694170633E-2</v>
      </c>
      <c r="S4" s="236">
        <v>0.13418199694688096</v>
      </c>
      <c r="T4" s="236">
        <v>7.9562213770084489E-2</v>
      </c>
      <c r="U4" s="236">
        <v>0.13927915340629765</v>
      </c>
      <c r="V4" s="236">
        <v>6.2252580920592965E-2</v>
      </c>
      <c r="W4" s="236">
        <v>-3.3429066728764195E-2</v>
      </c>
      <c r="X4" s="236">
        <v>2.6960594064529456E-2</v>
      </c>
      <c r="Y4" s="236">
        <v>0.18745633780951648</v>
      </c>
      <c r="Z4" s="236">
        <v>8.6004812543662157E-2</v>
      </c>
      <c r="AA4" s="237">
        <v>0.12129679939972565</v>
      </c>
      <c r="AB4">
        <v>1</v>
      </c>
      <c r="AC4" s="251">
        <f t="array" ref="AC4:AC14">O4:O14/SQRT(O19*(1-INDEX(Q4:AA14,AB4:AB14,AB4:AB14)))</f>
        <v>1.8529159932154711</v>
      </c>
    </row>
    <row r="5" spans="1:46" ht="15.75" thickTop="1">
      <c r="A5" s="262">
        <v>3</v>
      </c>
      <c r="B5" s="262">
        <v>7</v>
      </c>
      <c r="C5" s="262">
        <v>38</v>
      </c>
      <c r="E5" s="29">
        <v>1</v>
      </c>
      <c r="F5" s="40">
        <f t="shared" si="0"/>
        <v>3</v>
      </c>
      <c r="G5" s="30">
        <f t="shared" si="0"/>
        <v>7</v>
      </c>
      <c r="I5" s="105">
        <f t="shared" si="1"/>
        <v>38</v>
      </c>
      <c r="K5" s="20">
        <v>4.8952883645113623</v>
      </c>
      <c r="M5" s="154">
        <v>42.746177132655433</v>
      </c>
      <c r="O5" s="20">
        <f t="shared" ref="O5:O14" si="2">I5-M5</f>
        <v>-4.7461771326554327</v>
      </c>
      <c r="Q5" s="201">
        <v>6.8695179694170494E-2</v>
      </c>
      <c r="R5" s="5">
        <v>0.29053791818675778</v>
      </c>
      <c r="S5" s="5">
        <v>0.23379647597609252</v>
      </c>
      <c r="T5" s="5">
        <v>-8.1580377241325941E-2</v>
      </c>
      <c r="U5" s="5">
        <v>-6.9316153069937325E-2</v>
      </c>
      <c r="V5" s="5">
        <v>0.12543662190483582</v>
      </c>
      <c r="W5" s="5">
        <v>5.899247069781885E-2</v>
      </c>
      <c r="X5" s="5">
        <v>0.3053636575331834</v>
      </c>
      <c r="Y5" s="5">
        <v>8.095940386555911E-2</v>
      </c>
      <c r="Z5" s="5">
        <v>8.3520919040596053E-2</v>
      </c>
      <c r="AA5" s="6">
        <v>-9.64061165877515E-2</v>
      </c>
      <c r="AB5">
        <f>AB4+1</f>
        <v>2</v>
      </c>
      <c r="AC5" s="200">
        <v>-0.95698541007981308</v>
      </c>
      <c r="AE5" s="339" t="s">
        <v>55</v>
      </c>
      <c r="AF5" s="339" t="str">
        <f t="shared" ref="AF5:AF16" si="3">A3</f>
        <v>Color</v>
      </c>
      <c r="AG5" s="339" t="str">
        <f t="shared" ref="AG5:AG16" si="4">B3</f>
        <v>Quality</v>
      </c>
      <c r="AH5" s="339" t="str">
        <f t="shared" ref="AH5:AH16" si="5">C3</f>
        <v>Price</v>
      </c>
      <c r="AI5" s="339" t="s">
        <v>471</v>
      </c>
      <c r="AJ5" s="339" t="s">
        <v>211</v>
      </c>
      <c r="AK5" s="339" t="s">
        <v>472</v>
      </c>
      <c r="AL5" s="339" t="s">
        <v>623</v>
      </c>
      <c r="AM5" s="339" t="s">
        <v>473</v>
      </c>
      <c r="AN5" s="339" t="s">
        <v>474</v>
      </c>
      <c r="AO5" s="339" t="s">
        <v>595</v>
      </c>
      <c r="AP5" s="339" t="s">
        <v>476</v>
      </c>
      <c r="AQ5" s="339" t="s">
        <v>594</v>
      </c>
    </row>
    <row r="6" spans="1:46">
      <c r="A6" s="262">
        <v>5</v>
      </c>
      <c r="B6" s="262">
        <v>8</v>
      </c>
      <c r="C6" s="262">
        <v>51</v>
      </c>
      <c r="E6" s="29">
        <v>1</v>
      </c>
      <c r="F6" s="40">
        <f t="shared" si="0"/>
        <v>5</v>
      </c>
      <c r="G6" s="30">
        <f t="shared" si="0"/>
        <v>8</v>
      </c>
      <c r="I6" s="105">
        <f t="shared" si="1"/>
        <v>51</v>
      </c>
      <c r="K6" s="74">
        <v>3.7584154829361722</v>
      </c>
      <c r="M6" s="154">
        <v>56.295169344614322</v>
      </c>
      <c r="O6" s="20">
        <f t="shared" si="2"/>
        <v>-5.2951693446143224</v>
      </c>
      <c r="Q6" s="4">
        <v>0.13418199694688102</v>
      </c>
      <c r="R6" s="5">
        <v>0.23379647597609252</v>
      </c>
      <c r="S6" s="5">
        <v>0.29509172294237895</v>
      </c>
      <c r="T6" s="5">
        <v>-8.5150974151983277E-2</v>
      </c>
      <c r="U6" s="5">
        <v>2.8823514191829103E-2</v>
      </c>
      <c r="V6" s="5">
        <v>7.2886749980594551E-2</v>
      </c>
      <c r="W6" s="5">
        <v>-0.15219022484411004</v>
      </c>
      <c r="X6" s="5">
        <v>0.17537323087272627</v>
      </c>
      <c r="Y6" s="5">
        <v>0.24815648529069334</v>
      </c>
      <c r="Z6" s="5">
        <v>7.5758751843514716E-2</v>
      </c>
      <c r="AA6" s="6">
        <v>-2.6727729048617005E-2</v>
      </c>
      <c r="AB6">
        <f t="shared" ref="AB6:AB14" si="6">AB5+1</f>
        <v>3</v>
      </c>
      <c r="AC6" s="200">
        <v>-1.0711234253885886</v>
      </c>
      <c r="AE6">
        <v>1</v>
      </c>
      <c r="AF6">
        <f t="shared" si="3"/>
        <v>7</v>
      </c>
      <c r="AG6">
        <f t="shared" si="4"/>
        <v>5</v>
      </c>
      <c r="AH6">
        <f t="shared" si="5"/>
        <v>65</v>
      </c>
      <c r="AI6">
        <f t="array" ref="AI6:AI16">TREND(C4:C14,A4:B14)</f>
        <v>54.810499624828587</v>
      </c>
      <c r="AJ6">
        <f>AH6-AI6</f>
        <v>10.189500375171413</v>
      </c>
      <c r="AK6" t="e">
        <f t="array" aca="1" ref="AK6:AK16" ca="1">LEVERAGE(A4:B14)</f>
        <v>#NAME?</v>
      </c>
      <c r="AL6">
        <f>AJ6/SQRT($AT$8)</f>
        <v>1.7305289072382328</v>
      </c>
      <c r="AM6" t="e">
        <f ca="1">($AT$8-AJ6^2/((1-AK6)*$AT$7))*$AT$7/($AT$7-1)</f>
        <v>#NAME?</v>
      </c>
      <c r="AN6" t="e">
        <f ca="1">AJ6/SQRT(AM6*(1-AK6))</f>
        <v>#NAME?</v>
      </c>
      <c r="AO6" t="e">
        <f ca="1">TDIST(ABS(AN6),$AT$7,2)</f>
        <v>#NAME?</v>
      </c>
      <c r="AP6" t="e">
        <f ca="1">(AJ6^2/$AT$8)*(AK6/(1-AK6)^2)/($AT$9+1)</f>
        <v>#NAME?</v>
      </c>
      <c r="AQ6" t="e">
        <f ca="1">AN6*SQRT(AK6/(1-AK6))</f>
        <v>#NAME?</v>
      </c>
      <c r="AS6" t="s">
        <v>482</v>
      </c>
      <c r="AT6" s="365">
        <f>DEVSQ(AJ6:AJ16)</f>
        <v>277.35630934823672</v>
      </c>
    </row>
    <row r="7" spans="1:46">
      <c r="A7" s="262">
        <v>8</v>
      </c>
      <c r="B7" s="262">
        <v>1</v>
      </c>
      <c r="C7" s="262">
        <v>38</v>
      </c>
      <c r="E7" s="29">
        <v>1</v>
      </c>
      <c r="F7" s="40">
        <f t="shared" si="0"/>
        <v>8</v>
      </c>
      <c r="G7" s="30">
        <f t="shared" si="0"/>
        <v>1</v>
      </c>
      <c r="I7" s="105">
        <f t="shared" si="1"/>
        <v>38</v>
      </c>
      <c r="M7" s="154">
        <v>44.672126057595207</v>
      </c>
      <c r="O7" s="20">
        <f t="shared" si="2"/>
        <v>-6.6721260575952073</v>
      </c>
      <c r="Q7" s="4">
        <v>7.9562213770084517E-2</v>
      </c>
      <c r="R7" s="5">
        <v>-8.1580377241325747E-2</v>
      </c>
      <c r="S7" s="5">
        <v>-8.515097415198325E-2</v>
      </c>
      <c r="T7" s="5">
        <v>0.26709617325157176</v>
      </c>
      <c r="U7" s="5">
        <v>0.20220445548397095</v>
      </c>
      <c r="V7" s="5">
        <v>8.3132810680742075E-2</v>
      </c>
      <c r="W7" s="5">
        <v>0.23216642086470549</v>
      </c>
      <c r="X7" s="5">
        <v>-5.8759605681906302E-2</v>
      </c>
      <c r="Y7" s="5">
        <v>1.4670496002483713E-2</v>
      </c>
      <c r="Z7" s="5">
        <v>0.10238298532950396</v>
      </c>
      <c r="AA7" s="6">
        <v>0.24427540169215228</v>
      </c>
      <c r="AB7">
        <f t="shared" si="6"/>
        <v>4</v>
      </c>
      <c r="AC7" s="200">
        <v>-1.3236303505689102</v>
      </c>
      <c r="AE7">
        <f>AE6+1</f>
        <v>2</v>
      </c>
      <c r="AF7">
        <f t="shared" si="3"/>
        <v>3</v>
      </c>
      <c r="AG7">
        <f t="shared" si="4"/>
        <v>7</v>
      </c>
      <c r="AH7">
        <f t="shared" si="5"/>
        <v>38</v>
      </c>
      <c r="AI7">
        <v>42.746177132655426</v>
      </c>
      <c r="AJ7">
        <f t="shared" ref="AJ7:AJ16" si="7">AH7-AI7</f>
        <v>-4.7461771326554256</v>
      </c>
      <c r="AK7" t="e">
        <f ca="1"/>
        <v>#NAME?</v>
      </c>
      <c r="AL7">
        <f t="shared" ref="AL7:AL16" si="8">AJ7/SQRT($AT$8)</f>
        <v>-0.80606471608232444</v>
      </c>
      <c r="AM7" t="e">
        <f t="shared" ref="AM7:AM16" ca="1" si="9">($AT$8-AJ7^2/((1-AK7)*$AT$7))*$AT$7/($AT$7-1)</f>
        <v>#NAME?</v>
      </c>
      <c r="AN7" t="e">
        <f t="shared" ref="AN7:AN16" ca="1" si="10">AJ7/SQRT(AM7*(1-AK7))</f>
        <v>#NAME?</v>
      </c>
      <c r="AO7" t="e">
        <f t="shared" ref="AO7:AO16" ca="1" si="11">TDIST(ABS(AN7),$AT$7,2)</f>
        <v>#NAME?</v>
      </c>
      <c r="AP7" t="e">
        <f t="shared" ref="AP7:AP16" ca="1" si="12">(AJ7^2/$AT$8)*(AK7/(1-AK7)^2)/($AT$9+1)</f>
        <v>#NAME?</v>
      </c>
      <c r="AQ7" t="e">
        <f t="shared" ref="AQ7:AQ16" ca="1" si="13">AN7*SQRT(AK7/(1-AK7))</f>
        <v>#NAME?</v>
      </c>
      <c r="AS7" t="s">
        <v>481</v>
      </c>
      <c r="AT7" s="337">
        <f>COUNT(C4:C14)-AT9-1</f>
        <v>8</v>
      </c>
    </row>
    <row r="8" spans="1:46">
      <c r="A8" s="262">
        <v>9</v>
      </c>
      <c r="B8" s="262">
        <v>3</v>
      </c>
      <c r="C8" s="262">
        <v>55</v>
      </c>
      <c r="E8" s="29">
        <v>1</v>
      </c>
      <c r="F8" s="40">
        <f t="shared" si="0"/>
        <v>9</v>
      </c>
      <c r="G8" s="30">
        <f t="shared" si="0"/>
        <v>3</v>
      </c>
      <c r="I8" s="105">
        <f t="shared" si="1"/>
        <v>55</v>
      </c>
      <c r="K8" s="262" t="s">
        <v>337</v>
      </c>
      <c r="M8" s="154">
        <v>57.08424538797891</v>
      </c>
      <c r="O8" s="20">
        <f t="shared" si="2"/>
        <v>-2.0842453879789105</v>
      </c>
      <c r="Q8" s="4">
        <v>0.13927915340629782</v>
      </c>
      <c r="R8" s="5">
        <v>-6.9316153069937117E-2</v>
      </c>
      <c r="S8" s="5">
        <v>2.8823514191829103E-2</v>
      </c>
      <c r="T8" s="5">
        <v>0.2022044554839712</v>
      </c>
      <c r="U8" s="5">
        <v>0.24665579963259088</v>
      </c>
      <c r="V8" s="5">
        <v>4.1139486144531556E-2</v>
      </c>
      <c r="W8" s="5">
        <v>2.8461279722631072E-3</v>
      </c>
      <c r="X8" s="5">
        <v>-0.11684649020673242</v>
      </c>
      <c r="Y8" s="5">
        <v>0.18373049755491749</v>
      </c>
      <c r="Z8" s="5">
        <v>9.1748816269502487E-2</v>
      </c>
      <c r="AA8" s="6">
        <v>0.2497347926207665</v>
      </c>
      <c r="AB8">
        <f t="shared" si="6"/>
        <v>5</v>
      </c>
      <c r="AC8" s="200">
        <v>-0.40782898942708506</v>
      </c>
      <c r="AE8">
        <f t="shared" ref="AE8:AE16" si="14">AE7+1</f>
        <v>3</v>
      </c>
      <c r="AF8">
        <f t="shared" si="3"/>
        <v>5</v>
      </c>
      <c r="AG8">
        <f t="shared" si="4"/>
        <v>8</v>
      </c>
      <c r="AH8">
        <f t="shared" si="5"/>
        <v>51</v>
      </c>
      <c r="AI8">
        <v>56.295169344614344</v>
      </c>
      <c r="AJ8">
        <f t="shared" si="7"/>
        <v>-5.2951693446143437</v>
      </c>
      <c r="AK8" t="e">
        <f ca="1"/>
        <v>#NAME?</v>
      </c>
      <c r="AL8">
        <f t="shared" si="8"/>
        <v>-0.89930254499084783</v>
      </c>
      <c r="AM8" t="e">
        <f t="shared" ca="1" si="9"/>
        <v>#NAME?</v>
      </c>
      <c r="AN8" t="e">
        <f t="shared" ca="1" si="10"/>
        <v>#NAME?</v>
      </c>
      <c r="AO8" t="e">
        <f t="shared" ca="1" si="11"/>
        <v>#NAME?</v>
      </c>
      <c r="AP8" t="e">
        <f t="shared" ca="1" si="12"/>
        <v>#NAME?</v>
      </c>
      <c r="AQ8" t="e">
        <f t="shared" ca="1" si="13"/>
        <v>#NAME?</v>
      </c>
      <c r="AS8" t="s">
        <v>483</v>
      </c>
      <c r="AT8" s="337">
        <f>AT6/AT7</f>
        <v>34.66953866852959</v>
      </c>
    </row>
    <row r="9" spans="1:46">
      <c r="A9" s="262">
        <v>5</v>
      </c>
      <c r="B9" s="262">
        <v>4</v>
      </c>
      <c r="C9" s="262">
        <v>43</v>
      </c>
      <c r="E9" s="29">
        <v>1</v>
      </c>
      <c r="F9" s="40">
        <f t="shared" si="0"/>
        <v>5</v>
      </c>
      <c r="G9" s="30">
        <f t="shared" si="0"/>
        <v>4</v>
      </c>
      <c r="I9" s="105">
        <f t="shared" si="1"/>
        <v>43</v>
      </c>
      <c r="K9" s="150">
        <f>SQRT(I17)</f>
        <v>6.9602026710152911</v>
      </c>
      <c r="M9" s="154">
        <v>41.261507412869634</v>
      </c>
      <c r="O9" s="20">
        <f t="shared" si="2"/>
        <v>1.7384925871303665</v>
      </c>
      <c r="Q9" s="4">
        <v>6.2252580920593034E-2</v>
      </c>
      <c r="R9" s="5">
        <v>0.12543662190483601</v>
      </c>
      <c r="S9" s="5">
        <v>7.2886749980594689E-2</v>
      </c>
      <c r="T9" s="5">
        <v>8.3132810680742006E-2</v>
      </c>
      <c r="U9" s="5">
        <v>4.1139486144531459E-2</v>
      </c>
      <c r="V9" s="5">
        <v>0.11480245284483437</v>
      </c>
      <c r="W9" s="5">
        <v>0.17775362881316475</v>
      </c>
      <c r="X9" s="5">
        <v>0.15695102072498665</v>
      </c>
      <c r="Y9" s="5">
        <v>2.0259256384382487E-2</v>
      </c>
      <c r="Z9" s="5">
        <v>9.3766979740743661E-2</v>
      </c>
      <c r="AA9" s="6">
        <v>5.1618411860591379E-2</v>
      </c>
      <c r="AB9">
        <f t="shared" si="6"/>
        <v>6</v>
      </c>
      <c r="AC9" s="200">
        <v>0.31381862189921916</v>
      </c>
      <c r="AE9">
        <f t="shared" si="14"/>
        <v>4</v>
      </c>
      <c r="AF9">
        <f t="shared" si="3"/>
        <v>8</v>
      </c>
      <c r="AG9">
        <f t="shared" si="4"/>
        <v>1</v>
      </c>
      <c r="AH9">
        <f t="shared" si="5"/>
        <v>38</v>
      </c>
      <c r="AI9">
        <v>44.672126057595285</v>
      </c>
      <c r="AJ9">
        <f t="shared" si="7"/>
        <v>-6.6721260575952854</v>
      </c>
      <c r="AK9" t="e">
        <f ca="1"/>
        <v>#NAME?</v>
      </c>
      <c r="AL9">
        <f t="shared" si="8"/>
        <v>-1.1331573276684697</v>
      </c>
      <c r="AM9" t="e">
        <f t="shared" ca="1" si="9"/>
        <v>#NAME?</v>
      </c>
      <c r="AN9" t="e">
        <f t="shared" ca="1" si="10"/>
        <v>#NAME?</v>
      </c>
      <c r="AO9" t="e">
        <f t="shared" ca="1" si="11"/>
        <v>#NAME?</v>
      </c>
      <c r="AP9" t="e">
        <f t="shared" ca="1" si="12"/>
        <v>#NAME?</v>
      </c>
      <c r="AQ9" t="e">
        <f t="shared" ca="1" si="13"/>
        <v>#NAME?</v>
      </c>
      <c r="AS9" t="s">
        <v>23</v>
      </c>
      <c r="AT9" s="338">
        <f>COUNT(A4:B4)</f>
        <v>2</v>
      </c>
    </row>
    <row r="10" spans="1:46">
      <c r="A10" s="262">
        <v>4</v>
      </c>
      <c r="B10" s="262">
        <v>0</v>
      </c>
      <c r="C10" s="262">
        <v>25</v>
      </c>
      <c r="E10" s="29">
        <v>1</v>
      </c>
      <c r="F10" s="40">
        <f t="shared" si="0"/>
        <v>4</v>
      </c>
      <c r="G10" s="30">
        <f t="shared" si="0"/>
        <v>0</v>
      </c>
      <c r="I10" s="105">
        <f t="shared" si="1"/>
        <v>25</v>
      </c>
      <c r="K10" s="151">
        <f>SQRT(J18)</f>
        <v>0.82022977846272849</v>
      </c>
      <c r="M10" s="154">
        <v>21.332557116613586</v>
      </c>
      <c r="O10" s="20">
        <f t="shared" si="2"/>
        <v>3.6674428833864141</v>
      </c>
      <c r="Q10" s="4">
        <v>-3.3429066728764167E-2</v>
      </c>
      <c r="R10" s="5">
        <v>5.8992470697819321E-2</v>
      </c>
      <c r="S10" s="5">
        <v>-0.15219022484410982</v>
      </c>
      <c r="T10" s="5">
        <v>0.23216642086470532</v>
      </c>
      <c r="U10" s="5">
        <v>2.8461279722628852E-3</v>
      </c>
      <c r="V10" s="5">
        <v>0.17775362881316481</v>
      </c>
      <c r="W10" s="5">
        <v>0.57204584853424467</v>
      </c>
      <c r="X10" s="5">
        <v>0.20582680017594307</v>
      </c>
      <c r="Y10" s="5">
        <v>-0.2627493596212066</v>
      </c>
      <c r="Z10" s="5">
        <v>0.11340526274935969</v>
      </c>
      <c r="AA10" s="6">
        <v>8.5332091386581543E-2</v>
      </c>
      <c r="AB10">
        <f t="shared" si="6"/>
        <v>7</v>
      </c>
      <c r="AC10" s="200">
        <v>0.95211784652177578</v>
      </c>
      <c r="AE10">
        <f t="shared" si="14"/>
        <v>5</v>
      </c>
      <c r="AF10">
        <f t="shared" si="3"/>
        <v>9</v>
      </c>
      <c r="AG10">
        <f t="shared" si="4"/>
        <v>3</v>
      </c>
      <c r="AH10">
        <f t="shared" si="5"/>
        <v>55</v>
      </c>
      <c r="AI10">
        <v>57.084245387978996</v>
      </c>
      <c r="AJ10">
        <f t="shared" si="7"/>
        <v>-2.0842453879789957</v>
      </c>
      <c r="AK10" t="e">
        <f ca="1"/>
        <v>#NAME?</v>
      </c>
      <c r="AL10">
        <f t="shared" si="8"/>
        <v>-0.3539768154348728</v>
      </c>
      <c r="AM10" t="e">
        <f t="shared" ca="1" si="9"/>
        <v>#NAME?</v>
      </c>
      <c r="AN10" t="e">
        <f t="shared" ca="1" si="10"/>
        <v>#NAME?</v>
      </c>
      <c r="AO10" t="e">
        <f t="shared" ca="1" si="11"/>
        <v>#NAME?</v>
      </c>
      <c r="AP10" t="e">
        <f t="shared" ca="1" si="12"/>
        <v>#NAME?</v>
      </c>
      <c r="AQ10" t="e">
        <f t="shared" ca="1" si="13"/>
        <v>#NAME?</v>
      </c>
    </row>
    <row r="11" spans="1:46">
      <c r="A11" s="262">
        <v>2</v>
      </c>
      <c r="B11" s="262">
        <v>6</v>
      </c>
      <c r="C11" s="262">
        <v>33</v>
      </c>
      <c r="E11" s="29">
        <v>1</v>
      </c>
      <c r="F11" s="40">
        <f t="shared" si="0"/>
        <v>2</v>
      </c>
      <c r="G11" s="30">
        <f t="shared" si="0"/>
        <v>6</v>
      </c>
      <c r="I11" s="105">
        <f t="shared" si="1"/>
        <v>33</v>
      </c>
      <c r="K11" s="152">
        <f>SQRT(K19)</f>
        <v>0.75651098735033706</v>
      </c>
      <c r="M11" s="154">
        <v>34.092473285207895</v>
      </c>
      <c r="O11" s="20">
        <f t="shared" si="2"/>
        <v>-1.0924732852078947</v>
      </c>
      <c r="Q11" s="4">
        <v>2.6960594064529331E-2</v>
      </c>
      <c r="R11" s="5">
        <v>0.3053636575331834</v>
      </c>
      <c r="S11" s="5">
        <v>0.17537323087272627</v>
      </c>
      <c r="T11" s="5">
        <v>-5.8759605681906524E-2</v>
      </c>
      <c r="U11" s="5">
        <v>-0.11684649020673266</v>
      </c>
      <c r="V11" s="5">
        <v>0.15695102072498646</v>
      </c>
      <c r="W11" s="5">
        <v>0.20582680017594268</v>
      </c>
      <c r="X11" s="5">
        <v>0.36805609459494448</v>
      </c>
      <c r="Y11" s="5">
        <v>-3.1126290460296802E-2</v>
      </c>
      <c r="Z11" s="5">
        <v>8.9653031126290417E-2</v>
      </c>
      <c r="AA11" s="6">
        <v>-0.12145204274366761</v>
      </c>
      <c r="AB11">
        <f t="shared" si="6"/>
        <v>8</v>
      </c>
      <c r="AC11" s="200">
        <v>-0.23339821457085794</v>
      </c>
      <c r="AE11">
        <f t="shared" si="14"/>
        <v>6</v>
      </c>
      <c r="AF11">
        <f t="shared" si="3"/>
        <v>5</v>
      </c>
      <c r="AG11">
        <f t="shared" si="4"/>
        <v>4</v>
      </c>
      <c r="AH11">
        <f t="shared" si="5"/>
        <v>43</v>
      </c>
      <c r="AI11">
        <v>41.261507412869676</v>
      </c>
      <c r="AJ11">
        <f t="shared" si="7"/>
        <v>1.7384925871303238</v>
      </c>
      <c r="AK11" t="e">
        <f ca="1"/>
        <v>#NAME?</v>
      </c>
      <c r="AL11">
        <f t="shared" si="8"/>
        <v>0.2952560543968572</v>
      </c>
      <c r="AM11" t="e">
        <f t="shared" ca="1" si="9"/>
        <v>#NAME?</v>
      </c>
      <c r="AN11" t="e">
        <f t="shared" ca="1" si="10"/>
        <v>#NAME?</v>
      </c>
      <c r="AO11" t="e">
        <f t="shared" ca="1" si="11"/>
        <v>#NAME?</v>
      </c>
      <c r="AP11" t="e">
        <f t="shared" ca="1" si="12"/>
        <v>#NAME?</v>
      </c>
      <c r="AQ11" t="e">
        <f t="shared" ca="1" si="13"/>
        <v>#NAME?</v>
      </c>
    </row>
    <row r="12" spans="1:46">
      <c r="A12" s="262">
        <v>8</v>
      </c>
      <c r="B12" s="262">
        <v>7</v>
      </c>
      <c r="C12" s="262">
        <v>71</v>
      </c>
      <c r="E12" s="29">
        <v>1</v>
      </c>
      <c r="F12" s="40">
        <f t="shared" si="0"/>
        <v>8</v>
      </c>
      <c r="G12" s="30">
        <f t="shared" si="0"/>
        <v>7</v>
      </c>
      <c r="I12" s="105">
        <f t="shared" si="1"/>
        <v>71</v>
      </c>
      <c r="M12" s="154">
        <v>67.222618955212241</v>
      </c>
      <c r="O12" s="20">
        <f t="shared" si="2"/>
        <v>3.7773810447877594</v>
      </c>
      <c r="Q12" s="4">
        <v>0.18745633780951643</v>
      </c>
      <c r="R12" s="5">
        <v>8.0959403865559054E-2</v>
      </c>
      <c r="S12" s="5">
        <v>0.24815648529069312</v>
      </c>
      <c r="T12" s="5">
        <v>1.4670496002483775E-2</v>
      </c>
      <c r="U12" s="5">
        <v>0.18373049755491741</v>
      </c>
      <c r="V12" s="5">
        <v>2.0259256384382279E-2</v>
      </c>
      <c r="W12" s="5">
        <v>-0.26274935962120671</v>
      </c>
      <c r="X12" s="5">
        <v>-3.1126290460296857E-2</v>
      </c>
      <c r="Y12" s="5">
        <v>0.35651633936195004</v>
      </c>
      <c r="Z12" s="5">
        <v>7.5370643483660488E-2</v>
      </c>
      <c r="AA12" s="6">
        <v>0.12675619032833968</v>
      </c>
      <c r="AB12">
        <f t="shared" si="6"/>
        <v>9</v>
      </c>
      <c r="AC12" s="200">
        <v>0.79973849933219099</v>
      </c>
      <c r="AE12">
        <f t="shared" si="14"/>
        <v>7</v>
      </c>
      <c r="AF12">
        <f t="shared" si="3"/>
        <v>4</v>
      </c>
      <c r="AG12">
        <f t="shared" si="4"/>
        <v>0</v>
      </c>
      <c r="AH12">
        <f t="shared" si="5"/>
        <v>25</v>
      </c>
      <c r="AI12">
        <v>21.332557116613632</v>
      </c>
      <c r="AJ12">
        <f t="shared" si="7"/>
        <v>3.6674428833863679</v>
      </c>
      <c r="AK12" t="e">
        <f ca="1"/>
        <v>#NAME?</v>
      </c>
      <c r="AL12">
        <f t="shared" si="8"/>
        <v>0.62285840244041202</v>
      </c>
      <c r="AM12" t="e">
        <f t="shared" ca="1" si="9"/>
        <v>#NAME?</v>
      </c>
      <c r="AN12" t="e">
        <f t="shared" ca="1" si="10"/>
        <v>#NAME?</v>
      </c>
      <c r="AO12" t="e">
        <f t="shared" ca="1" si="11"/>
        <v>#NAME?</v>
      </c>
      <c r="AP12" t="e">
        <f t="shared" ca="1" si="12"/>
        <v>#NAME?</v>
      </c>
      <c r="AQ12" t="e">
        <f t="shared" ca="1" si="13"/>
        <v>#NAME?</v>
      </c>
    </row>
    <row r="13" spans="1:46">
      <c r="A13" s="262">
        <v>6</v>
      </c>
      <c r="B13" s="262">
        <v>4</v>
      </c>
      <c r="C13" s="262">
        <v>51</v>
      </c>
      <c r="E13" s="29">
        <v>1</v>
      </c>
      <c r="F13" s="40">
        <f t="shared" si="0"/>
        <v>6</v>
      </c>
      <c r="G13" s="30">
        <f t="shared" si="0"/>
        <v>4</v>
      </c>
      <c r="I13" s="105">
        <f t="shared" si="1"/>
        <v>51</v>
      </c>
      <c r="M13" s="154">
        <v>46.156795777380999</v>
      </c>
      <c r="O13" s="20">
        <f t="shared" si="2"/>
        <v>4.8432042226190006</v>
      </c>
      <c r="Q13" s="4">
        <v>8.6004812543662199E-2</v>
      </c>
      <c r="R13" s="5">
        <v>8.3520919040596261E-2</v>
      </c>
      <c r="S13" s="5">
        <v>7.5758751843514785E-2</v>
      </c>
      <c r="T13" s="5">
        <v>0.10238298532950396</v>
      </c>
      <c r="U13" s="5">
        <v>9.174881626950239E-2</v>
      </c>
      <c r="V13" s="5">
        <v>9.3766979740743675E-2</v>
      </c>
      <c r="W13" s="5">
        <v>0.11340526274935969</v>
      </c>
      <c r="X13" s="5">
        <v>8.9653031126290611E-2</v>
      </c>
      <c r="Y13" s="5">
        <v>7.5370643483660626E-2</v>
      </c>
      <c r="Z13" s="5">
        <v>9.2136924629356548E-2</v>
      </c>
      <c r="AA13" s="6">
        <v>9.6250873243809612E-2</v>
      </c>
      <c r="AB13">
        <f t="shared" si="6"/>
        <v>10</v>
      </c>
      <c r="AC13" s="200">
        <v>0.86327382787517848</v>
      </c>
      <c r="AE13">
        <f t="shared" si="14"/>
        <v>8</v>
      </c>
      <c r="AF13">
        <f t="shared" si="3"/>
        <v>2</v>
      </c>
      <c r="AG13">
        <f t="shared" si="4"/>
        <v>6</v>
      </c>
      <c r="AH13">
        <f t="shared" si="5"/>
        <v>33</v>
      </c>
      <c r="AI13">
        <v>34.092473285207895</v>
      </c>
      <c r="AJ13">
        <f t="shared" si="7"/>
        <v>-1.0924732852078947</v>
      </c>
      <c r="AK13" t="e">
        <f ca="1"/>
        <v>#NAME?</v>
      </c>
      <c r="AL13">
        <f t="shared" si="8"/>
        <v>-0.18553967621851886</v>
      </c>
      <c r="AM13" t="e">
        <f t="shared" ca="1" si="9"/>
        <v>#NAME?</v>
      </c>
      <c r="AN13" t="e">
        <f t="shared" ca="1" si="10"/>
        <v>#NAME?</v>
      </c>
      <c r="AO13" t="e">
        <f t="shared" ca="1" si="11"/>
        <v>#NAME?</v>
      </c>
      <c r="AP13" t="e">
        <f t="shared" ca="1" si="12"/>
        <v>#NAME?</v>
      </c>
      <c r="AQ13" t="e">
        <f t="shared" ca="1" si="13"/>
        <v>#NAME?</v>
      </c>
    </row>
    <row r="14" spans="1:46">
      <c r="A14" s="263">
        <v>9</v>
      </c>
      <c r="B14" s="263">
        <v>2</v>
      </c>
      <c r="C14" s="263">
        <v>49</v>
      </c>
      <c r="E14" s="87">
        <v>1</v>
      </c>
      <c r="F14" s="263">
        <f t="shared" si="0"/>
        <v>9</v>
      </c>
      <c r="G14" s="88">
        <f t="shared" si="0"/>
        <v>2</v>
      </c>
      <c r="I14" s="106">
        <f t="shared" si="1"/>
        <v>49</v>
      </c>
      <c r="M14" s="155">
        <v>53.325829905042738</v>
      </c>
      <c r="O14" s="146">
        <f t="shared" si="2"/>
        <v>-4.3258299050427382</v>
      </c>
      <c r="Q14" s="7">
        <v>0.12129679939972585</v>
      </c>
      <c r="R14" s="8">
        <v>-9.6406116587751223E-2</v>
      </c>
      <c r="S14" s="8">
        <v>-2.6727729048616949E-2</v>
      </c>
      <c r="T14" s="8">
        <v>0.24427540169215248</v>
      </c>
      <c r="U14" s="8">
        <v>0.24973479262076642</v>
      </c>
      <c r="V14" s="8">
        <v>5.1618411860591518E-2</v>
      </c>
      <c r="W14" s="8">
        <v>8.5332091386581793E-2</v>
      </c>
      <c r="X14" s="8">
        <v>-0.12145204274366732</v>
      </c>
      <c r="Y14" s="8">
        <v>0.12675619032833976</v>
      </c>
      <c r="Z14" s="8">
        <v>9.6250873243809765E-2</v>
      </c>
      <c r="AA14" s="9">
        <v>0.26932132784806856</v>
      </c>
      <c r="AB14">
        <f t="shared" si="6"/>
        <v>11</v>
      </c>
      <c r="AC14" s="146">
        <v>-0.85947290855377767</v>
      </c>
      <c r="AE14">
        <f t="shared" si="14"/>
        <v>9</v>
      </c>
      <c r="AF14">
        <f t="shared" si="3"/>
        <v>8</v>
      </c>
      <c r="AG14">
        <f t="shared" si="4"/>
        <v>7</v>
      </c>
      <c r="AH14">
        <f t="shared" si="5"/>
        <v>71</v>
      </c>
      <c r="AI14">
        <v>67.222618955212283</v>
      </c>
      <c r="AJ14">
        <f t="shared" si="7"/>
        <v>3.7773810447877167</v>
      </c>
      <c r="AK14" t="e">
        <f ca="1"/>
        <v>#NAME?</v>
      </c>
      <c r="AL14">
        <f t="shared" si="8"/>
        <v>0.64152969733306831</v>
      </c>
      <c r="AM14" t="e">
        <f t="shared" ca="1" si="9"/>
        <v>#NAME?</v>
      </c>
      <c r="AN14" t="e">
        <f t="shared" ca="1" si="10"/>
        <v>#NAME?</v>
      </c>
      <c r="AO14" t="e">
        <f t="shared" ca="1" si="11"/>
        <v>#NAME?</v>
      </c>
      <c r="AP14" t="e">
        <f t="shared" ca="1" si="12"/>
        <v>#NAME?</v>
      </c>
      <c r="AQ14" t="e">
        <f t="shared" ca="1" si="13"/>
        <v>#NAME?</v>
      </c>
    </row>
    <row r="15" spans="1:46">
      <c r="A15" s="40"/>
      <c r="B15" s="40"/>
      <c r="C15" s="40"/>
      <c r="AE15">
        <f t="shared" si="14"/>
        <v>10</v>
      </c>
      <c r="AF15">
        <f t="shared" si="3"/>
        <v>6</v>
      </c>
      <c r="AG15">
        <f t="shared" si="4"/>
        <v>4</v>
      </c>
      <c r="AH15">
        <f t="shared" si="5"/>
        <v>51</v>
      </c>
      <c r="AI15">
        <v>46.156795777381042</v>
      </c>
      <c r="AJ15">
        <f t="shared" si="7"/>
        <v>4.843204222618958</v>
      </c>
      <c r="AK15" t="e">
        <f ca="1"/>
        <v>#NAME?</v>
      </c>
      <c r="AL15">
        <f t="shared" si="8"/>
        <v>0.82254326535214306</v>
      </c>
      <c r="AM15" t="e">
        <f t="shared" ca="1" si="9"/>
        <v>#NAME?</v>
      </c>
      <c r="AN15" t="e">
        <f t="shared" ca="1" si="10"/>
        <v>#NAME?</v>
      </c>
      <c r="AO15" t="e">
        <f t="shared" ca="1" si="11"/>
        <v>#NAME?</v>
      </c>
      <c r="AP15" t="e">
        <f t="shared" ca="1" si="12"/>
        <v>#NAME?</v>
      </c>
      <c r="AQ15" t="e">
        <f t="shared" ca="1" si="13"/>
        <v>#NAME?</v>
      </c>
    </row>
    <row r="16" spans="1:46" ht="18.75">
      <c r="A16" s="262"/>
      <c r="B16" s="262"/>
      <c r="C16" s="262"/>
      <c r="D16" s="262"/>
      <c r="E16" s="741" t="s">
        <v>294</v>
      </c>
      <c r="F16" s="741"/>
      <c r="G16" s="741"/>
      <c r="I16" s="735" t="s">
        <v>336</v>
      </c>
      <c r="J16" s="735"/>
      <c r="K16" s="735"/>
      <c r="AE16" s="285">
        <f t="shared" si="14"/>
        <v>11</v>
      </c>
      <c r="AF16" s="285">
        <f t="shared" si="3"/>
        <v>9</v>
      </c>
      <c r="AG16" s="285">
        <f t="shared" si="4"/>
        <v>2</v>
      </c>
      <c r="AH16" s="285">
        <f t="shared" si="5"/>
        <v>49</v>
      </c>
      <c r="AI16" s="285">
        <v>53.325829905042831</v>
      </c>
      <c r="AJ16" s="285">
        <f t="shared" si="7"/>
        <v>-4.3258299050428306</v>
      </c>
      <c r="AK16" s="285" t="e">
        <f ca="1"/>
        <v>#NAME?</v>
      </c>
      <c r="AL16" s="285">
        <f t="shared" si="8"/>
        <v>-0.73467524636567916</v>
      </c>
      <c r="AM16" s="285" t="e">
        <f t="shared" ca="1" si="9"/>
        <v>#NAME?</v>
      </c>
      <c r="AN16" s="285" t="e">
        <f t="shared" ca="1" si="10"/>
        <v>#NAME?</v>
      </c>
      <c r="AO16" s="285" t="e">
        <f t="shared" ca="1" si="11"/>
        <v>#NAME?</v>
      </c>
      <c r="AP16" s="285" t="e">
        <f t="shared" ca="1" si="12"/>
        <v>#NAME?</v>
      </c>
      <c r="AQ16" s="285" t="e">
        <f t="shared" ca="1" si="13"/>
        <v>#NAME?</v>
      </c>
    </row>
    <row r="17" spans="1:29" ht="18">
      <c r="A17" s="381"/>
      <c r="B17" s="381"/>
      <c r="C17" s="381"/>
      <c r="D17" s="262"/>
      <c r="E17" s="77">
        <f t="array" ref="E17:G19">MINVERSE(MMULT(TRANSPOSE(E4:G14),E4:G14))</f>
        <v>1.3973194649279432</v>
      </c>
      <c r="F17" s="79">
        <v>-0.14197003803461952</v>
      </c>
      <c r="G17" s="78">
        <v>-0.10639343838132949</v>
      </c>
      <c r="I17" s="147">
        <f t="array" ref="I17:K19">O19*E17:G19</f>
        <v>48.444421221608387</v>
      </c>
      <c r="J17" s="148">
        <v>-4.9220357234138561</v>
      </c>
      <c r="K17" s="149">
        <v>-3.6886114260393215</v>
      </c>
      <c r="N17" t="s">
        <v>205</v>
      </c>
      <c r="O17" s="145">
        <f>DEVSQ(O4:O14)</f>
        <v>277.35630934823661</v>
      </c>
    </row>
    <row r="18" spans="1:29" ht="18">
      <c r="A18" s="381"/>
      <c r="B18" s="381"/>
      <c r="C18" s="381"/>
      <c r="E18" s="4">
        <v>-0.14197003803461947</v>
      </c>
      <c r="F18" s="5">
        <v>1.9405417992703587E-2</v>
      </c>
      <c r="G18" s="6">
        <v>5.9768687417527068E-3</v>
      </c>
      <c r="I18" s="4">
        <v>-4.9220357234138543</v>
      </c>
      <c r="J18" s="5">
        <v>0.67277688947701664</v>
      </c>
      <c r="K18" s="6">
        <v>0.20721528195892117</v>
      </c>
      <c r="N18" t="s">
        <v>203</v>
      </c>
      <c r="O18" s="20">
        <f>COUNT(A4:A14)-COUNT(A4:B4)-1</f>
        <v>8</v>
      </c>
    </row>
    <row r="19" spans="1:29" ht="18">
      <c r="A19" s="381"/>
      <c r="B19" s="381"/>
      <c r="C19" s="381"/>
      <c r="E19" s="69">
        <v>-0.10639343838132957</v>
      </c>
      <c r="F19" s="70">
        <v>5.976868741752718E-3</v>
      </c>
      <c r="G19" s="71">
        <v>1.6507542239126507E-2</v>
      </c>
      <c r="I19" s="115">
        <v>-3.6886114260393241</v>
      </c>
      <c r="J19" s="116">
        <v>0.20721528195892158</v>
      </c>
      <c r="K19" s="117">
        <v>0.57230887398178176</v>
      </c>
      <c r="N19" t="s">
        <v>335</v>
      </c>
      <c r="O19" s="146">
        <f>O17/O18</f>
        <v>34.669538668529576</v>
      </c>
    </row>
    <row r="20" spans="1:29">
      <c r="A20" s="381"/>
      <c r="B20" s="381"/>
      <c r="C20" s="381"/>
      <c r="N20" t="s">
        <v>23</v>
      </c>
      <c r="O20">
        <f>COUNT(A4:B4)</f>
        <v>2</v>
      </c>
    </row>
    <row r="21" spans="1:29">
      <c r="A21" s="381"/>
      <c r="B21" s="381"/>
      <c r="C21" s="381"/>
      <c r="Q21" s="272" t="s">
        <v>55</v>
      </c>
      <c r="R21" s="272" t="s">
        <v>296</v>
      </c>
      <c r="S21" s="269" t="s">
        <v>297</v>
      </c>
      <c r="T21" s="273" t="s">
        <v>479</v>
      </c>
      <c r="U21" s="269" t="s">
        <v>471</v>
      </c>
      <c r="V21" s="269" t="s">
        <v>211</v>
      </c>
      <c r="W21" s="269" t="s">
        <v>623</v>
      </c>
      <c r="X21" s="269" t="s">
        <v>472</v>
      </c>
      <c r="Y21" s="269" t="s">
        <v>473</v>
      </c>
      <c r="Z21" s="269" t="s">
        <v>474</v>
      </c>
      <c r="AA21" s="272" t="s">
        <v>475</v>
      </c>
      <c r="AB21" s="273" t="s">
        <v>476</v>
      </c>
      <c r="AC21" s="356" t="s">
        <v>594</v>
      </c>
    </row>
    <row r="22" spans="1:29">
      <c r="A22" s="381"/>
      <c r="B22" s="381"/>
      <c r="C22" s="381"/>
      <c r="Q22" s="274">
        <v>1</v>
      </c>
      <c r="R22" s="29">
        <f>A4</f>
        <v>7</v>
      </c>
      <c r="S22" s="40">
        <f>B4</f>
        <v>5</v>
      </c>
      <c r="T22" s="30">
        <f>C4</f>
        <v>65</v>
      </c>
      <c r="U22" s="279">
        <f>M4</f>
        <v>54.810499624828537</v>
      </c>
      <c r="V22" s="270">
        <f>T22-U22</f>
        <v>10.189500375171463</v>
      </c>
      <c r="W22" s="5">
        <f>V22/SQRT($O$19)</f>
        <v>1.7305289072382419</v>
      </c>
      <c r="X22" s="270">
        <f t="shared" ref="X22:X32" si="15">INDEX($Q$4:$AA$14,Q22,Q22)</f>
        <v>0.12773939817330332</v>
      </c>
      <c r="Y22" s="270">
        <f t="shared" ref="Y22:Y32" si="16">($O$19-V22^2/((1-X22)*$O$18))*$O$18/($O$18-1)</f>
        <v>22.617923249033659</v>
      </c>
      <c r="Z22" s="270">
        <f t="shared" ref="Z22:Z32" si="17">V22/SQRT(Y22*(1-X22))</f>
        <v>2.2940527410302898</v>
      </c>
      <c r="AA22" s="4">
        <f>TDIST(ABS(Z22),$O$18,2)</f>
        <v>5.0941566162259533E-2</v>
      </c>
      <c r="AB22" s="6">
        <f t="shared" ref="AB22:AB32" si="18">(V22^2/$O$19)*(X22/(1-X22)^2)/($O$20+1)</f>
        <v>0.16759799315634213</v>
      </c>
      <c r="AC22" s="335">
        <f>Z22*SQRT(X22/(1-X22))</f>
        <v>0.87789525712224503</v>
      </c>
    </row>
    <row r="23" spans="1:29">
      <c r="A23" s="381"/>
      <c r="B23" s="381"/>
      <c r="C23" s="381"/>
      <c r="Q23" s="29">
        <f>Q22+1</f>
        <v>2</v>
      </c>
      <c r="R23" s="29">
        <f t="shared" ref="R23:R32" si="19">A5</f>
        <v>3</v>
      </c>
      <c r="S23" s="40">
        <f t="shared" ref="S23:S32" si="20">B5</f>
        <v>7</v>
      </c>
      <c r="T23" s="30">
        <f t="shared" ref="T23:T32" si="21">C5</f>
        <v>38</v>
      </c>
      <c r="U23" s="280">
        <f t="shared" ref="U23:U32" si="22">M5</f>
        <v>42.746177132655433</v>
      </c>
      <c r="V23" s="5">
        <f t="shared" ref="V23:V32" si="23">T23-U23</f>
        <v>-4.7461771326554327</v>
      </c>
      <c r="W23" s="5">
        <f t="shared" ref="W23:W32" si="24">V23/SQRT($O$19)</f>
        <v>-0.80606471608232588</v>
      </c>
      <c r="X23" s="5">
        <f t="shared" si="15"/>
        <v>0.29053791818675778</v>
      </c>
      <c r="Y23" s="5">
        <f t="shared" si="16"/>
        <v>35.0864593102011</v>
      </c>
      <c r="Z23" s="5">
        <f t="shared" si="17"/>
        <v>-0.95128264994126976</v>
      </c>
      <c r="AA23" s="4">
        <f t="shared" ref="AA23:AA32" si="25">TDIST(ABS(Z23),$O$18,2)</f>
        <v>0.36931232488633514</v>
      </c>
      <c r="AB23" s="6">
        <f t="shared" si="18"/>
        <v>0.12501525470898492</v>
      </c>
      <c r="AC23" s="293">
        <f t="shared" ref="AC23:AC32" si="26">Z23*SQRT(X23/(1-X23))</f>
        <v>-0.60876039700023366</v>
      </c>
    </row>
    <row r="24" spans="1:29">
      <c r="Q24" s="29">
        <f t="shared" ref="Q24:Q32" si="27">Q23+1</f>
        <v>3</v>
      </c>
      <c r="R24" s="29">
        <f t="shared" si="19"/>
        <v>5</v>
      </c>
      <c r="S24" s="40">
        <f t="shared" si="20"/>
        <v>8</v>
      </c>
      <c r="T24" s="30">
        <f t="shared" si="21"/>
        <v>51</v>
      </c>
      <c r="U24" s="280">
        <f t="shared" si="22"/>
        <v>56.295169344614322</v>
      </c>
      <c r="V24" s="5">
        <f t="shared" si="23"/>
        <v>-5.2951693446143224</v>
      </c>
      <c r="W24" s="5">
        <f t="shared" si="24"/>
        <v>-0.8993025449908445</v>
      </c>
      <c r="X24" s="5">
        <f t="shared" si="15"/>
        <v>0.29509172294237895</v>
      </c>
      <c r="Y24" s="5">
        <f t="shared" si="16"/>
        <v>33.939965811607316</v>
      </c>
      <c r="Z24" s="5">
        <f t="shared" si="17"/>
        <v>-1.0825746381756076</v>
      </c>
      <c r="AA24" s="4">
        <f t="shared" si="25"/>
        <v>0.31054512744459173</v>
      </c>
      <c r="AB24" s="6">
        <f t="shared" si="18"/>
        <v>0.16009663290396148</v>
      </c>
      <c r="AC24" s="293">
        <f t="shared" si="26"/>
        <v>-0.70043857775134133</v>
      </c>
    </row>
    <row r="25" spans="1:29">
      <c r="Q25" s="29">
        <f t="shared" si="27"/>
        <v>4</v>
      </c>
      <c r="R25" s="29">
        <f t="shared" si="19"/>
        <v>8</v>
      </c>
      <c r="S25" s="40">
        <f t="shared" si="20"/>
        <v>1</v>
      </c>
      <c r="T25" s="30">
        <f t="shared" si="21"/>
        <v>38</v>
      </c>
      <c r="U25" s="280">
        <f t="shared" si="22"/>
        <v>44.672126057595207</v>
      </c>
      <c r="V25" s="5">
        <f t="shared" si="23"/>
        <v>-6.6721260575952073</v>
      </c>
      <c r="W25" s="5">
        <f t="shared" si="24"/>
        <v>-1.1331573276684568</v>
      </c>
      <c r="X25" s="5">
        <f t="shared" si="15"/>
        <v>0.26709617325157176</v>
      </c>
      <c r="Y25" s="5">
        <f t="shared" si="16"/>
        <v>30.945053005315838</v>
      </c>
      <c r="Z25" s="5">
        <f t="shared" si="17"/>
        <v>-1.4010225735860666</v>
      </c>
      <c r="AA25" s="4">
        <f t="shared" si="25"/>
        <v>0.19878455622173527</v>
      </c>
      <c r="AB25" s="6">
        <f t="shared" si="18"/>
        <v>0.21283000516568629</v>
      </c>
      <c r="AC25" s="293">
        <f t="shared" si="26"/>
        <v>-0.84577622150930953</v>
      </c>
    </row>
    <row r="26" spans="1:29">
      <c r="Q26" s="29">
        <f t="shared" si="27"/>
        <v>5</v>
      </c>
      <c r="R26" s="29">
        <f t="shared" si="19"/>
        <v>9</v>
      </c>
      <c r="S26" s="40">
        <f t="shared" si="20"/>
        <v>3</v>
      </c>
      <c r="T26" s="30">
        <f t="shared" si="21"/>
        <v>55</v>
      </c>
      <c r="U26" s="280">
        <f t="shared" si="22"/>
        <v>57.08424538797891</v>
      </c>
      <c r="V26" s="5">
        <f t="shared" si="23"/>
        <v>-2.0842453879789105</v>
      </c>
      <c r="W26" s="5">
        <f t="shared" si="24"/>
        <v>-0.35397681543485843</v>
      </c>
      <c r="X26" s="5">
        <f t="shared" si="15"/>
        <v>0.24665579963259088</v>
      </c>
      <c r="Y26" s="5">
        <f t="shared" si="16"/>
        <v>38.798559456754319</v>
      </c>
      <c r="Z26" s="5">
        <f t="shared" si="17"/>
        <v>-0.38551770153741088</v>
      </c>
      <c r="AA26" s="4">
        <f t="shared" si="25"/>
        <v>0.7099025802987351</v>
      </c>
      <c r="AB26" s="6">
        <f t="shared" si="18"/>
        <v>1.8152348214669847E-2</v>
      </c>
      <c r="AC26" s="293">
        <f t="shared" si="26"/>
        <v>-0.22059378129478155</v>
      </c>
    </row>
    <row r="27" spans="1:29">
      <c r="Q27" s="29">
        <f t="shared" si="27"/>
        <v>6</v>
      </c>
      <c r="R27" s="29">
        <f t="shared" si="19"/>
        <v>5</v>
      </c>
      <c r="S27" s="40">
        <f t="shared" si="20"/>
        <v>4</v>
      </c>
      <c r="T27" s="30">
        <f t="shared" si="21"/>
        <v>43</v>
      </c>
      <c r="U27" s="280">
        <f t="shared" si="22"/>
        <v>41.261507412869634</v>
      </c>
      <c r="V27" s="5">
        <f t="shared" si="23"/>
        <v>1.7384925871303665</v>
      </c>
      <c r="W27" s="5">
        <f t="shared" si="24"/>
        <v>0.29525605439686453</v>
      </c>
      <c r="X27" s="5">
        <f t="shared" si="15"/>
        <v>0.11480245284483437</v>
      </c>
      <c r="Y27" s="5">
        <f t="shared" si="16"/>
        <v>39.134568488917807</v>
      </c>
      <c r="Z27" s="5">
        <f t="shared" si="17"/>
        <v>0.29537413820837233</v>
      </c>
      <c r="AA27" s="4">
        <f t="shared" si="25"/>
        <v>0.77522908029391524</v>
      </c>
      <c r="AB27" s="6">
        <f t="shared" si="18"/>
        <v>4.2574262393201947E-3</v>
      </c>
      <c r="AC27" s="293">
        <f t="shared" si="26"/>
        <v>0.10637215315903967</v>
      </c>
    </row>
    <row r="28" spans="1:29">
      <c r="Q28" s="29">
        <f t="shared" si="27"/>
        <v>7</v>
      </c>
      <c r="R28" s="29">
        <f t="shared" si="19"/>
        <v>4</v>
      </c>
      <c r="S28" s="40">
        <f t="shared" si="20"/>
        <v>0</v>
      </c>
      <c r="T28" s="30">
        <f t="shared" si="21"/>
        <v>25</v>
      </c>
      <c r="U28" s="280">
        <f t="shared" si="22"/>
        <v>21.332557116613586</v>
      </c>
      <c r="V28" s="5">
        <f t="shared" si="23"/>
        <v>3.6674428833864141</v>
      </c>
      <c r="W28" s="5">
        <f t="shared" si="24"/>
        <v>0.62285840244042012</v>
      </c>
      <c r="X28" s="5">
        <f t="shared" si="15"/>
        <v>0.57204584853424467</v>
      </c>
      <c r="Y28" s="5">
        <f t="shared" si="16"/>
        <v>35.13248402141982</v>
      </c>
      <c r="Z28" s="5">
        <f t="shared" si="17"/>
        <v>0.94582395298766242</v>
      </c>
      <c r="AA28" s="4">
        <f t="shared" si="25"/>
        <v>0.37192566649930447</v>
      </c>
      <c r="AB28" s="6">
        <f t="shared" si="18"/>
        <v>0.40391850575464266</v>
      </c>
      <c r="AC28" s="293">
        <f t="shared" si="26"/>
        <v>1.0935209443704665</v>
      </c>
    </row>
    <row r="29" spans="1:29">
      <c r="Q29" s="29">
        <f t="shared" si="27"/>
        <v>8</v>
      </c>
      <c r="R29" s="29">
        <f t="shared" si="19"/>
        <v>2</v>
      </c>
      <c r="S29" s="40">
        <f t="shared" si="20"/>
        <v>6</v>
      </c>
      <c r="T29" s="30">
        <f t="shared" si="21"/>
        <v>33</v>
      </c>
      <c r="U29" s="280">
        <f t="shared" si="22"/>
        <v>34.092473285207895</v>
      </c>
      <c r="V29" s="5">
        <f t="shared" si="23"/>
        <v>-1.0924732852078947</v>
      </c>
      <c r="W29" s="5">
        <f t="shared" si="24"/>
        <v>-0.18553967621851891</v>
      </c>
      <c r="X29" s="5">
        <f t="shared" si="15"/>
        <v>0.36805609459494448</v>
      </c>
      <c r="Y29" s="5">
        <f t="shared" si="16"/>
        <v>39.352527958448356</v>
      </c>
      <c r="Z29" s="5">
        <f t="shared" si="17"/>
        <v>-0.21907117761234435</v>
      </c>
      <c r="AA29" s="4">
        <f t="shared" si="25"/>
        <v>0.83208044244166479</v>
      </c>
      <c r="AB29" s="6">
        <f t="shared" si="18"/>
        <v>1.057570402589249E-2</v>
      </c>
      <c r="AC29" s="293">
        <f t="shared" si="26"/>
        <v>-0.16718718470802202</v>
      </c>
    </row>
    <row r="30" spans="1:29">
      <c r="Q30" s="29">
        <f t="shared" si="27"/>
        <v>9</v>
      </c>
      <c r="R30" s="29">
        <f t="shared" si="19"/>
        <v>8</v>
      </c>
      <c r="S30" s="40">
        <f t="shared" si="20"/>
        <v>7</v>
      </c>
      <c r="T30" s="30">
        <f t="shared" si="21"/>
        <v>71</v>
      </c>
      <c r="U30" s="280">
        <f t="shared" si="22"/>
        <v>67.222618955212241</v>
      </c>
      <c r="V30" s="5">
        <f t="shared" si="23"/>
        <v>3.7773810447877594</v>
      </c>
      <c r="W30" s="5">
        <f t="shared" si="24"/>
        <v>0.64152969733307574</v>
      </c>
      <c r="X30" s="5">
        <f t="shared" si="15"/>
        <v>0.35651633936195004</v>
      </c>
      <c r="Y30" s="5">
        <f t="shared" si="16"/>
        <v>36.454615428801091</v>
      </c>
      <c r="Z30" s="5">
        <f t="shared" si="17"/>
        <v>0.77991230823401902</v>
      </c>
      <c r="AA30" s="4">
        <f t="shared" si="25"/>
        <v>0.4578933443702381</v>
      </c>
      <c r="AB30" s="6">
        <f t="shared" si="18"/>
        <v>0.11811815834232753</v>
      </c>
      <c r="AC30" s="293">
        <f t="shared" si="26"/>
        <v>0.58051939191635715</v>
      </c>
    </row>
    <row r="31" spans="1:29">
      <c r="Q31" s="29">
        <f t="shared" si="27"/>
        <v>10</v>
      </c>
      <c r="R31" s="29">
        <f t="shared" si="19"/>
        <v>6</v>
      </c>
      <c r="S31" s="40">
        <f t="shared" si="20"/>
        <v>4</v>
      </c>
      <c r="T31" s="30">
        <f t="shared" si="21"/>
        <v>51</v>
      </c>
      <c r="U31" s="280">
        <f t="shared" si="22"/>
        <v>46.156795777380999</v>
      </c>
      <c r="V31" s="5">
        <f t="shared" si="23"/>
        <v>4.8432042226190006</v>
      </c>
      <c r="W31" s="5">
        <f t="shared" si="24"/>
        <v>0.8225432653521505</v>
      </c>
      <c r="X31" s="5">
        <f t="shared" si="15"/>
        <v>9.2136924629356548E-2</v>
      </c>
      <c r="Y31" s="5">
        <f t="shared" si="16"/>
        <v>35.931303335287524</v>
      </c>
      <c r="Z31" s="5">
        <f t="shared" si="17"/>
        <v>0.84798099811206584</v>
      </c>
      <c r="AA31" s="4">
        <f t="shared" si="25"/>
        <v>0.42109359303964244</v>
      </c>
      <c r="AB31" s="6">
        <f t="shared" si="18"/>
        <v>2.5210952466612258E-2</v>
      </c>
      <c r="AC31" s="293">
        <f t="shared" si="26"/>
        <v>0.27014242879415717</v>
      </c>
    </row>
    <row r="32" spans="1:29">
      <c r="Q32" s="31">
        <f t="shared" si="27"/>
        <v>11</v>
      </c>
      <c r="R32" s="31">
        <f t="shared" si="19"/>
        <v>9</v>
      </c>
      <c r="S32" s="266">
        <f t="shared" si="20"/>
        <v>2</v>
      </c>
      <c r="T32" s="32">
        <f t="shared" si="21"/>
        <v>49</v>
      </c>
      <c r="U32" s="281">
        <f t="shared" si="22"/>
        <v>53.325829905042738</v>
      </c>
      <c r="V32" s="8">
        <f t="shared" si="23"/>
        <v>-4.3258299050427382</v>
      </c>
      <c r="W32" s="8">
        <f t="shared" si="24"/>
        <v>-0.73467524636566373</v>
      </c>
      <c r="X32" s="8">
        <f t="shared" si="15"/>
        <v>0.26932132784806856</v>
      </c>
      <c r="Y32" s="8">
        <f t="shared" si="16"/>
        <v>35.963734318089969</v>
      </c>
      <c r="Z32" s="8">
        <f t="shared" si="17"/>
        <v>-0.84386666783384523</v>
      </c>
      <c r="AA32" s="7">
        <f t="shared" si="25"/>
        <v>0.42325766755387828</v>
      </c>
      <c r="AB32" s="9">
        <f t="shared" si="18"/>
        <v>9.0758528337097522E-2</v>
      </c>
      <c r="AC32" s="289">
        <f t="shared" si="26"/>
        <v>-0.51232552169276679</v>
      </c>
    </row>
  </sheetData>
  <mergeCells count="3">
    <mergeCell ref="E3:G3"/>
    <mergeCell ref="E16:G16"/>
    <mergeCell ref="I16:K16"/>
  </mergeCells>
  <pageMargins left="0.7" right="0.7" top="0.75" bottom="0.75" header="0.3" footer="0.3"/>
  <ignoredErrors>
    <ignoredError sqref="O18 O20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18"/>
  <dimension ref="A1:T23"/>
  <sheetViews>
    <sheetView workbookViewId="0"/>
  </sheetViews>
  <sheetFormatPr defaultRowHeight="15"/>
  <cols>
    <col min="1" max="3" width="8.28515625" customWidth="1"/>
  </cols>
  <sheetData>
    <row r="1" spans="1:20">
      <c r="A1" s="1" t="s">
        <v>741</v>
      </c>
      <c r="E1" t="s">
        <v>476</v>
      </c>
    </row>
    <row r="2" spans="1:20" ht="15.75" thickBot="1"/>
    <row r="3" spans="1:20" ht="15.75" thickTop="1">
      <c r="A3" s="112" t="s">
        <v>296</v>
      </c>
      <c r="B3" s="112" t="s">
        <v>297</v>
      </c>
      <c r="C3" s="112" t="s">
        <v>290</v>
      </c>
      <c r="E3" s="398" t="s">
        <v>55</v>
      </c>
      <c r="F3" s="398" t="str">
        <f>A3</f>
        <v>Color</v>
      </c>
      <c r="G3" s="398" t="str">
        <f>B3</f>
        <v>Quality</v>
      </c>
      <c r="H3" s="398" t="str">
        <f>C3</f>
        <v>Price</v>
      </c>
      <c r="I3" s="398" t="s">
        <v>471</v>
      </c>
      <c r="J3" s="398" t="s">
        <v>211</v>
      </c>
      <c r="K3" s="398" t="s">
        <v>472</v>
      </c>
      <c r="L3" s="398" t="s">
        <v>623</v>
      </c>
      <c r="M3" s="398" t="s">
        <v>473</v>
      </c>
      <c r="N3" s="398" t="s">
        <v>474</v>
      </c>
      <c r="O3" s="398" t="s">
        <v>595</v>
      </c>
      <c r="P3" s="398" t="s">
        <v>476</v>
      </c>
      <c r="Q3" s="398" t="s">
        <v>594</v>
      </c>
    </row>
    <row r="4" spans="1:20">
      <c r="A4" s="497">
        <v>7</v>
      </c>
      <c r="B4" s="497">
        <v>5</v>
      </c>
      <c r="C4" s="497">
        <v>65</v>
      </c>
      <c r="E4">
        <v>1</v>
      </c>
      <c r="F4">
        <f t="shared" ref="F4:F14" si="0">A4</f>
        <v>7</v>
      </c>
      <c r="G4">
        <f t="shared" ref="G4:G14" si="1">B4</f>
        <v>5</v>
      </c>
      <c r="H4">
        <f t="shared" ref="H4:H14" si="2">C4</f>
        <v>65</v>
      </c>
      <c r="I4">
        <f t="array" ref="I4:I14">TREND(C4:C14,A4:B14)</f>
        <v>54.810499624828587</v>
      </c>
      <c r="J4">
        <f>H4-I4</f>
        <v>10.189500375171413</v>
      </c>
      <c r="K4" t="e">
        <f t="array" aca="1" ref="K4:K14" ca="1">LEVERAGE(A4:B14)</f>
        <v>#NAME?</v>
      </c>
      <c r="L4">
        <f>J4/SQRT($T$6)</f>
        <v>1.7305289072382328</v>
      </c>
      <c r="M4" t="e">
        <f ca="1">($T$6-J4^2/((1-K4)*$T$5))*$T$5/($T$5-1)</f>
        <v>#NAME?</v>
      </c>
      <c r="N4" t="e">
        <f ca="1">J4/SQRT(M4*(1-K4))</f>
        <v>#NAME?</v>
      </c>
      <c r="O4" t="e">
        <f ca="1">TDIST(ABS(N4),$T$5,2)</f>
        <v>#NAME?</v>
      </c>
      <c r="P4" t="e">
        <f ca="1">(J4^2/$T$6)*(K4/(1-K4)^2)/($T$7+1)</f>
        <v>#NAME?</v>
      </c>
      <c r="Q4" t="e">
        <f ca="1">N4*SQRT(K4/(1-K4))</f>
        <v>#NAME?</v>
      </c>
      <c r="S4" t="s">
        <v>482</v>
      </c>
      <c r="T4" s="486">
        <f>DEVSQ(J4:J14)</f>
        <v>277.35630934823672</v>
      </c>
    </row>
    <row r="5" spans="1:20">
      <c r="A5" s="497">
        <v>3</v>
      </c>
      <c r="B5" s="497">
        <v>7</v>
      </c>
      <c r="C5" s="497">
        <v>38</v>
      </c>
      <c r="E5">
        <f>E4+1</f>
        <v>2</v>
      </c>
      <c r="F5">
        <f t="shared" si="0"/>
        <v>3</v>
      </c>
      <c r="G5">
        <f t="shared" si="1"/>
        <v>7</v>
      </c>
      <c r="H5">
        <f t="shared" si="2"/>
        <v>38</v>
      </c>
      <c r="I5">
        <v>42.746177132655426</v>
      </c>
      <c r="J5">
        <f t="shared" ref="J5:J14" si="3">H5-I5</f>
        <v>-4.7461771326554256</v>
      </c>
      <c r="K5" t="e">
        <f ca="1"/>
        <v>#NAME?</v>
      </c>
      <c r="L5">
        <f t="shared" ref="L5:L14" si="4">J5/SQRT($T$6)</f>
        <v>-0.80606471608232444</v>
      </c>
      <c r="M5" t="e">
        <f t="shared" ref="M5:M14" ca="1" si="5">($T$6-J5^2/((1-K5)*$T$5))*$T$5/($T$5-1)</f>
        <v>#NAME?</v>
      </c>
      <c r="N5" t="e">
        <f t="shared" ref="N5:N14" ca="1" si="6">J5/SQRT(M5*(1-K5))</f>
        <v>#NAME?</v>
      </c>
      <c r="O5" t="e">
        <f t="shared" ref="O5:O14" ca="1" si="7">TDIST(ABS(N5),$T$5,2)</f>
        <v>#NAME?</v>
      </c>
      <c r="P5" t="e">
        <f t="shared" ref="P5:P14" ca="1" si="8">(J5^2/$T$6)*(K5/(1-K5)^2)/($T$7+1)</f>
        <v>#NAME?</v>
      </c>
      <c r="Q5" t="e">
        <f t="shared" ref="Q5:Q14" ca="1" si="9">N5*SQRT(K5/(1-K5))</f>
        <v>#NAME?</v>
      </c>
      <c r="S5" t="s">
        <v>481</v>
      </c>
      <c r="T5" s="337">
        <f>COUNT(C4:C14)-T7-1</f>
        <v>8</v>
      </c>
    </row>
    <row r="6" spans="1:20">
      <c r="A6" s="497">
        <v>5</v>
      </c>
      <c r="B6" s="497">
        <v>8</v>
      </c>
      <c r="C6" s="497">
        <v>51</v>
      </c>
      <c r="E6">
        <f t="shared" ref="E6:E14" si="10">E5+1</f>
        <v>3</v>
      </c>
      <c r="F6">
        <f t="shared" si="0"/>
        <v>5</v>
      </c>
      <c r="G6">
        <f t="shared" si="1"/>
        <v>8</v>
      </c>
      <c r="H6">
        <f t="shared" si="2"/>
        <v>51</v>
      </c>
      <c r="I6">
        <v>56.295169344614344</v>
      </c>
      <c r="J6">
        <f t="shared" si="3"/>
        <v>-5.2951693446143437</v>
      </c>
      <c r="K6" t="e">
        <f ca="1"/>
        <v>#NAME?</v>
      </c>
      <c r="L6">
        <f t="shared" si="4"/>
        <v>-0.89930254499084783</v>
      </c>
      <c r="M6" t="e">
        <f t="shared" ca="1" si="5"/>
        <v>#NAME?</v>
      </c>
      <c r="N6" t="e">
        <f t="shared" ca="1" si="6"/>
        <v>#NAME?</v>
      </c>
      <c r="O6" t="e">
        <f t="shared" ca="1" si="7"/>
        <v>#NAME?</v>
      </c>
      <c r="P6" t="e">
        <f t="shared" ca="1" si="8"/>
        <v>#NAME?</v>
      </c>
      <c r="Q6" t="e">
        <f t="shared" ca="1" si="9"/>
        <v>#NAME?</v>
      </c>
      <c r="S6" t="s">
        <v>483</v>
      </c>
      <c r="T6" s="337">
        <f>T4/T5</f>
        <v>34.66953866852959</v>
      </c>
    </row>
    <row r="7" spans="1:20">
      <c r="A7" s="497">
        <v>8</v>
      </c>
      <c r="B7" s="497">
        <v>1</v>
      </c>
      <c r="C7" s="497">
        <v>38</v>
      </c>
      <c r="E7">
        <f t="shared" si="10"/>
        <v>4</v>
      </c>
      <c r="F7">
        <f t="shared" si="0"/>
        <v>8</v>
      </c>
      <c r="G7">
        <f t="shared" si="1"/>
        <v>1</v>
      </c>
      <c r="H7">
        <f t="shared" si="2"/>
        <v>38</v>
      </c>
      <c r="I7">
        <v>44.672126057595285</v>
      </c>
      <c r="J7">
        <f t="shared" si="3"/>
        <v>-6.6721260575952854</v>
      </c>
      <c r="K7" t="e">
        <f ca="1"/>
        <v>#NAME?</v>
      </c>
      <c r="L7">
        <f t="shared" si="4"/>
        <v>-1.1331573276684697</v>
      </c>
      <c r="M7" t="e">
        <f t="shared" ca="1" si="5"/>
        <v>#NAME?</v>
      </c>
      <c r="N7" t="e">
        <f t="shared" ca="1" si="6"/>
        <v>#NAME?</v>
      </c>
      <c r="O7" t="e">
        <f t="shared" ca="1" si="7"/>
        <v>#NAME?</v>
      </c>
      <c r="P7" t="e">
        <f t="shared" ca="1" si="8"/>
        <v>#NAME?</v>
      </c>
      <c r="Q7" t="e">
        <f t="shared" ca="1" si="9"/>
        <v>#NAME?</v>
      </c>
      <c r="S7" t="s">
        <v>23</v>
      </c>
      <c r="T7" s="375">
        <f>COUNT(A4:B4)</f>
        <v>2</v>
      </c>
    </row>
    <row r="8" spans="1:20">
      <c r="A8" s="497">
        <v>9</v>
      </c>
      <c r="B8" s="497">
        <v>3</v>
      </c>
      <c r="C8" s="497">
        <v>55</v>
      </c>
      <c r="E8">
        <f t="shared" si="10"/>
        <v>5</v>
      </c>
      <c r="F8">
        <f t="shared" si="0"/>
        <v>9</v>
      </c>
      <c r="G8">
        <f t="shared" si="1"/>
        <v>3</v>
      </c>
      <c r="H8">
        <f t="shared" si="2"/>
        <v>55</v>
      </c>
      <c r="I8">
        <v>57.084245387978996</v>
      </c>
      <c r="J8">
        <f t="shared" si="3"/>
        <v>-2.0842453879789957</v>
      </c>
      <c r="K8" t="e">
        <f ca="1"/>
        <v>#NAME?</v>
      </c>
      <c r="L8">
        <f t="shared" si="4"/>
        <v>-0.3539768154348728</v>
      </c>
      <c r="M8" t="e">
        <f t="shared" ca="1" si="5"/>
        <v>#NAME?</v>
      </c>
      <c r="N8" t="e">
        <f t="shared" ca="1" si="6"/>
        <v>#NAME?</v>
      </c>
      <c r="O8" t="e">
        <f t="shared" ca="1" si="7"/>
        <v>#NAME?</v>
      </c>
      <c r="P8" t="e">
        <f t="shared" ca="1" si="8"/>
        <v>#NAME?</v>
      </c>
      <c r="Q8" t="e">
        <f t="shared" ca="1" si="9"/>
        <v>#NAME?</v>
      </c>
    </row>
    <row r="9" spans="1:20">
      <c r="A9" s="497">
        <v>5</v>
      </c>
      <c r="B9" s="497">
        <v>4</v>
      </c>
      <c r="C9" s="497">
        <v>43</v>
      </c>
      <c r="E9">
        <f t="shared" si="10"/>
        <v>6</v>
      </c>
      <c r="F9">
        <f t="shared" si="0"/>
        <v>5</v>
      </c>
      <c r="G9">
        <f t="shared" si="1"/>
        <v>4</v>
      </c>
      <c r="H9">
        <f t="shared" si="2"/>
        <v>43</v>
      </c>
      <c r="I9">
        <v>41.261507412869676</v>
      </c>
      <c r="J9">
        <f t="shared" si="3"/>
        <v>1.7384925871303238</v>
      </c>
      <c r="K9" t="e">
        <f ca="1"/>
        <v>#NAME?</v>
      </c>
      <c r="L9">
        <f t="shared" si="4"/>
        <v>0.2952560543968572</v>
      </c>
      <c r="M9" t="e">
        <f t="shared" ca="1" si="5"/>
        <v>#NAME?</v>
      </c>
      <c r="N9" t="e">
        <f t="shared" ca="1" si="6"/>
        <v>#NAME?</v>
      </c>
      <c r="O9" t="e">
        <f t="shared" ca="1" si="7"/>
        <v>#NAME?</v>
      </c>
      <c r="P9" t="e">
        <f t="shared" ca="1" si="8"/>
        <v>#NAME?</v>
      </c>
      <c r="Q9" t="e">
        <f t="shared" ca="1" si="9"/>
        <v>#NAME?</v>
      </c>
    </row>
    <row r="10" spans="1:20">
      <c r="A10" s="497">
        <v>4</v>
      </c>
      <c r="B10" s="497">
        <v>0</v>
      </c>
      <c r="C10" s="497">
        <v>25</v>
      </c>
      <c r="E10">
        <f t="shared" si="10"/>
        <v>7</v>
      </c>
      <c r="F10">
        <f t="shared" si="0"/>
        <v>4</v>
      </c>
      <c r="G10">
        <f t="shared" si="1"/>
        <v>0</v>
      </c>
      <c r="H10">
        <f t="shared" si="2"/>
        <v>25</v>
      </c>
      <c r="I10">
        <v>21.332557116613632</v>
      </c>
      <c r="J10">
        <f t="shared" si="3"/>
        <v>3.6674428833863679</v>
      </c>
      <c r="K10" t="e">
        <f ca="1"/>
        <v>#NAME?</v>
      </c>
      <c r="L10">
        <f t="shared" si="4"/>
        <v>0.62285840244041202</v>
      </c>
      <c r="M10" t="e">
        <f t="shared" ca="1" si="5"/>
        <v>#NAME?</v>
      </c>
      <c r="N10" t="e">
        <f t="shared" ca="1" si="6"/>
        <v>#NAME?</v>
      </c>
      <c r="O10" t="e">
        <f t="shared" ca="1" si="7"/>
        <v>#NAME?</v>
      </c>
      <c r="P10" t="e">
        <f t="shared" ca="1" si="8"/>
        <v>#NAME?</v>
      </c>
      <c r="Q10" t="e">
        <f t="shared" ca="1" si="9"/>
        <v>#NAME?</v>
      </c>
    </row>
    <row r="11" spans="1:20">
      <c r="A11" s="497">
        <v>2</v>
      </c>
      <c r="B11" s="497">
        <v>6</v>
      </c>
      <c r="C11" s="497">
        <v>33</v>
      </c>
      <c r="E11">
        <f t="shared" si="10"/>
        <v>8</v>
      </c>
      <c r="F11">
        <f t="shared" si="0"/>
        <v>2</v>
      </c>
      <c r="G11">
        <f t="shared" si="1"/>
        <v>6</v>
      </c>
      <c r="H11">
        <f t="shared" si="2"/>
        <v>33</v>
      </c>
      <c r="I11">
        <v>34.092473285207895</v>
      </c>
      <c r="J11">
        <f t="shared" si="3"/>
        <v>-1.0924732852078947</v>
      </c>
      <c r="K11" t="e">
        <f ca="1"/>
        <v>#NAME?</v>
      </c>
      <c r="L11">
        <f t="shared" si="4"/>
        <v>-0.18553967621851886</v>
      </c>
      <c r="M11" t="e">
        <f t="shared" ca="1" si="5"/>
        <v>#NAME?</v>
      </c>
      <c r="N11" t="e">
        <f t="shared" ca="1" si="6"/>
        <v>#NAME?</v>
      </c>
      <c r="O11" t="e">
        <f t="shared" ca="1" si="7"/>
        <v>#NAME?</v>
      </c>
      <c r="P11" t="e">
        <f t="shared" ca="1" si="8"/>
        <v>#NAME?</v>
      </c>
      <c r="Q11" t="e">
        <f t="shared" ca="1" si="9"/>
        <v>#NAME?</v>
      </c>
    </row>
    <row r="12" spans="1:20">
      <c r="A12" s="497">
        <v>8</v>
      </c>
      <c r="B12" s="497">
        <v>7</v>
      </c>
      <c r="C12" s="497">
        <v>71</v>
      </c>
      <c r="E12">
        <f t="shared" si="10"/>
        <v>9</v>
      </c>
      <c r="F12">
        <f t="shared" si="0"/>
        <v>8</v>
      </c>
      <c r="G12">
        <f t="shared" si="1"/>
        <v>7</v>
      </c>
      <c r="H12">
        <f t="shared" si="2"/>
        <v>71</v>
      </c>
      <c r="I12">
        <v>67.222618955212283</v>
      </c>
      <c r="J12">
        <f t="shared" si="3"/>
        <v>3.7773810447877167</v>
      </c>
      <c r="K12" t="e">
        <f ca="1"/>
        <v>#NAME?</v>
      </c>
      <c r="L12">
        <f t="shared" si="4"/>
        <v>0.64152969733306831</v>
      </c>
      <c r="M12" t="e">
        <f t="shared" ca="1" si="5"/>
        <v>#NAME?</v>
      </c>
      <c r="N12" t="e">
        <f t="shared" ca="1" si="6"/>
        <v>#NAME?</v>
      </c>
      <c r="O12" t="e">
        <f t="shared" ca="1" si="7"/>
        <v>#NAME?</v>
      </c>
      <c r="P12" t="e">
        <f t="shared" ca="1" si="8"/>
        <v>#NAME?</v>
      </c>
      <c r="Q12" t="e">
        <f t="shared" ca="1" si="9"/>
        <v>#NAME?</v>
      </c>
    </row>
    <row r="13" spans="1:20">
      <c r="A13" s="497">
        <v>6</v>
      </c>
      <c r="B13" s="497">
        <v>4</v>
      </c>
      <c r="C13" s="497">
        <v>51</v>
      </c>
      <c r="E13">
        <f t="shared" si="10"/>
        <v>10</v>
      </c>
      <c r="F13">
        <f t="shared" si="0"/>
        <v>6</v>
      </c>
      <c r="G13">
        <f t="shared" si="1"/>
        <v>4</v>
      </c>
      <c r="H13">
        <f t="shared" si="2"/>
        <v>51</v>
      </c>
      <c r="I13">
        <v>46.156795777381042</v>
      </c>
      <c r="J13">
        <f t="shared" si="3"/>
        <v>4.843204222618958</v>
      </c>
      <c r="K13" t="e">
        <f ca="1"/>
        <v>#NAME?</v>
      </c>
      <c r="L13">
        <f t="shared" si="4"/>
        <v>0.82254326535214306</v>
      </c>
      <c r="M13" t="e">
        <f t="shared" ca="1" si="5"/>
        <v>#NAME?</v>
      </c>
      <c r="N13" t="e">
        <f t="shared" ca="1" si="6"/>
        <v>#NAME?</v>
      </c>
      <c r="O13" t="e">
        <f t="shared" ca="1" si="7"/>
        <v>#NAME?</v>
      </c>
      <c r="P13" t="e">
        <f t="shared" ca="1" si="8"/>
        <v>#NAME?</v>
      </c>
      <c r="Q13" t="e">
        <f t="shared" ca="1" si="9"/>
        <v>#NAME?</v>
      </c>
    </row>
    <row r="14" spans="1:20">
      <c r="A14" s="499">
        <v>9</v>
      </c>
      <c r="B14" s="499">
        <v>2</v>
      </c>
      <c r="C14" s="499">
        <v>49</v>
      </c>
      <c r="E14" s="380">
        <f t="shared" si="10"/>
        <v>11</v>
      </c>
      <c r="F14" s="380">
        <f t="shared" si="0"/>
        <v>9</v>
      </c>
      <c r="G14" s="380">
        <f t="shared" si="1"/>
        <v>2</v>
      </c>
      <c r="H14" s="380">
        <f t="shared" si="2"/>
        <v>49</v>
      </c>
      <c r="I14" s="380">
        <v>53.325829905042831</v>
      </c>
      <c r="J14" s="380">
        <f t="shared" si="3"/>
        <v>-4.3258299050428306</v>
      </c>
      <c r="K14" s="380" t="e">
        <f ca="1"/>
        <v>#NAME?</v>
      </c>
      <c r="L14" s="380">
        <f t="shared" si="4"/>
        <v>-0.73467524636567916</v>
      </c>
      <c r="M14" s="380" t="e">
        <f t="shared" ca="1" si="5"/>
        <v>#NAME?</v>
      </c>
      <c r="N14" s="380" t="e">
        <f t="shared" ca="1" si="6"/>
        <v>#NAME?</v>
      </c>
      <c r="O14" s="380" t="e">
        <f t="shared" ca="1" si="7"/>
        <v>#NAME?</v>
      </c>
      <c r="P14" s="380" t="e">
        <f t="shared" ca="1" si="8"/>
        <v>#NAME?</v>
      </c>
      <c r="Q14" s="380" t="e">
        <f t="shared" ca="1" si="9"/>
        <v>#NAME?</v>
      </c>
    </row>
    <row r="15" spans="1:20">
      <c r="A15" s="498"/>
      <c r="B15" s="498"/>
      <c r="C15" s="498"/>
    </row>
    <row r="16" spans="1:20">
      <c r="A16" s="497"/>
      <c r="B16" s="497"/>
      <c r="C16" s="497"/>
    </row>
    <row r="17" spans="1:3">
      <c r="A17" s="497"/>
      <c r="B17" s="497"/>
      <c r="C17" s="497"/>
    </row>
    <row r="18" spans="1:3">
      <c r="A18" s="497"/>
      <c r="B18" s="497"/>
      <c r="C18" s="497"/>
    </row>
    <row r="19" spans="1:3">
      <c r="A19" s="497"/>
      <c r="B19" s="497"/>
      <c r="C19" s="497"/>
    </row>
    <row r="20" spans="1:3">
      <c r="A20" s="497"/>
      <c r="B20" s="497"/>
      <c r="C20" s="497"/>
    </row>
    <row r="21" spans="1:3">
      <c r="A21" s="497"/>
      <c r="B21" s="497"/>
      <c r="C21" s="497"/>
    </row>
    <row r="22" spans="1:3">
      <c r="A22" s="497"/>
      <c r="B22" s="497"/>
      <c r="C22" s="497"/>
    </row>
    <row r="23" spans="1:3">
      <c r="A23" s="497"/>
      <c r="B23" s="497"/>
      <c r="C23" s="497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22"/>
  <dimension ref="A1:AC39"/>
  <sheetViews>
    <sheetView workbookViewId="0"/>
  </sheetViews>
  <sheetFormatPr defaultRowHeight="15"/>
  <cols>
    <col min="5" max="5" width="17.5703125" customWidth="1"/>
  </cols>
  <sheetData>
    <row r="1" spans="1:29">
      <c r="A1" s="1" t="s">
        <v>748</v>
      </c>
      <c r="E1" t="s">
        <v>601</v>
      </c>
      <c r="N1" t="s">
        <v>476</v>
      </c>
    </row>
    <row r="2" spans="1:29" ht="15.75" thickBot="1"/>
    <row r="3" spans="1:29" ht="16.5" thickTop="1" thickBot="1">
      <c r="A3" s="112" t="s">
        <v>296</v>
      </c>
      <c r="B3" s="112" t="s">
        <v>297</v>
      </c>
      <c r="C3" s="112" t="s">
        <v>290</v>
      </c>
      <c r="E3" s="364" t="s">
        <v>606</v>
      </c>
      <c r="F3" s="364"/>
      <c r="H3" s="364"/>
      <c r="I3" s="364"/>
      <c r="N3" s="398" t="s">
        <v>55</v>
      </c>
      <c r="O3" s="398" t="str">
        <f>A3</f>
        <v>Color</v>
      </c>
      <c r="P3" s="398" t="str">
        <f>B3</f>
        <v>Quality</v>
      </c>
      <c r="Q3" s="398" t="str">
        <f>C3</f>
        <v>Price</v>
      </c>
      <c r="R3" s="398" t="s">
        <v>471</v>
      </c>
      <c r="S3" s="398" t="s">
        <v>211</v>
      </c>
      <c r="T3" s="398" t="s">
        <v>472</v>
      </c>
      <c r="U3" s="398" t="s">
        <v>623</v>
      </c>
      <c r="V3" s="398" t="s">
        <v>473</v>
      </c>
      <c r="W3" s="398" t="s">
        <v>474</v>
      </c>
      <c r="X3" s="398" t="s">
        <v>595</v>
      </c>
      <c r="Y3" s="398" t="s">
        <v>476</v>
      </c>
      <c r="Z3" s="398" t="s">
        <v>594</v>
      </c>
    </row>
    <row r="4" spans="1:29" ht="15.75" thickTop="1">
      <c r="A4" s="503">
        <v>7</v>
      </c>
      <c r="B4" s="503">
        <v>5</v>
      </c>
      <c r="C4" s="503">
        <v>65</v>
      </c>
      <c r="E4" t="s">
        <v>208</v>
      </c>
      <c r="F4" t="e">
        <f ca="1">SQRT(F5)</f>
        <v>#NAME?</v>
      </c>
      <c r="H4" t="s">
        <v>498</v>
      </c>
      <c r="I4" t="e">
        <f ca="1">F8*LN(G13/F8)+2*F12</f>
        <v>#NAME?</v>
      </c>
      <c r="N4">
        <v>1</v>
      </c>
      <c r="O4">
        <f t="shared" ref="O4:O14" si="0">A4</f>
        <v>7</v>
      </c>
      <c r="P4">
        <f t="shared" ref="P4:P14" si="1">B4</f>
        <v>5</v>
      </c>
      <c r="Q4">
        <f t="shared" ref="Q4:Q14" si="2">C4</f>
        <v>65</v>
      </c>
      <c r="R4">
        <f t="array" ref="R4:R14">TREND(C4:C14,A4:B14,,FALSE)</f>
        <v>54.971484121840575</v>
      </c>
      <c r="S4">
        <f>Q4-R4</f>
        <v>10.028515878159425</v>
      </c>
      <c r="T4" t="e">
        <f t="array" aca="1" ref="T4:T14" ca="1">LEVERAGE(A4:B14,FALSE)</f>
        <v>#NAME?</v>
      </c>
      <c r="U4">
        <f>S4/SQRT($AC$6)</f>
        <v>1.7993969907778364</v>
      </c>
      <c r="V4" t="e">
        <f ca="1">($AC$6-S4^2/((1-T4)*$AC$5))*$AC$5/($AC$5-1)</f>
        <v>#NAME?</v>
      </c>
      <c r="W4" t="e">
        <f ca="1">S4/SQRT(V4*(1-T4))</f>
        <v>#NAME?</v>
      </c>
      <c r="X4" t="e">
        <f ca="1">TDIST(ABS(W4),$AC$5,2)</f>
        <v>#NAME?</v>
      </c>
      <c r="Y4" t="e">
        <f ca="1">(S4^2/$AC$6)*(T4/(1-T4)^2)/$AC$7</f>
        <v>#NAME?</v>
      </c>
      <c r="Z4" t="e">
        <f ca="1">W4*SQRT(T4/(1-T4))</f>
        <v>#NAME?</v>
      </c>
      <c r="AB4" t="s">
        <v>482</v>
      </c>
      <c r="AC4" s="486">
        <f>SUMSQ(S4:S14)</f>
        <v>279.55152300712899</v>
      </c>
    </row>
    <row r="5" spans="1:29">
      <c r="A5" s="503">
        <v>3</v>
      </c>
      <c r="B5" s="503">
        <v>7</v>
      </c>
      <c r="C5" s="503">
        <v>38</v>
      </c>
      <c r="E5" t="s">
        <v>201</v>
      </c>
      <c r="F5" t="e">
        <f ca="1">G12/G14</f>
        <v>#NAME?</v>
      </c>
      <c r="H5" t="s">
        <v>499</v>
      </c>
      <c r="I5" t="e">
        <f ca="1">I4+2*(F12+1)*(F12+2)/(F8-F12-2)</f>
        <v>#NAME?</v>
      </c>
      <c r="N5">
        <f>N4+1</f>
        <v>2</v>
      </c>
      <c r="O5">
        <f t="shared" si="0"/>
        <v>3</v>
      </c>
      <c r="P5">
        <f t="shared" si="1"/>
        <v>7</v>
      </c>
      <c r="Q5">
        <f t="shared" si="2"/>
        <v>38</v>
      </c>
      <c r="R5">
        <v>42.462086843810752</v>
      </c>
      <c r="S5">
        <f t="shared" ref="S5:S14" si="3">Q5-R5</f>
        <v>-4.4620868438107522</v>
      </c>
      <c r="T5" t="e">
        <f ca="1"/>
        <v>#NAME?</v>
      </c>
      <c r="U5">
        <f t="shared" ref="U5:U14" si="4">S5/SQRT($AC$6)</f>
        <v>-0.80062351567179735</v>
      </c>
      <c r="V5" t="e">
        <f t="shared" ref="V5:V14" ca="1" si="5">($AC$6-S5^2/((1-T5)*$AC$5))*$AC$5/($AC$5-1)</f>
        <v>#NAME?</v>
      </c>
      <c r="W5" t="e">
        <f t="shared" ref="W5:W14" ca="1" si="6">S5/SQRT(V5*(1-T5))</f>
        <v>#NAME?</v>
      </c>
      <c r="X5" t="e">
        <f t="shared" ref="X5:X14" ca="1" si="7">TDIST(ABS(W5),$AC$5,2)</f>
        <v>#NAME?</v>
      </c>
      <c r="Y5" t="e">
        <f ca="1">(S5^2/$AC$6)*(T5/(1-T5)^2)/$AC$7</f>
        <v>#NAME?</v>
      </c>
      <c r="Z5" t="e">
        <f t="shared" ref="Z5:Z14" ca="1" si="8">W5*SQRT(T5/(1-T5))</f>
        <v>#NAME?</v>
      </c>
      <c r="AB5" t="s">
        <v>481</v>
      </c>
      <c r="AC5" s="337">
        <f>COUNT(C4:C14)-AC7</f>
        <v>9</v>
      </c>
    </row>
    <row r="6" spans="1:29">
      <c r="A6" s="503">
        <v>5</v>
      </c>
      <c r="B6" s="503">
        <v>8</v>
      </c>
      <c r="C6" s="503">
        <v>51</v>
      </c>
      <c r="E6" t="s">
        <v>209</v>
      </c>
      <c r="F6" t="e">
        <f ca="1">1-(1-F5)*F8/(F8-F12)</f>
        <v>#NAME?</v>
      </c>
      <c r="H6" s="380" t="s">
        <v>762</v>
      </c>
      <c r="I6" s="380" t="e">
        <f ca="1">F8*LN(G13/F8)+F12*LN(F8)</f>
        <v>#NAME?</v>
      </c>
      <c r="N6">
        <f t="shared" ref="N6:N14" si="9">N5+1</f>
        <v>3</v>
      </c>
      <c r="O6">
        <f t="shared" si="0"/>
        <v>5</v>
      </c>
      <c r="P6">
        <f t="shared" si="1"/>
        <v>8</v>
      </c>
      <c r="Q6">
        <f t="shared" si="2"/>
        <v>51</v>
      </c>
      <c r="R6">
        <v>56.500324044069998</v>
      </c>
      <c r="S6">
        <f t="shared" si="3"/>
        <v>-5.5003240440699983</v>
      </c>
      <c r="T6" t="e">
        <f ca="1"/>
        <v>#NAME?</v>
      </c>
      <c r="U6">
        <f t="shared" si="4"/>
        <v>-0.98691238598497599</v>
      </c>
      <c r="V6" t="e">
        <f t="shared" ca="1" si="5"/>
        <v>#NAME?</v>
      </c>
      <c r="W6" t="e">
        <f t="shared" ca="1" si="6"/>
        <v>#NAME?</v>
      </c>
      <c r="X6" t="e">
        <f t="shared" ca="1" si="7"/>
        <v>#NAME?</v>
      </c>
      <c r="Y6" t="e">
        <f t="shared" ref="Y6:Y14" ca="1" si="10">(S6^2/$AC$6)*(T6/(1-T6)^2)/$AC$7</f>
        <v>#NAME?</v>
      </c>
      <c r="Z6" t="e">
        <f t="shared" ca="1" si="8"/>
        <v>#NAME?</v>
      </c>
      <c r="AB6" t="s">
        <v>483</v>
      </c>
      <c r="AC6" s="337">
        <f>AC4/AC5</f>
        <v>31.061280334125442</v>
      </c>
    </row>
    <row r="7" spans="1:29">
      <c r="A7" s="503">
        <v>8</v>
      </c>
      <c r="B7" s="503">
        <v>1</v>
      </c>
      <c r="C7" s="503">
        <v>38</v>
      </c>
      <c r="E7" t="s">
        <v>9</v>
      </c>
      <c r="F7" t="e">
        <f ca="1">SQRT(H13)</f>
        <v>#NAME?</v>
      </c>
      <c r="N7">
        <f t="shared" si="9"/>
        <v>4</v>
      </c>
      <c r="O7">
        <f t="shared" si="0"/>
        <v>8</v>
      </c>
      <c r="P7">
        <f t="shared" si="1"/>
        <v>1</v>
      </c>
      <c r="Q7">
        <f t="shared" si="2"/>
        <v>38</v>
      </c>
      <c r="R7">
        <v>44.477640959170458</v>
      </c>
      <c r="S7">
        <f t="shared" si="3"/>
        <v>-6.4776409591704578</v>
      </c>
      <c r="T7" t="e">
        <f ca="1"/>
        <v>#NAME?</v>
      </c>
      <c r="U7">
        <f t="shared" si="4"/>
        <v>-1.1622704486767812</v>
      </c>
      <c r="V7" t="e">
        <f t="shared" ca="1" si="5"/>
        <v>#NAME?</v>
      </c>
      <c r="W7" t="e">
        <f t="shared" ca="1" si="6"/>
        <v>#NAME?</v>
      </c>
      <c r="X7" t="e">
        <f t="shared" ca="1" si="7"/>
        <v>#NAME?</v>
      </c>
      <c r="Y7" t="e">
        <f t="shared" ca="1" si="10"/>
        <v>#NAME?</v>
      </c>
      <c r="Z7" t="e">
        <f t="shared" ca="1" si="8"/>
        <v>#NAME?</v>
      </c>
      <c r="AB7" t="s">
        <v>23</v>
      </c>
      <c r="AC7" s="375">
        <f>COUNT(A4:B4)</f>
        <v>2</v>
      </c>
    </row>
    <row r="8" spans="1:29">
      <c r="A8" s="503">
        <v>9</v>
      </c>
      <c r="B8" s="503">
        <v>3</v>
      </c>
      <c r="C8" s="503">
        <v>55</v>
      </c>
      <c r="E8" s="380" t="s">
        <v>42</v>
      </c>
      <c r="F8" s="380">
        <f>COUNT(C4:C14)</f>
        <v>11</v>
      </c>
      <c r="N8">
        <f t="shared" si="9"/>
        <v>5</v>
      </c>
      <c r="O8">
        <f t="shared" si="0"/>
        <v>9</v>
      </c>
      <c r="P8">
        <f t="shared" si="1"/>
        <v>3</v>
      </c>
      <c r="Q8">
        <f t="shared" si="2"/>
        <v>55</v>
      </c>
      <c r="R8">
        <v>57.334413480233323</v>
      </c>
      <c r="S8">
        <f t="shared" si="3"/>
        <v>-2.334413480233323</v>
      </c>
      <c r="T8" t="e">
        <f ca="1"/>
        <v>#NAME?</v>
      </c>
      <c r="U8">
        <f t="shared" si="4"/>
        <v>-0.41885924523599594</v>
      </c>
      <c r="V8" t="e">
        <f t="shared" ca="1" si="5"/>
        <v>#NAME?</v>
      </c>
      <c r="W8" t="e">
        <f t="shared" ca="1" si="6"/>
        <v>#NAME?</v>
      </c>
      <c r="X8" t="e">
        <f t="shared" ca="1" si="7"/>
        <v>#NAME?</v>
      </c>
      <c r="Y8" t="e">
        <f t="shared" ca="1" si="10"/>
        <v>#NAME?</v>
      </c>
      <c r="Z8" t="e">
        <f t="shared" ca="1" si="8"/>
        <v>#NAME?</v>
      </c>
    </row>
    <row r="9" spans="1:29">
      <c r="A9" s="503">
        <v>5</v>
      </c>
      <c r="B9" s="503">
        <v>4</v>
      </c>
      <c r="C9" s="503">
        <v>43</v>
      </c>
      <c r="N9">
        <f t="shared" si="9"/>
        <v>6</v>
      </c>
      <c r="O9">
        <f t="shared" si="0"/>
        <v>5</v>
      </c>
      <c r="P9">
        <f t="shared" si="1"/>
        <v>4</v>
      </c>
      <c r="Q9">
        <f t="shared" si="2"/>
        <v>43</v>
      </c>
      <c r="R9">
        <v>40.933246921581343</v>
      </c>
      <c r="S9">
        <f t="shared" si="3"/>
        <v>2.0667530784186567</v>
      </c>
      <c r="T9" t="e">
        <f ca="1"/>
        <v>#NAME?</v>
      </c>
      <c r="U9">
        <f t="shared" si="4"/>
        <v>0.37083346281443069</v>
      </c>
      <c r="V9" t="e">
        <f t="shared" ca="1" si="5"/>
        <v>#NAME?</v>
      </c>
      <c r="W9" t="e">
        <f t="shared" ca="1" si="6"/>
        <v>#NAME?</v>
      </c>
      <c r="X9" t="e">
        <f t="shared" ca="1" si="7"/>
        <v>#NAME?</v>
      </c>
      <c r="Y9" t="e">
        <f t="shared" ca="1" si="10"/>
        <v>#NAME?</v>
      </c>
      <c r="Z9" t="e">
        <f t="shared" ca="1" si="8"/>
        <v>#NAME?</v>
      </c>
    </row>
    <row r="10" spans="1:29" ht="15.75" thickBot="1">
      <c r="A10" s="503">
        <v>4</v>
      </c>
      <c r="B10" s="503">
        <v>0</v>
      </c>
      <c r="C10" s="503">
        <v>25</v>
      </c>
      <c r="E10" t="s">
        <v>210</v>
      </c>
      <c r="I10" s="508" t="s">
        <v>16</v>
      </c>
      <c r="J10" s="508">
        <v>0.05</v>
      </c>
      <c r="N10">
        <f t="shared" si="9"/>
        <v>7</v>
      </c>
      <c r="O10">
        <f t="shared" si="0"/>
        <v>4</v>
      </c>
      <c r="P10">
        <f t="shared" si="1"/>
        <v>0</v>
      </c>
      <c r="Q10">
        <f t="shared" si="2"/>
        <v>25</v>
      </c>
      <c r="R10">
        <v>20.292935839274147</v>
      </c>
      <c r="S10">
        <f t="shared" si="3"/>
        <v>4.707064160725853</v>
      </c>
      <c r="T10" t="e">
        <f ca="1"/>
        <v>#NAME?</v>
      </c>
      <c r="U10">
        <f t="shared" si="4"/>
        <v>0.84457931653220986</v>
      </c>
      <c r="V10" t="e">
        <f t="shared" ca="1" si="5"/>
        <v>#NAME?</v>
      </c>
      <c r="W10" t="e">
        <f t="shared" ca="1" si="6"/>
        <v>#NAME?</v>
      </c>
      <c r="X10" t="e">
        <f t="shared" ca="1" si="7"/>
        <v>#NAME?</v>
      </c>
      <c r="Y10" t="e">
        <f t="shared" ca="1" si="10"/>
        <v>#NAME?</v>
      </c>
      <c r="Z10" t="e">
        <f t="shared" ca="1" si="8"/>
        <v>#NAME?</v>
      </c>
    </row>
    <row r="11" spans="1:29" ht="15.75" thickTop="1">
      <c r="A11" s="503">
        <v>2</v>
      </c>
      <c r="B11" s="503">
        <v>6</v>
      </c>
      <c r="C11" s="503">
        <v>33</v>
      </c>
      <c r="E11" s="398"/>
      <c r="F11" s="398" t="s">
        <v>26</v>
      </c>
      <c r="G11" s="398" t="s">
        <v>137</v>
      </c>
      <c r="H11" s="398" t="s">
        <v>156</v>
      </c>
      <c r="I11" s="398" t="s">
        <v>63</v>
      </c>
      <c r="J11" s="398" t="s">
        <v>30</v>
      </c>
      <c r="K11" s="398" t="s">
        <v>374</v>
      </c>
      <c r="N11">
        <f t="shared" si="9"/>
        <v>8</v>
      </c>
      <c r="O11">
        <f t="shared" si="0"/>
        <v>2</v>
      </c>
      <c r="P11">
        <f t="shared" si="1"/>
        <v>6</v>
      </c>
      <c r="Q11">
        <f t="shared" si="2"/>
        <v>33</v>
      </c>
      <c r="R11">
        <v>33.497083603370058</v>
      </c>
      <c r="S11">
        <f t="shared" si="3"/>
        <v>-0.49708360337005786</v>
      </c>
      <c r="T11" t="e">
        <f ca="1"/>
        <v>#NAME?</v>
      </c>
      <c r="U11">
        <f t="shared" si="4"/>
        <v>-8.9190738782900347E-2</v>
      </c>
      <c r="V11" t="e">
        <f t="shared" ca="1" si="5"/>
        <v>#NAME?</v>
      </c>
      <c r="W11" t="e">
        <f t="shared" ca="1" si="6"/>
        <v>#NAME?</v>
      </c>
      <c r="X11" t="e">
        <f t="shared" ca="1" si="7"/>
        <v>#NAME?</v>
      </c>
      <c r="Y11" t="e">
        <f t="shared" ca="1" si="10"/>
        <v>#NAME?</v>
      </c>
      <c r="Z11" t="e">
        <f t="shared" ca="1" si="8"/>
        <v>#NAME?</v>
      </c>
    </row>
    <row r="12" spans="1:29">
      <c r="A12" s="503">
        <v>8</v>
      </c>
      <c r="B12" s="503">
        <v>7</v>
      </c>
      <c r="C12" s="503">
        <v>71</v>
      </c>
      <c r="E12" t="s">
        <v>138</v>
      </c>
      <c r="F12">
        <f>COUNT(A4:B4)</f>
        <v>2</v>
      </c>
      <c r="G12" t="e">
        <f ca="1">SUMSQ(MMULT(A4:B14,F17:F18))</f>
        <v>#NAME?</v>
      </c>
      <c r="H12" t="e">
        <f ca="1">G12/F12</f>
        <v>#NAME?</v>
      </c>
      <c r="I12" t="e">
        <f ca="1">H12/H13</f>
        <v>#NAME?</v>
      </c>
      <c r="J12" t="e">
        <f ca="1">FDIST(I12,F12,F13)</f>
        <v>#NAME?</v>
      </c>
      <c r="K12" s="508" t="e">
        <f ca="1">IF(J12&lt;J10,"yes","no")</f>
        <v>#NAME?</v>
      </c>
      <c r="N12">
        <f t="shared" si="9"/>
        <v>9</v>
      </c>
      <c r="O12">
        <f t="shared" si="0"/>
        <v>8</v>
      </c>
      <c r="P12">
        <f t="shared" si="1"/>
        <v>7</v>
      </c>
      <c r="Q12">
        <f t="shared" si="2"/>
        <v>71</v>
      </c>
      <c r="R12">
        <v>67.82825664290344</v>
      </c>
      <c r="S12">
        <f t="shared" si="3"/>
        <v>3.1717433570965596</v>
      </c>
      <c r="T12" t="e">
        <f ca="1"/>
        <v>#NAME?</v>
      </c>
      <c r="U12">
        <f t="shared" si="4"/>
        <v>0.56909970743613292</v>
      </c>
      <c r="V12" t="e">
        <f t="shared" ca="1" si="5"/>
        <v>#NAME?</v>
      </c>
      <c r="W12" t="e">
        <f t="shared" ca="1" si="6"/>
        <v>#NAME?</v>
      </c>
      <c r="X12" t="e">
        <f t="shared" ca="1" si="7"/>
        <v>#NAME?</v>
      </c>
      <c r="Y12" t="e">
        <f t="shared" ca="1" si="10"/>
        <v>#NAME?</v>
      </c>
      <c r="Z12" t="e">
        <f t="shared" ca="1" si="8"/>
        <v>#NAME?</v>
      </c>
    </row>
    <row r="13" spans="1:29">
      <c r="A13" s="503">
        <v>6</v>
      </c>
      <c r="B13" s="503">
        <v>4</v>
      </c>
      <c r="C13" s="503">
        <v>51</v>
      </c>
      <c r="E13" t="s">
        <v>211</v>
      </c>
      <c r="F13">
        <f>F14-F12</f>
        <v>9</v>
      </c>
      <c r="G13" t="e">
        <f ca="1">G14-G12</f>
        <v>#NAME?</v>
      </c>
      <c r="H13" t="e">
        <f ca="1">G13/F13</f>
        <v>#NAME?</v>
      </c>
      <c r="N13">
        <f t="shared" si="9"/>
        <v>10</v>
      </c>
      <c r="O13">
        <f t="shared" si="0"/>
        <v>6</v>
      </c>
      <c r="P13">
        <f t="shared" si="1"/>
        <v>4</v>
      </c>
      <c r="Q13">
        <f t="shared" si="2"/>
        <v>51</v>
      </c>
      <c r="R13">
        <v>46.006480881399874</v>
      </c>
      <c r="S13">
        <f t="shared" si="3"/>
        <v>4.9935191186001262</v>
      </c>
      <c r="T13" t="e">
        <f ca="1"/>
        <v>#NAME?</v>
      </c>
      <c r="U13">
        <f t="shared" si="4"/>
        <v>0.89597736939015293</v>
      </c>
      <c r="V13" t="e">
        <f t="shared" ca="1" si="5"/>
        <v>#NAME?</v>
      </c>
      <c r="W13" t="e">
        <f t="shared" ca="1" si="6"/>
        <v>#NAME?</v>
      </c>
      <c r="X13" t="e">
        <f t="shared" ca="1" si="7"/>
        <v>#NAME?</v>
      </c>
      <c r="Y13" t="e">
        <f t="shared" ca="1" si="10"/>
        <v>#NAME?</v>
      </c>
      <c r="Z13" t="e">
        <f t="shared" ca="1" si="8"/>
        <v>#NAME?</v>
      </c>
    </row>
    <row r="14" spans="1:29">
      <c r="A14" s="504">
        <v>9</v>
      </c>
      <c r="B14" s="504">
        <v>2</v>
      </c>
      <c r="C14" s="504">
        <v>49</v>
      </c>
      <c r="E14" s="380" t="s">
        <v>1</v>
      </c>
      <c r="F14" s="380">
        <f>F8</f>
        <v>11</v>
      </c>
      <c r="G14" s="380">
        <f>SUMSQ(C4:C14)</f>
        <v>26345</v>
      </c>
      <c r="H14" s="380"/>
      <c r="I14" s="380"/>
      <c r="J14" s="380"/>
      <c r="K14" s="380"/>
      <c r="N14" s="380">
        <f t="shared" si="9"/>
        <v>11</v>
      </c>
      <c r="O14" s="380">
        <f t="shared" si="0"/>
        <v>9</v>
      </c>
      <c r="P14" s="380">
        <f t="shared" si="1"/>
        <v>2</v>
      </c>
      <c r="Q14" s="380">
        <f t="shared" si="2"/>
        <v>49</v>
      </c>
      <c r="R14" s="380">
        <v>53.442644199611159</v>
      </c>
      <c r="S14" s="380">
        <f t="shared" si="3"/>
        <v>-4.4426441996111592</v>
      </c>
      <c r="T14" s="380" t="e">
        <f ca="1"/>
        <v>#NAME?</v>
      </c>
      <c r="U14" s="380">
        <f t="shared" si="4"/>
        <v>-0.79713496004795836</v>
      </c>
      <c r="V14" s="380" t="e">
        <f t="shared" ca="1" si="5"/>
        <v>#NAME?</v>
      </c>
      <c r="W14" s="380" t="e">
        <f t="shared" ca="1" si="6"/>
        <v>#NAME?</v>
      </c>
      <c r="X14" s="380" t="e">
        <f t="shared" ca="1" si="7"/>
        <v>#NAME?</v>
      </c>
      <c r="Y14" s="380" t="e">
        <f t="shared" ca="1" si="10"/>
        <v>#NAME?</v>
      </c>
      <c r="Z14" s="380" t="e">
        <f t="shared" ca="1" si="8"/>
        <v>#NAME?</v>
      </c>
    </row>
    <row r="15" spans="1:29" ht="15.75" thickBot="1"/>
    <row r="16" spans="1:29" ht="15.75" thickTop="1">
      <c r="E16" s="398"/>
      <c r="F16" s="398" t="s">
        <v>600</v>
      </c>
      <c r="G16" s="398" t="s">
        <v>503</v>
      </c>
      <c r="H16" s="398" t="s">
        <v>27</v>
      </c>
      <c r="I16" s="398" t="s">
        <v>30</v>
      </c>
      <c r="J16" s="398" t="s">
        <v>13</v>
      </c>
      <c r="K16" s="398" t="s">
        <v>14</v>
      </c>
      <c r="L16" s="398" t="s">
        <v>750</v>
      </c>
    </row>
    <row r="17" spans="5:29">
      <c r="E17" t="str">
        <f t="array" ref="E17:E18">TRANSPOSE(A3:B3)</f>
        <v>Color</v>
      </c>
      <c r="F17" t="e">
        <f t="array" aca="1" ref="F17:G18" ca="1">RegCoeff(A4:B14,C4:C14,FALSE)</f>
        <v>#NAME?</v>
      </c>
      <c r="G17" t="e">
        <f ca="1"/>
        <v>#NAME?</v>
      </c>
      <c r="H17" t="e">
        <f ca="1">F17/G17</f>
        <v>#NAME?</v>
      </c>
      <c r="I17" t="e">
        <f ca="1">TDIST(ABS(H17),$F$13,2)</f>
        <v>#NAME?</v>
      </c>
      <c r="J17" t="e">
        <f ca="1">F17-TINV(J$10,$F$13)*G17</f>
        <v>#NAME?</v>
      </c>
      <c r="K17" t="e">
        <f ca="1">F17+TINV(J$10,$F$13)*G17</f>
        <v>#NAME?</v>
      </c>
      <c r="L17" t="e">
        <f ca="1">VIF(A4:B14,1)</f>
        <v>#NAME?</v>
      </c>
    </row>
    <row r="18" spans="5:29">
      <c r="E18" s="380" t="str">
        <v>Quality</v>
      </c>
      <c r="F18" s="380" t="e">
        <f ca="1"/>
        <v>#NAME?</v>
      </c>
      <c r="G18" s="380" t="e">
        <f ca="1"/>
        <v>#NAME?</v>
      </c>
      <c r="H18" s="380" t="e">
        <f ca="1">F18/G18</f>
        <v>#NAME?</v>
      </c>
      <c r="I18" s="380" t="e">
        <f ca="1">TDIST(ABS(H18),$F$13,2)</f>
        <v>#NAME?</v>
      </c>
      <c r="J18" s="380" t="e">
        <f ca="1">F18-TINV(J$10,$F$13)*G18</f>
        <v>#NAME?</v>
      </c>
      <c r="K18" s="380" t="e">
        <f ca="1">F18+TINV(J$10,$F$13)*G18</f>
        <v>#NAME?</v>
      </c>
      <c r="L18" s="380" t="e">
        <f ca="1">VIF(A4:B14,2)</f>
        <v>#NAME?</v>
      </c>
    </row>
    <row r="21" spans="5:29">
      <c r="E21" t="s">
        <v>751</v>
      </c>
      <c r="N21" t="s">
        <v>476</v>
      </c>
    </row>
    <row r="22" spans="5:29" ht="15.75" thickBot="1"/>
    <row r="23" spans="5:29" ht="16.5" thickTop="1" thickBot="1">
      <c r="E23" s="364" t="s">
        <v>606</v>
      </c>
      <c r="F23" s="364"/>
      <c r="H23" s="364"/>
      <c r="I23" s="364"/>
      <c r="N23" s="398" t="s">
        <v>55</v>
      </c>
      <c r="O23" s="398" t="str">
        <f t="shared" ref="O23:O34" si="11">A3</f>
        <v>Color</v>
      </c>
      <c r="P23" s="398" t="str">
        <f t="shared" ref="P23:P34" si="12">B3</f>
        <v>Quality</v>
      </c>
      <c r="Q23" s="398" t="str">
        <f t="shared" ref="Q23:Q34" si="13">C3</f>
        <v>Price</v>
      </c>
      <c r="R23" s="398" t="s">
        <v>471</v>
      </c>
      <c r="S23" s="398" t="s">
        <v>211</v>
      </c>
      <c r="T23" s="398" t="s">
        <v>472</v>
      </c>
      <c r="U23" s="398" t="s">
        <v>623</v>
      </c>
      <c r="V23" s="398" t="s">
        <v>473</v>
      </c>
      <c r="W23" s="398" t="s">
        <v>474</v>
      </c>
      <c r="X23" s="398" t="s">
        <v>595</v>
      </c>
      <c r="Y23" s="398" t="s">
        <v>476</v>
      </c>
      <c r="Z23" s="398" t="s">
        <v>594</v>
      </c>
    </row>
    <row r="24" spans="5:29" ht="15.75" thickTop="1">
      <c r="E24" t="s">
        <v>208</v>
      </c>
      <c r="F24" t="e">
        <f ca="1">SQRT(F25)</f>
        <v>#NAME?</v>
      </c>
      <c r="H24" t="s">
        <v>498</v>
      </c>
      <c r="I24" t="e">
        <f ca="1">F28*LN(G33/F28)+2*(F32+1)</f>
        <v>#NAME?</v>
      </c>
      <c r="N24">
        <v>1</v>
      </c>
      <c r="O24">
        <f t="shared" si="11"/>
        <v>7</v>
      </c>
      <c r="P24">
        <f t="shared" si="12"/>
        <v>5</v>
      </c>
      <c r="Q24">
        <f t="shared" si="13"/>
        <v>65</v>
      </c>
      <c r="R24">
        <f t="array" ref="R24:R34">TREND(C4:C14,A4:B14)</f>
        <v>54.810499624828587</v>
      </c>
      <c r="S24">
        <f>Q24-R24</f>
        <v>10.189500375171413</v>
      </c>
      <c r="T24" t="e">
        <f t="array" aca="1" ref="T24:T34" ca="1">LEVERAGE(A4:B14)</f>
        <v>#NAME?</v>
      </c>
      <c r="U24">
        <f>S24/SQRT($AC$26)</f>
        <v>1.7305289072382328</v>
      </c>
      <c r="V24" t="e">
        <f ca="1">($AC$26-S24^2/((1-T24)*$AC$25))*$AC$25/($AC$25-1)</f>
        <v>#NAME?</v>
      </c>
      <c r="W24" t="e">
        <f ca="1">S24/SQRT(V24*(1-T24))</f>
        <v>#NAME?</v>
      </c>
      <c r="X24" t="e">
        <f ca="1">TDIST(ABS(W24),$AC$25,2)</f>
        <v>#NAME?</v>
      </c>
      <c r="Y24" t="e">
        <f ca="1">(S24^2/$AC$26)*(T24/(1-T24)^2)/($AC$27+1)</f>
        <v>#NAME?</v>
      </c>
      <c r="Z24" t="e">
        <f ca="1">W24*SQRT(T24/(1-T24))</f>
        <v>#NAME?</v>
      </c>
      <c r="AB24" t="s">
        <v>482</v>
      </c>
      <c r="AC24" s="486">
        <f>DEVSQ(S24:S34)</f>
        <v>277.35630934823672</v>
      </c>
    </row>
    <row r="25" spans="5:29">
      <c r="E25" t="s">
        <v>201</v>
      </c>
      <c r="F25" t="e">
        <f ca="1">G32/G34</f>
        <v>#NAME?</v>
      </c>
      <c r="H25" t="s">
        <v>499</v>
      </c>
      <c r="I25" t="e">
        <f ca="1">I24+2*(F32+2)*(F32+3)/(F28-F32-3)</f>
        <v>#NAME?</v>
      </c>
      <c r="N25">
        <f>N24+1</f>
        <v>2</v>
      </c>
      <c r="O25">
        <f t="shared" si="11"/>
        <v>3</v>
      </c>
      <c r="P25">
        <f t="shared" si="12"/>
        <v>7</v>
      </c>
      <c r="Q25">
        <f t="shared" si="13"/>
        <v>38</v>
      </c>
      <c r="R25">
        <v>42.746177132655426</v>
      </c>
      <c r="S25">
        <f t="shared" ref="S25:S34" si="14">Q25-R25</f>
        <v>-4.7461771326554256</v>
      </c>
      <c r="T25" t="e">
        <f ca="1"/>
        <v>#NAME?</v>
      </c>
      <c r="U25">
        <f t="shared" ref="U25:U34" si="15">S25/SQRT($AC$26)</f>
        <v>-0.80606471608232444</v>
      </c>
      <c r="V25" t="e">
        <f t="shared" ref="V25:V34" ca="1" si="16">($AC$26-S25^2/((1-T25)*$AC$25))*$AC$25/($AC$25-1)</f>
        <v>#NAME?</v>
      </c>
      <c r="W25" t="e">
        <f t="shared" ref="W25:W34" ca="1" si="17">S25/SQRT(V25*(1-T25))</f>
        <v>#NAME?</v>
      </c>
      <c r="X25" t="e">
        <f t="shared" ref="X25:X34" ca="1" si="18">TDIST(ABS(W25),$AC$25,2)</f>
        <v>#NAME?</v>
      </c>
      <c r="Y25" t="e">
        <f t="shared" ref="Y25:Y34" ca="1" si="19">(S25^2/$AC$26)*(T25/(1-T25)^2)/($AC$27+1)</f>
        <v>#NAME?</v>
      </c>
      <c r="Z25" t="e">
        <f t="shared" ref="Z25:Z34" ca="1" si="20">W25*SQRT(T25/(1-T25))</f>
        <v>#NAME?</v>
      </c>
      <c r="AB25" t="s">
        <v>481</v>
      </c>
      <c r="AC25" s="337">
        <f>COUNT(C4:C14)-AC27-1</f>
        <v>8</v>
      </c>
    </row>
    <row r="26" spans="5:29">
      <c r="E26" t="s">
        <v>209</v>
      </c>
      <c r="F26" t="e">
        <f ca="1">1-(1-F25)*(F28-1)/(F28-F32-1)</f>
        <v>#NAME?</v>
      </c>
      <c r="H26" s="380" t="s">
        <v>749</v>
      </c>
      <c r="I26" s="380" t="e">
        <f ca="1">F28*LN(G33/F28)+(F32+1)*LN(F28)</f>
        <v>#NAME?</v>
      </c>
      <c r="N26">
        <f t="shared" ref="N26:N34" si="21">N25+1</f>
        <v>3</v>
      </c>
      <c r="O26">
        <f t="shared" si="11"/>
        <v>5</v>
      </c>
      <c r="P26">
        <f t="shared" si="12"/>
        <v>8</v>
      </c>
      <c r="Q26">
        <f t="shared" si="13"/>
        <v>51</v>
      </c>
      <c r="R26">
        <v>56.295169344614344</v>
      </c>
      <c r="S26">
        <f t="shared" si="14"/>
        <v>-5.2951693446143437</v>
      </c>
      <c r="T26" t="e">
        <f ca="1"/>
        <v>#NAME?</v>
      </c>
      <c r="U26">
        <f t="shared" si="15"/>
        <v>-0.89930254499084783</v>
      </c>
      <c r="V26" t="e">
        <f t="shared" ca="1" si="16"/>
        <v>#NAME?</v>
      </c>
      <c r="W26" t="e">
        <f t="shared" ca="1" si="17"/>
        <v>#NAME?</v>
      </c>
      <c r="X26" t="e">
        <f t="shared" ca="1" si="18"/>
        <v>#NAME?</v>
      </c>
      <c r="Y26" t="e">
        <f t="shared" ca="1" si="19"/>
        <v>#NAME?</v>
      </c>
      <c r="Z26" t="e">
        <f t="shared" ca="1" si="20"/>
        <v>#NAME?</v>
      </c>
      <c r="AB26" t="s">
        <v>483</v>
      </c>
      <c r="AC26" s="337">
        <f>AC24/AC25</f>
        <v>34.66953866852959</v>
      </c>
    </row>
    <row r="27" spans="5:29">
      <c r="E27" t="s">
        <v>9</v>
      </c>
      <c r="F27" t="e">
        <f ca="1">SQRT(H33)</f>
        <v>#NAME?</v>
      </c>
      <c r="N27">
        <f t="shared" si="21"/>
        <v>4</v>
      </c>
      <c r="O27">
        <f t="shared" si="11"/>
        <v>8</v>
      </c>
      <c r="P27">
        <f t="shared" si="12"/>
        <v>1</v>
      </c>
      <c r="Q27">
        <f t="shared" si="13"/>
        <v>38</v>
      </c>
      <c r="R27">
        <v>44.672126057595285</v>
      </c>
      <c r="S27">
        <f t="shared" si="14"/>
        <v>-6.6721260575952854</v>
      </c>
      <c r="T27" t="e">
        <f ca="1"/>
        <v>#NAME?</v>
      </c>
      <c r="U27">
        <f t="shared" si="15"/>
        <v>-1.1331573276684697</v>
      </c>
      <c r="V27" t="e">
        <f t="shared" ca="1" si="16"/>
        <v>#NAME?</v>
      </c>
      <c r="W27" t="e">
        <f t="shared" ca="1" si="17"/>
        <v>#NAME?</v>
      </c>
      <c r="X27" t="e">
        <f t="shared" ca="1" si="18"/>
        <v>#NAME?</v>
      </c>
      <c r="Y27" t="e">
        <f t="shared" ca="1" si="19"/>
        <v>#NAME?</v>
      </c>
      <c r="Z27" t="e">
        <f t="shared" ca="1" si="20"/>
        <v>#NAME?</v>
      </c>
      <c r="AB27" t="s">
        <v>23</v>
      </c>
      <c r="AC27" s="375">
        <f>COUNT(A4:B4)</f>
        <v>2</v>
      </c>
    </row>
    <row r="28" spans="5:29">
      <c r="E28" s="380" t="s">
        <v>42</v>
      </c>
      <c r="F28" s="380">
        <f>COUNT(C4:C14)</f>
        <v>11</v>
      </c>
      <c r="N28">
        <f t="shared" si="21"/>
        <v>5</v>
      </c>
      <c r="O28">
        <f t="shared" si="11"/>
        <v>9</v>
      </c>
      <c r="P28">
        <f t="shared" si="12"/>
        <v>3</v>
      </c>
      <c r="Q28">
        <f t="shared" si="13"/>
        <v>55</v>
      </c>
      <c r="R28">
        <v>57.084245387978996</v>
      </c>
      <c r="S28">
        <f t="shared" si="14"/>
        <v>-2.0842453879789957</v>
      </c>
      <c r="T28" t="e">
        <f ca="1"/>
        <v>#NAME?</v>
      </c>
      <c r="U28">
        <f t="shared" si="15"/>
        <v>-0.3539768154348728</v>
      </c>
      <c r="V28" t="e">
        <f t="shared" ca="1" si="16"/>
        <v>#NAME?</v>
      </c>
      <c r="W28" t="e">
        <f t="shared" ca="1" si="17"/>
        <v>#NAME?</v>
      </c>
      <c r="X28" t="e">
        <f t="shared" ca="1" si="18"/>
        <v>#NAME?</v>
      </c>
      <c r="Y28" t="e">
        <f t="shared" ca="1" si="19"/>
        <v>#NAME?</v>
      </c>
      <c r="Z28" t="e">
        <f t="shared" ca="1" si="20"/>
        <v>#NAME?</v>
      </c>
    </row>
    <row r="29" spans="5:29">
      <c r="N29">
        <f t="shared" si="21"/>
        <v>6</v>
      </c>
      <c r="O29">
        <f t="shared" si="11"/>
        <v>5</v>
      </c>
      <c r="P29">
        <f t="shared" si="12"/>
        <v>4</v>
      </c>
      <c r="Q29">
        <f t="shared" si="13"/>
        <v>43</v>
      </c>
      <c r="R29">
        <v>41.261507412869676</v>
      </c>
      <c r="S29">
        <f t="shared" si="14"/>
        <v>1.7384925871303238</v>
      </c>
      <c r="T29" t="e">
        <f ca="1"/>
        <v>#NAME?</v>
      </c>
      <c r="U29">
        <f t="shared" si="15"/>
        <v>0.2952560543968572</v>
      </c>
      <c r="V29" t="e">
        <f t="shared" ca="1" si="16"/>
        <v>#NAME?</v>
      </c>
      <c r="W29" t="e">
        <f t="shared" ca="1" si="17"/>
        <v>#NAME?</v>
      </c>
      <c r="X29" t="e">
        <f t="shared" ca="1" si="18"/>
        <v>#NAME?</v>
      </c>
      <c r="Y29" t="e">
        <f t="shared" ca="1" si="19"/>
        <v>#NAME?</v>
      </c>
      <c r="Z29" t="e">
        <f t="shared" ca="1" si="20"/>
        <v>#NAME?</v>
      </c>
    </row>
    <row r="30" spans="5:29" ht="15.75" thickBot="1">
      <c r="E30" t="s">
        <v>210</v>
      </c>
      <c r="I30" s="503" t="s">
        <v>16</v>
      </c>
      <c r="J30" s="503">
        <v>0.05</v>
      </c>
      <c r="N30">
        <f t="shared" si="21"/>
        <v>7</v>
      </c>
      <c r="O30">
        <f t="shared" si="11"/>
        <v>4</v>
      </c>
      <c r="P30">
        <f t="shared" si="12"/>
        <v>0</v>
      </c>
      <c r="Q30">
        <f t="shared" si="13"/>
        <v>25</v>
      </c>
      <c r="R30">
        <v>21.332557116613632</v>
      </c>
      <c r="S30">
        <f t="shared" si="14"/>
        <v>3.6674428833863679</v>
      </c>
      <c r="T30" t="e">
        <f ca="1"/>
        <v>#NAME?</v>
      </c>
      <c r="U30">
        <f t="shared" si="15"/>
        <v>0.62285840244041202</v>
      </c>
      <c r="V30" t="e">
        <f t="shared" ca="1" si="16"/>
        <v>#NAME?</v>
      </c>
      <c r="W30" t="e">
        <f t="shared" ca="1" si="17"/>
        <v>#NAME?</v>
      </c>
      <c r="X30" t="e">
        <f t="shared" ca="1" si="18"/>
        <v>#NAME?</v>
      </c>
      <c r="Y30" t="e">
        <f t="shared" ca="1" si="19"/>
        <v>#NAME?</v>
      </c>
      <c r="Z30" t="e">
        <f t="shared" ca="1" si="20"/>
        <v>#NAME?</v>
      </c>
    </row>
    <row r="31" spans="5:29" ht="15.75" thickTop="1">
      <c r="E31" s="398"/>
      <c r="F31" s="398" t="s">
        <v>26</v>
      </c>
      <c r="G31" s="398" t="s">
        <v>137</v>
      </c>
      <c r="H31" s="398" t="s">
        <v>156</v>
      </c>
      <c r="I31" s="398" t="s">
        <v>63</v>
      </c>
      <c r="J31" s="398" t="s">
        <v>30</v>
      </c>
      <c r="K31" s="398" t="s">
        <v>374</v>
      </c>
      <c r="N31">
        <f t="shared" si="21"/>
        <v>8</v>
      </c>
      <c r="O31">
        <f t="shared" si="11"/>
        <v>2</v>
      </c>
      <c r="P31">
        <f t="shared" si="12"/>
        <v>6</v>
      </c>
      <c r="Q31">
        <f t="shared" si="13"/>
        <v>33</v>
      </c>
      <c r="R31">
        <v>34.092473285207895</v>
      </c>
      <c r="S31">
        <f t="shared" si="14"/>
        <v>-1.0924732852078947</v>
      </c>
      <c r="T31" t="e">
        <f ca="1"/>
        <v>#NAME?</v>
      </c>
      <c r="U31">
        <f t="shared" si="15"/>
        <v>-0.18553967621851886</v>
      </c>
      <c r="V31" t="e">
        <f t="shared" ca="1" si="16"/>
        <v>#NAME?</v>
      </c>
      <c r="W31" t="e">
        <f t="shared" ca="1" si="17"/>
        <v>#NAME?</v>
      </c>
      <c r="X31" t="e">
        <f t="shared" ca="1" si="18"/>
        <v>#NAME?</v>
      </c>
      <c r="Y31" t="e">
        <f t="shared" ca="1" si="19"/>
        <v>#NAME?</v>
      </c>
      <c r="Z31" t="e">
        <f t="shared" ca="1" si="20"/>
        <v>#NAME?</v>
      </c>
    </row>
    <row r="32" spans="5:29">
      <c r="E32" t="s">
        <v>138</v>
      </c>
      <c r="F32">
        <f>COUNT(A4:B4)</f>
        <v>2</v>
      </c>
      <c r="G32" t="e">
        <f ca="1">DEVSQ(MMULT(DESIGN(A4:B14),F37:F39))</f>
        <v>#NAME?</v>
      </c>
      <c r="H32" t="e">
        <f ca="1">G32/F32</f>
        <v>#NAME?</v>
      </c>
      <c r="I32" t="e">
        <f ca="1">H32/H33</f>
        <v>#NAME?</v>
      </c>
      <c r="J32" t="e">
        <f ca="1">FDIST(I32,F32,F33)</f>
        <v>#NAME?</v>
      </c>
      <c r="K32" s="503" t="e">
        <f ca="1">IF(J32&lt;J30,"yes","no")</f>
        <v>#NAME?</v>
      </c>
      <c r="N32">
        <f t="shared" si="21"/>
        <v>9</v>
      </c>
      <c r="O32">
        <f t="shared" si="11"/>
        <v>8</v>
      </c>
      <c r="P32">
        <f t="shared" si="12"/>
        <v>7</v>
      </c>
      <c r="Q32">
        <f t="shared" si="13"/>
        <v>71</v>
      </c>
      <c r="R32">
        <v>67.222618955212283</v>
      </c>
      <c r="S32">
        <f t="shared" si="14"/>
        <v>3.7773810447877167</v>
      </c>
      <c r="T32" t="e">
        <f ca="1"/>
        <v>#NAME?</v>
      </c>
      <c r="U32">
        <f t="shared" si="15"/>
        <v>0.64152969733306831</v>
      </c>
      <c r="V32" t="e">
        <f t="shared" ca="1" si="16"/>
        <v>#NAME?</v>
      </c>
      <c r="W32" t="e">
        <f t="shared" ca="1" si="17"/>
        <v>#NAME?</v>
      </c>
      <c r="X32" t="e">
        <f t="shared" ca="1" si="18"/>
        <v>#NAME?</v>
      </c>
      <c r="Y32" t="e">
        <f t="shared" ca="1" si="19"/>
        <v>#NAME?</v>
      </c>
      <c r="Z32" t="e">
        <f t="shared" ca="1" si="20"/>
        <v>#NAME?</v>
      </c>
    </row>
    <row r="33" spans="5:26">
      <c r="E33" t="s">
        <v>211</v>
      </c>
      <c r="F33">
        <f>F34-F32</f>
        <v>8</v>
      </c>
      <c r="G33" t="e">
        <f ca="1">G34-G32</f>
        <v>#NAME?</v>
      </c>
      <c r="H33" t="e">
        <f ca="1">G33/F33</f>
        <v>#NAME?</v>
      </c>
      <c r="N33">
        <f t="shared" si="21"/>
        <v>10</v>
      </c>
      <c r="O33">
        <f t="shared" si="11"/>
        <v>6</v>
      </c>
      <c r="P33">
        <f t="shared" si="12"/>
        <v>4</v>
      </c>
      <c r="Q33">
        <f t="shared" si="13"/>
        <v>51</v>
      </c>
      <c r="R33">
        <v>46.156795777381042</v>
      </c>
      <c r="S33">
        <f t="shared" si="14"/>
        <v>4.843204222618958</v>
      </c>
      <c r="T33" t="e">
        <f ca="1"/>
        <v>#NAME?</v>
      </c>
      <c r="U33">
        <f t="shared" si="15"/>
        <v>0.82254326535214306</v>
      </c>
      <c r="V33" t="e">
        <f t="shared" ca="1" si="16"/>
        <v>#NAME?</v>
      </c>
      <c r="W33" t="e">
        <f t="shared" ca="1" si="17"/>
        <v>#NAME?</v>
      </c>
      <c r="X33" t="e">
        <f t="shared" ca="1" si="18"/>
        <v>#NAME?</v>
      </c>
      <c r="Y33" t="e">
        <f t="shared" ca="1" si="19"/>
        <v>#NAME?</v>
      </c>
      <c r="Z33" t="e">
        <f t="shared" ca="1" si="20"/>
        <v>#NAME?</v>
      </c>
    </row>
    <row r="34" spans="5:26">
      <c r="E34" s="380" t="s">
        <v>1</v>
      </c>
      <c r="F34" s="380">
        <f>F28-1</f>
        <v>10</v>
      </c>
      <c r="G34" s="380">
        <f>DEVSQ(C4:C14)</f>
        <v>1857.6363636363633</v>
      </c>
      <c r="H34" s="380"/>
      <c r="I34" s="380"/>
      <c r="J34" s="380"/>
      <c r="K34" s="380"/>
      <c r="N34" s="380">
        <f t="shared" si="21"/>
        <v>11</v>
      </c>
      <c r="O34" s="380">
        <f t="shared" si="11"/>
        <v>9</v>
      </c>
      <c r="P34" s="380">
        <f t="shared" si="12"/>
        <v>2</v>
      </c>
      <c r="Q34" s="380">
        <f t="shared" si="13"/>
        <v>49</v>
      </c>
      <c r="R34" s="380">
        <v>53.325829905042831</v>
      </c>
      <c r="S34" s="380">
        <f t="shared" si="14"/>
        <v>-4.3258299050428306</v>
      </c>
      <c r="T34" s="380" t="e">
        <f ca="1"/>
        <v>#NAME?</v>
      </c>
      <c r="U34" s="380">
        <f t="shared" si="15"/>
        <v>-0.73467524636567916</v>
      </c>
      <c r="V34" s="380" t="e">
        <f t="shared" ca="1" si="16"/>
        <v>#NAME?</v>
      </c>
      <c r="W34" s="380" t="e">
        <f t="shared" ca="1" si="17"/>
        <v>#NAME?</v>
      </c>
      <c r="X34" s="380" t="e">
        <f t="shared" ca="1" si="18"/>
        <v>#NAME?</v>
      </c>
      <c r="Y34" s="380" t="e">
        <f t="shared" ca="1" si="19"/>
        <v>#NAME?</v>
      </c>
      <c r="Z34" s="380" t="e">
        <f t="shared" ca="1" si="20"/>
        <v>#NAME?</v>
      </c>
    </row>
    <row r="35" spans="5:26" ht="15.75" thickBot="1"/>
    <row r="36" spans="5:26" ht="15.75" thickTop="1">
      <c r="E36" s="398"/>
      <c r="F36" s="398" t="s">
        <v>600</v>
      </c>
      <c r="G36" s="398" t="s">
        <v>503</v>
      </c>
      <c r="H36" s="398" t="s">
        <v>27</v>
      </c>
      <c r="I36" s="398" t="s">
        <v>30</v>
      </c>
      <c r="J36" s="398" t="s">
        <v>13</v>
      </c>
      <c r="K36" s="398" t="s">
        <v>14</v>
      </c>
      <c r="L36" s="398" t="s">
        <v>750</v>
      </c>
    </row>
    <row r="37" spans="5:26">
      <c r="E37" t="s">
        <v>212</v>
      </c>
      <c r="F37" t="e">
        <f t="array" aca="1" ref="F37:G39" ca="1">RegCoeff(A4:B14,C4:C14)</f>
        <v>#NAME?</v>
      </c>
      <c r="G37" t="e">
        <f ca="1"/>
        <v>#NAME?</v>
      </c>
      <c r="H37" t="e">
        <f ca="1">F37/G37</f>
        <v>#NAME?</v>
      </c>
      <c r="I37" t="e">
        <f ca="1">TDIST(ABS(H37),$F$33,2)</f>
        <v>#NAME?</v>
      </c>
      <c r="J37" t="e">
        <f ca="1">F37-TINV(J$30,$F$33)*G37</f>
        <v>#NAME?</v>
      </c>
      <c r="K37" t="e">
        <f ca="1">F37+TINV(J$30,$F$33)*G37</f>
        <v>#NAME?</v>
      </c>
    </row>
    <row r="38" spans="5:26">
      <c r="E38" t="str">
        <f t="array" ref="E38:E39">TRANSPOSE(A3:B3)</f>
        <v>Color</v>
      </c>
      <c r="F38" t="e">
        <f ca="1"/>
        <v>#NAME?</v>
      </c>
      <c r="G38" t="e">
        <f ca="1"/>
        <v>#NAME?</v>
      </c>
      <c r="H38" t="e">
        <f ca="1">F38/G38</f>
        <v>#NAME?</v>
      </c>
      <c r="I38" t="e">
        <f ca="1">TDIST(ABS(H38),$F$33,2)</f>
        <v>#NAME?</v>
      </c>
      <c r="J38" t="e">
        <f ca="1">F38-TINV(J$30,$F$33)*G38</f>
        <v>#NAME?</v>
      </c>
      <c r="K38" t="e">
        <f ca="1">F38+TINV(J$30,$F$33)*G38</f>
        <v>#NAME?</v>
      </c>
      <c r="L38" t="e">
        <f ca="1">VIF(A4:B14,1)</f>
        <v>#NAME?</v>
      </c>
    </row>
    <row r="39" spans="5:26">
      <c r="E39" s="380" t="str">
        <v>Quality</v>
      </c>
      <c r="F39" s="380" t="e">
        <f ca="1"/>
        <v>#NAME?</v>
      </c>
      <c r="G39" s="380" t="e">
        <f ca="1"/>
        <v>#NAME?</v>
      </c>
      <c r="H39" s="380" t="e">
        <f ca="1">F39/G39</f>
        <v>#NAME?</v>
      </c>
      <c r="I39" s="380" t="e">
        <f ca="1">TDIST(ABS(H39),$F$33,2)</f>
        <v>#NAME?</v>
      </c>
      <c r="J39" s="380" t="e">
        <f ca="1">F39-TINV(J$30,$F$33)*G39</f>
        <v>#NAME?</v>
      </c>
      <c r="K39" s="380" t="e">
        <f ca="1">F39+TINV(J$30,$F$33)*G39</f>
        <v>#NAME?</v>
      </c>
      <c r="L39" s="380" t="e">
        <f ca="1">VIF(A4:B14,2)</f>
        <v>#NAME?</v>
      </c>
    </row>
  </sheetData>
  <pageMargins left="0.7" right="0.7" top="0.75" bottom="0.75" header="0.3" footer="0.3"/>
  <ignoredErrors>
    <ignoredError sqref="AC7 AC27 F32 F12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23"/>
  <dimension ref="A1:AG21"/>
  <sheetViews>
    <sheetView workbookViewId="0"/>
  </sheetViews>
  <sheetFormatPr defaultRowHeight="15"/>
  <cols>
    <col min="5" max="5" width="17.5703125" customWidth="1"/>
    <col min="10" max="10" width="9.140625" customWidth="1"/>
    <col min="13" max="13" width="3" customWidth="1"/>
    <col min="16" max="16" width="4.85546875" customWidth="1"/>
    <col min="20" max="20" width="4" customWidth="1"/>
    <col min="22" max="22" width="6.42578125" customWidth="1"/>
    <col min="25" max="25" width="13.28515625" customWidth="1"/>
    <col min="28" max="28" width="17.85546875" customWidth="1"/>
    <col min="29" max="29" width="3.28515625" customWidth="1"/>
  </cols>
  <sheetData>
    <row r="1" spans="1:33">
      <c r="A1" s="1" t="s">
        <v>748</v>
      </c>
      <c r="E1" t="s">
        <v>601</v>
      </c>
      <c r="N1" t="s">
        <v>763</v>
      </c>
      <c r="Y1" t="s">
        <v>761</v>
      </c>
      <c r="AD1" t="s">
        <v>764</v>
      </c>
    </row>
    <row r="3" spans="1:33" ht="15.75" thickBot="1">
      <c r="A3" s="112" t="s">
        <v>296</v>
      </c>
      <c r="B3" s="112" t="s">
        <v>297</v>
      </c>
      <c r="C3" s="112" t="s">
        <v>290</v>
      </c>
      <c r="E3" s="364" t="s">
        <v>606</v>
      </c>
      <c r="F3" s="364"/>
      <c r="H3" s="364"/>
      <c r="I3" s="364"/>
      <c r="N3" s="755" t="s">
        <v>291</v>
      </c>
      <c r="O3" s="755"/>
      <c r="Q3" s="508" t="s">
        <v>292</v>
      </c>
      <c r="S3" s="508" t="s">
        <v>60</v>
      </c>
      <c r="U3" s="68" t="s">
        <v>305</v>
      </c>
      <c r="V3" s="508"/>
      <c r="W3" s="68" t="s">
        <v>62</v>
      </c>
      <c r="Y3" s="136"/>
      <c r="Z3" s="137" t="s">
        <v>302</v>
      </c>
      <c r="AA3" s="137" t="s">
        <v>301</v>
      </c>
      <c r="AB3" s="136"/>
      <c r="AD3" s="508" t="s">
        <v>296</v>
      </c>
      <c r="AE3" s="508" t="s">
        <v>297</v>
      </c>
      <c r="AF3" s="508" t="s">
        <v>766</v>
      </c>
      <c r="AG3" s="508" t="s">
        <v>765</v>
      </c>
    </row>
    <row r="4" spans="1:33" ht="15.75" thickTop="1">
      <c r="A4" s="508">
        <v>7</v>
      </c>
      <c r="B4" s="508">
        <v>5</v>
      </c>
      <c r="C4" s="508">
        <v>65</v>
      </c>
      <c r="E4" t="s">
        <v>208</v>
      </c>
      <c r="F4" t="e">
        <f ca="1">MultipleR(A4:B14,C4:C14,FALSE)</f>
        <v>#NAME?</v>
      </c>
      <c r="H4" t="s">
        <v>498</v>
      </c>
      <c r="I4" t="e">
        <f ca="1">RegAIC(A4:B14,C4:C14,FALSE)</f>
        <v>#NAME?</v>
      </c>
      <c r="N4" s="514">
        <f>A4</f>
        <v>7</v>
      </c>
      <c r="O4" s="483">
        <f>B4</f>
        <v>5</v>
      </c>
      <c r="Q4" s="516">
        <f>C4</f>
        <v>65</v>
      </c>
      <c r="S4" s="492">
        <f t="array" ref="S4:S5">MMULT(N17:O18,MMULT(TRANSPOSE(N4:O14),Q4:Q14))</f>
        <v>5.0732339598185341</v>
      </c>
      <c r="U4" s="153">
        <f t="array" ref="U4:U14">MMULT(N4:O14,S4:S5)</f>
        <v>54.971484121840554</v>
      </c>
      <c r="W4" s="145">
        <f>Q4-U4</f>
        <v>10.028515878159446</v>
      </c>
      <c r="Y4" s="136" t="s">
        <v>197</v>
      </c>
      <c r="Z4" s="138">
        <f t="array" ref="Z4:AA8">LINEST(C4:C14,A4:B14,FALSE,TRUE)</f>
        <v>3.8917692806221638</v>
      </c>
      <c r="AA4" s="138">
        <v>5.0732339598185368</v>
      </c>
      <c r="AB4" s="136"/>
      <c r="AD4" s="493">
        <v>7</v>
      </c>
      <c r="AE4" s="487">
        <v>5</v>
      </c>
      <c r="AF4" s="489">
        <f t="array" ref="AF4:AF6">TREND(C4:C14,A4:B14,AD4:AE6,FALSE)</f>
        <v>54.971484121840575</v>
      </c>
      <c r="AG4" s="490">
        <f t="array" ref="AG4:AG6">TREND(C4:C14,A4:B14,AD4:AE6)</f>
        <v>54.810499624828587</v>
      </c>
    </row>
    <row r="5" spans="1:33">
      <c r="A5" s="508">
        <v>3</v>
      </c>
      <c r="B5" s="508">
        <v>7</v>
      </c>
      <c r="C5" s="508">
        <v>38</v>
      </c>
      <c r="E5" t="s">
        <v>201</v>
      </c>
      <c r="F5" t="e">
        <f ca="1">RSquare(A4:B14,C4:C14,FALSE)</f>
        <v>#NAME?</v>
      </c>
      <c r="H5" t="s">
        <v>499</v>
      </c>
      <c r="I5" t="e">
        <f ca="1">RegAICc(A4:B14,C4:C14,FALSE)</f>
        <v>#NAME?</v>
      </c>
      <c r="N5" s="296">
        <f t="shared" ref="N5:N14" si="0">A5</f>
        <v>3</v>
      </c>
      <c r="O5" s="291">
        <f t="shared" ref="O5:O14" si="1">B5</f>
        <v>7</v>
      </c>
      <c r="Q5" s="301">
        <f t="shared" ref="Q5:Q14" si="2">C5</f>
        <v>38</v>
      </c>
      <c r="S5" s="289">
        <v>3.8917692806221638</v>
      </c>
      <c r="U5" s="154">
        <v>42.462086843810752</v>
      </c>
      <c r="W5" s="20">
        <f t="shared" ref="W5:W14" si="3">Q5-U5</f>
        <v>-4.4620868438107522</v>
      </c>
      <c r="Y5" s="136" t="s">
        <v>317</v>
      </c>
      <c r="Z5" s="138">
        <v>0.51099966783330397</v>
      </c>
      <c r="AA5" s="138">
        <v>0.39334065025077786</v>
      </c>
      <c r="AB5" s="136"/>
      <c r="AD5" s="296">
        <v>4</v>
      </c>
      <c r="AE5" s="509">
        <v>4</v>
      </c>
      <c r="AF5" s="294">
        <v>35.860012961762806</v>
      </c>
      <c r="AG5" s="295">
        <v>36.366219048358303</v>
      </c>
    </row>
    <row r="6" spans="1:33">
      <c r="A6" s="508">
        <v>5</v>
      </c>
      <c r="B6" s="508">
        <v>8</v>
      </c>
      <c r="C6" s="508">
        <v>51</v>
      </c>
      <c r="E6" t="s">
        <v>209</v>
      </c>
      <c r="F6" t="e">
        <f ca="1">AdjRSquare(A4:B14,C4:C14,FALSE)</f>
        <v>#NAME?</v>
      </c>
      <c r="H6" s="380" t="s">
        <v>762</v>
      </c>
      <c r="I6" s="380" t="e">
        <f ca="1">RegSBC(A4:B14,C4:C14,FALSE)</f>
        <v>#NAME?</v>
      </c>
      <c r="N6" s="296">
        <f t="shared" si="0"/>
        <v>5</v>
      </c>
      <c r="O6" s="291">
        <f t="shared" si="1"/>
        <v>8</v>
      </c>
      <c r="Q6" s="301">
        <f t="shared" si="2"/>
        <v>51</v>
      </c>
      <c r="U6" s="154">
        <v>56.500324044069984</v>
      </c>
      <c r="W6" s="20">
        <f t="shared" si="3"/>
        <v>-5.5003240440699841</v>
      </c>
      <c r="Y6" s="136" t="s">
        <v>201</v>
      </c>
      <c r="Z6" s="138">
        <v>0.98938882053493538</v>
      </c>
      <c r="AA6" s="138">
        <v>5.5732647823448582</v>
      </c>
      <c r="AB6" s="136" t="s">
        <v>319</v>
      </c>
      <c r="AD6" s="290">
        <v>9</v>
      </c>
      <c r="AE6" s="510">
        <v>8</v>
      </c>
      <c r="AF6" s="284">
        <v>76.793259883344149</v>
      </c>
      <c r="AG6" s="288">
        <v>75.876322802659843</v>
      </c>
    </row>
    <row r="7" spans="1:33">
      <c r="A7" s="508">
        <v>8</v>
      </c>
      <c r="B7" s="508">
        <v>1</v>
      </c>
      <c r="C7" s="508">
        <v>38</v>
      </c>
      <c r="E7" t="s">
        <v>9</v>
      </c>
      <c r="F7" t="e">
        <f ca="1">RegSE(A4:B14,C4:C14,FALSE)</f>
        <v>#NAME?</v>
      </c>
      <c r="N7" s="296">
        <f t="shared" si="0"/>
        <v>8</v>
      </c>
      <c r="O7" s="291">
        <f t="shared" si="1"/>
        <v>1</v>
      </c>
      <c r="Q7" s="301">
        <f t="shared" si="2"/>
        <v>38</v>
      </c>
      <c r="U7" s="154">
        <v>44.477640959170436</v>
      </c>
      <c r="W7" s="20">
        <f t="shared" si="3"/>
        <v>-6.4776409591704365</v>
      </c>
      <c r="Y7" s="136" t="s">
        <v>63</v>
      </c>
      <c r="Z7" s="138">
        <v>419.58103781633338</v>
      </c>
      <c r="AA7" s="138">
        <v>9</v>
      </c>
      <c r="AB7" s="136" t="s">
        <v>320</v>
      </c>
    </row>
    <row r="8" spans="1:33">
      <c r="A8" s="508">
        <v>9</v>
      </c>
      <c r="B8" s="508">
        <v>3</v>
      </c>
      <c r="C8" s="508">
        <v>55</v>
      </c>
      <c r="E8" s="380" t="s">
        <v>42</v>
      </c>
      <c r="F8" s="380">
        <f>COUNT(C4:C14)</f>
        <v>11</v>
      </c>
      <c r="N8" s="296">
        <f t="shared" si="0"/>
        <v>9</v>
      </c>
      <c r="O8" s="291">
        <f t="shared" si="1"/>
        <v>3</v>
      </c>
      <c r="Q8" s="301">
        <f t="shared" si="2"/>
        <v>55</v>
      </c>
      <c r="S8" s="508" t="s">
        <v>337</v>
      </c>
      <c r="U8" s="154">
        <v>57.334413480233302</v>
      </c>
      <c r="W8" s="20">
        <f t="shared" si="3"/>
        <v>-2.3344134802333016</v>
      </c>
      <c r="Y8" s="136" t="s">
        <v>321</v>
      </c>
      <c r="Z8" s="138">
        <v>26065.448476992871</v>
      </c>
      <c r="AA8" s="138">
        <v>279.55152300712933</v>
      </c>
      <c r="AB8" s="136" t="s">
        <v>322</v>
      </c>
    </row>
    <row r="9" spans="1:33">
      <c r="A9" s="508">
        <v>5</v>
      </c>
      <c r="B9" s="508">
        <v>4</v>
      </c>
      <c r="C9" s="508">
        <v>43</v>
      </c>
      <c r="N9" s="296">
        <f t="shared" si="0"/>
        <v>5</v>
      </c>
      <c r="O9" s="291">
        <f t="shared" si="1"/>
        <v>4</v>
      </c>
      <c r="Q9" s="301">
        <f t="shared" si="2"/>
        <v>43</v>
      </c>
      <c r="S9" s="517">
        <f>SQRT(Q17)</f>
        <v>0.39334065025077763</v>
      </c>
      <c r="U9" s="154">
        <v>40.933246921581329</v>
      </c>
      <c r="W9" s="20">
        <f t="shared" si="3"/>
        <v>2.066753078418671</v>
      </c>
    </row>
    <row r="10" spans="1:33" ht="15.75" thickBot="1">
      <c r="A10" s="508">
        <v>4</v>
      </c>
      <c r="B10" s="508">
        <v>0</v>
      </c>
      <c r="C10" s="508">
        <v>25</v>
      </c>
      <c r="E10" t="s">
        <v>210</v>
      </c>
      <c r="I10" s="508" t="s">
        <v>16</v>
      </c>
      <c r="J10" s="508">
        <v>0.05</v>
      </c>
      <c r="N10" s="296">
        <f t="shared" si="0"/>
        <v>4</v>
      </c>
      <c r="O10" s="291">
        <f t="shared" si="1"/>
        <v>0</v>
      </c>
      <c r="Q10" s="301">
        <f t="shared" si="2"/>
        <v>25</v>
      </c>
      <c r="S10" s="304">
        <f>SQRT(R18)</f>
        <v>0.51099966783330386</v>
      </c>
      <c r="U10" s="154">
        <v>20.292935839274136</v>
      </c>
      <c r="W10" s="20">
        <f t="shared" si="3"/>
        <v>4.7070641607258636</v>
      </c>
    </row>
    <row r="11" spans="1:33" ht="15.75" thickTop="1">
      <c r="A11" s="508">
        <v>2</v>
      </c>
      <c r="B11" s="508">
        <v>6</v>
      </c>
      <c r="C11" s="508">
        <v>33</v>
      </c>
      <c r="E11" s="398"/>
      <c r="F11" s="398" t="s">
        <v>26</v>
      </c>
      <c r="G11" s="398" t="s">
        <v>137</v>
      </c>
      <c r="H11" s="398" t="s">
        <v>156</v>
      </c>
      <c r="I11" s="398" t="s">
        <v>63</v>
      </c>
      <c r="J11" s="398" t="s">
        <v>30</v>
      </c>
      <c r="K11" s="398" t="s">
        <v>374</v>
      </c>
      <c r="N11" s="296">
        <f t="shared" si="0"/>
        <v>2</v>
      </c>
      <c r="O11" s="291">
        <f t="shared" si="1"/>
        <v>6</v>
      </c>
      <c r="Q11" s="301">
        <f t="shared" si="2"/>
        <v>33</v>
      </c>
      <c r="U11" s="154">
        <v>33.497083603370051</v>
      </c>
      <c r="W11" s="20">
        <f t="shared" si="3"/>
        <v>-0.49708360337005075</v>
      </c>
    </row>
    <row r="12" spans="1:33">
      <c r="A12" s="508">
        <v>8</v>
      </c>
      <c r="B12" s="508">
        <v>7</v>
      </c>
      <c r="C12" s="508">
        <v>71</v>
      </c>
      <c r="E12" t="s">
        <v>138</v>
      </c>
      <c r="F12" t="e">
        <f ca="1">dfReg(A4:B14,C4:C14,FALSE)</f>
        <v>#NAME?</v>
      </c>
      <c r="G12" t="e">
        <f ca="1">SSReg(A4:B14,C4:C14,FALSE)</f>
        <v>#NAME?</v>
      </c>
      <c r="H12" t="e">
        <f ca="1">MSReg(A4:B14,C4:C14,FALSE)</f>
        <v>#NAME?</v>
      </c>
      <c r="I12" t="e">
        <f ca="1">RegF(A4:B14,C4:C14,FALSE)</f>
        <v>#NAME?</v>
      </c>
      <c r="J12" t="e">
        <f ca="1">RegTEST(A4:B14,C4:C14,FALSE)</f>
        <v>#NAME?</v>
      </c>
      <c r="K12" s="508" t="e">
        <f ca="1">IF(J12&lt;J10,"yes","no")</f>
        <v>#NAME?</v>
      </c>
      <c r="N12" s="296">
        <f t="shared" si="0"/>
        <v>8</v>
      </c>
      <c r="O12" s="291">
        <f t="shared" si="1"/>
        <v>7</v>
      </c>
      <c r="Q12" s="301">
        <f t="shared" si="2"/>
        <v>71</v>
      </c>
      <c r="U12" s="154">
        <v>67.828256642903426</v>
      </c>
      <c r="W12" s="20">
        <f t="shared" si="3"/>
        <v>3.1717433570965738</v>
      </c>
    </row>
    <row r="13" spans="1:33">
      <c r="A13" s="508">
        <v>6</v>
      </c>
      <c r="B13" s="508">
        <v>4</v>
      </c>
      <c r="C13" s="508">
        <v>51</v>
      </c>
      <c r="E13" t="s">
        <v>211</v>
      </c>
      <c r="F13" t="e">
        <f ca="1">dfRes(A4:B14,C4:C14,FALSE)</f>
        <v>#NAME?</v>
      </c>
      <c r="G13" t="e">
        <f ca="1">SSRes(A4:B14,C4:C14,FALSE)</f>
        <v>#NAME?</v>
      </c>
      <c r="H13" t="e">
        <f ca="1">MSRes(A4:B14,C4:C14,FALSE)</f>
        <v>#NAME?</v>
      </c>
      <c r="N13" s="296">
        <f t="shared" si="0"/>
        <v>6</v>
      </c>
      <c r="O13" s="291">
        <f t="shared" si="1"/>
        <v>4</v>
      </c>
      <c r="Q13" s="301">
        <f t="shared" si="2"/>
        <v>51</v>
      </c>
      <c r="U13" s="154">
        <v>46.00648088139986</v>
      </c>
      <c r="W13" s="20">
        <f t="shared" si="3"/>
        <v>4.9935191186001404</v>
      </c>
    </row>
    <row r="14" spans="1:33">
      <c r="A14" s="511">
        <v>9</v>
      </c>
      <c r="B14" s="511">
        <v>2</v>
      </c>
      <c r="C14" s="511">
        <v>49</v>
      </c>
      <c r="E14" s="380" t="s">
        <v>1</v>
      </c>
      <c r="F14" s="380" t="e">
        <f ca="1">dfRegTot(A4:B14,C4:C14, FALSE)</f>
        <v>#NAME?</v>
      </c>
      <c r="G14" s="380" t="e">
        <f ca="1">SSRegTot(A4:B14,C4:C14,FALSE)</f>
        <v>#NAME?</v>
      </c>
      <c r="H14" s="380"/>
      <c r="I14" s="380"/>
      <c r="J14" s="380"/>
      <c r="K14" s="380"/>
      <c r="N14" s="290">
        <f t="shared" si="0"/>
        <v>9</v>
      </c>
      <c r="O14" s="286">
        <f t="shared" si="1"/>
        <v>2</v>
      </c>
      <c r="Q14" s="300">
        <f t="shared" si="2"/>
        <v>49</v>
      </c>
      <c r="U14" s="155">
        <v>53.442644199611138</v>
      </c>
      <c r="W14" s="146">
        <f t="shared" si="3"/>
        <v>-4.4426441996111379</v>
      </c>
    </row>
    <row r="15" spans="1:33" ht="15.75" thickBot="1">
      <c r="N15" s="5"/>
    </row>
    <row r="16" spans="1:33" ht="19.5" thickTop="1">
      <c r="E16" s="398"/>
      <c r="F16" s="398" t="s">
        <v>600</v>
      </c>
      <c r="G16" s="398" t="s">
        <v>503</v>
      </c>
      <c r="H16" s="398" t="s">
        <v>27</v>
      </c>
      <c r="I16" s="398" t="s">
        <v>30</v>
      </c>
      <c r="J16" s="398" t="s">
        <v>13</v>
      </c>
      <c r="K16" s="398" t="s">
        <v>14</v>
      </c>
      <c r="L16" s="398" t="s">
        <v>750</v>
      </c>
      <c r="N16" s="739" t="s">
        <v>294</v>
      </c>
      <c r="O16" s="739"/>
      <c r="P16" s="513"/>
      <c r="Q16" s="739" t="s">
        <v>336</v>
      </c>
      <c r="R16" s="739"/>
    </row>
    <row r="17" spans="5:23" ht="18">
      <c r="E17" t="str">
        <f t="array" ref="E17:E18">TRANSPOSE(A3:B3)</f>
        <v>Color</v>
      </c>
      <c r="F17" t="e">
        <f t="array" aca="1" ref="F17:G18" ca="1">RegCoeff(A4:B14,C4:C14,FALSE)</f>
        <v>#NAME?</v>
      </c>
      <c r="G17" t="e">
        <f ca="1"/>
        <v>#NAME?</v>
      </c>
      <c r="H17" t="e">
        <f ca="1">F17/G17</f>
        <v>#NAME?</v>
      </c>
      <c r="I17" t="e">
        <f ca="1">TDIST(ABS(H17),$F$13,2)</f>
        <v>#NAME?</v>
      </c>
      <c r="J17" t="e">
        <f ca="1">F17-TINV(J$10,$F$13)*G17</f>
        <v>#NAME?</v>
      </c>
      <c r="K17" t="e">
        <f ca="1">F17+TINV(J$10,$F$13)*G17</f>
        <v>#NAME?</v>
      </c>
      <c r="L17" t="e">
        <f ca="1">VIF(A4:B14,1)</f>
        <v>#NAME?</v>
      </c>
      <c r="N17" s="505">
        <f t="array" ref="N17:O18">MINVERSE(MMULT(TRANSPOSE(N4:O14),N4:O14))</f>
        <v>4.981020275900379E-3</v>
      </c>
      <c r="O17" s="515">
        <v>-4.8328858439033425E-3</v>
      </c>
      <c r="P17" s="513"/>
      <c r="Q17" s="489">
        <f t="array" ref="Q17:R18">W19*N17:O19</f>
        <v>0.15471686713970459</v>
      </c>
      <c r="R17" s="490">
        <v>-0.1501156220203082</v>
      </c>
      <c r="V17" t="s">
        <v>205</v>
      </c>
      <c r="W17" s="145">
        <f>SUMSQ(W4:W14)</f>
        <v>279.55152300712911</v>
      </c>
    </row>
    <row r="18" spans="5:23" ht="18">
      <c r="E18" s="380" t="str">
        <v>Quality</v>
      </c>
      <c r="F18" s="380" t="e">
        <f ca="1"/>
        <v>#NAME?</v>
      </c>
      <c r="G18" s="380" t="e">
        <f ca="1"/>
        <v>#NAME?</v>
      </c>
      <c r="H18" s="380" t="e">
        <f ca="1">F18/G18</f>
        <v>#NAME?</v>
      </c>
      <c r="I18" s="380" t="e">
        <f ca="1">TDIST(ABS(H18),$F$13,2)</f>
        <v>#NAME?</v>
      </c>
      <c r="J18" s="380" t="e">
        <f ca="1">F18-TINV(J$10,$F$13)*G18</f>
        <v>#NAME?</v>
      </c>
      <c r="K18" s="380" t="e">
        <f ca="1">F18+TINV(J$10,$F$13)*G18</f>
        <v>#NAME?</v>
      </c>
      <c r="L18" s="380" t="e">
        <f ca="1">VIF(A4:B14,2)</f>
        <v>#NAME?</v>
      </c>
      <c r="N18" s="284">
        <v>-4.8328858439033425E-3</v>
      </c>
      <c r="O18" s="288">
        <v>8.4066290158318676E-3</v>
      </c>
      <c r="P18" s="513"/>
      <c r="Q18" s="284">
        <v>-0.1501156220203082</v>
      </c>
      <c r="R18" s="288">
        <v>0.26112066052574684</v>
      </c>
      <c r="V18" t="s">
        <v>203</v>
      </c>
      <c r="W18" s="20">
        <f>COUNT(Q4:Q14)-COUNT(N4:O4)</f>
        <v>9</v>
      </c>
    </row>
    <row r="19" spans="5:23" ht="18">
      <c r="P19" s="513"/>
      <c r="Q19" s="513"/>
      <c r="R19" s="513"/>
      <c r="S19" s="513"/>
      <c r="V19" t="s">
        <v>335</v>
      </c>
      <c r="W19" s="146">
        <f>W17/W18</f>
        <v>31.061280334125456</v>
      </c>
    </row>
    <row r="20" spans="5:23">
      <c r="P20" s="513"/>
      <c r="Q20" s="513"/>
      <c r="R20" s="513"/>
      <c r="S20" s="513"/>
    </row>
    <row r="21" spans="5:23">
      <c r="P21" s="5"/>
    </row>
  </sheetData>
  <mergeCells count="3">
    <mergeCell ref="N16:O16"/>
    <mergeCell ref="N3:O3"/>
    <mergeCell ref="Q16:R16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13"/>
  <dimension ref="A1:V20"/>
  <sheetViews>
    <sheetView workbookViewId="0"/>
  </sheetViews>
  <sheetFormatPr defaultRowHeight="15"/>
  <cols>
    <col min="1" max="1" width="6.42578125" customWidth="1"/>
    <col min="2" max="2" width="6.42578125" style="713" customWidth="1"/>
    <col min="3" max="3" width="6.42578125" customWidth="1"/>
    <col min="4" max="4" width="3.85546875" customWidth="1"/>
    <col min="5" max="5" width="13.5703125" customWidth="1"/>
    <col min="13" max="13" width="13.7109375" customWidth="1"/>
  </cols>
  <sheetData>
    <row r="1" spans="1:22">
      <c r="A1" t="s">
        <v>1057</v>
      </c>
    </row>
    <row r="3" spans="1:22">
      <c r="E3" t="s">
        <v>601</v>
      </c>
      <c r="M3" t="s">
        <v>1058</v>
      </c>
    </row>
    <row r="5" spans="1:22" ht="15.75" thickBot="1">
      <c r="E5" s="364" t="s">
        <v>606</v>
      </c>
      <c r="F5" s="364"/>
      <c r="H5" s="364"/>
      <c r="I5" s="364"/>
      <c r="M5" s="364" t="s">
        <v>606</v>
      </c>
      <c r="N5" s="364"/>
      <c r="P5" s="364"/>
      <c r="Q5" s="364"/>
      <c r="U5" t="s">
        <v>291</v>
      </c>
      <c r="V5" t="s">
        <v>292</v>
      </c>
    </row>
    <row r="6" spans="1:22" ht="15.75" thickTop="1">
      <c r="A6" s="603" t="s">
        <v>291</v>
      </c>
      <c r="B6" s="714" t="s">
        <v>292</v>
      </c>
      <c r="C6" s="603" t="s">
        <v>504</v>
      </c>
      <c r="E6" t="s">
        <v>208</v>
      </c>
      <c r="F6" t="e">
        <f ca="1">SQRT(F7)</f>
        <v>#NAME?</v>
      </c>
      <c r="H6" t="s">
        <v>498</v>
      </c>
      <c r="I6" t="e">
        <f ca="1">F10*LN(G15/F10)+2*(F14+1)</f>
        <v>#NAME?</v>
      </c>
      <c r="M6" t="s">
        <v>208</v>
      </c>
      <c r="N6" t="e">
        <f ca="1">SQRT(N7)</f>
        <v>#NAME?</v>
      </c>
      <c r="P6" t="s">
        <v>498</v>
      </c>
      <c r="Q6" t="e">
        <f ca="1">N10*LN(O15/N10)+2*N14</f>
        <v>#NAME?</v>
      </c>
      <c r="U6">
        <v>15</v>
      </c>
      <c r="V6" t="e">
        <f ca="1">N$19+N$20*U6</f>
        <v>#NAME?</v>
      </c>
    </row>
    <row r="7" spans="1:22">
      <c r="A7" s="660">
        <v>21</v>
      </c>
      <c r="B7" s="163">
        <v>17.260000000000002</v>
      </c>
      <c r="C7" s="660">
        <v>20</v>
      </c>
      <c r="E7" t="s">
        <v>201</v>
      </c>
      <c r="F7" t="e">
        <f ca="1">G14/G16</f>
        <v>#NAME?</v>
      </c>
      <c r="H7" t="s">
        <v>499</v>
      </c>
      <c r="I7" t="e">
        <f ca="1">I6+2*(F14+2)*(F14+3)/(F10-F14-3)</f>
        <v>#NAME?</v>
      </c>
      <c r="M7" t="s">
        <v>201</v>
      </c>
      <c r="N7" t="e">
        <f ca="1">O14/O16</f>
        <v>#NAME?</v>
      </c>
      <c r="P7" t="s">
        <v>499</v>
      </c>
      <c r="Q7" t="e">
        <f ca="1">Q6+2*(N14+1)*(N14+2)/(N10-N14-2)</f>
        <v>#NAME?</v>
      </c>
      <c r="U7">
        <v>21</v>
      </c>
      <c r="V7" t="e">
        <f ca="1">N$19+N$20*U7</f>
        <v>#NAME?</v>
      </c>
    </row>
    <row r="8" spans="1:22">
      <c r="A8" s="660">
        <v>20</v>
      </c>
      <c r="B8" s="163">
        <v>17.07</v>
      </c>
      <c r="C8" s="660">
        <v>26</v>
      </c>
      <c r="E8" t="s">
        <v>1059</v>
      </c>
      <c r="F8" t="e">
        <f ca="1">1-(1-F7)*(F10-1)/(F10-F14-1)</f>
        <v>#NAME?</v>
      </c>
      <c r="H8" s="285" t="s">
        <v>762</v>
      </c>
      <c r="I8" s="285" t="e">
        <f ca="1">F10*LN(G15/F10)+(F14+1)*LN(F10)</f>
        <v>#NAME?</v>
      </c>
      <c r="M8" t="s">
        <v>1059</v>
      </c>
      <c r="N8" t="e">
        <f ca="1">1-(1-N7)*N10/(N10-N14)</f>
        <v>#NAME?</v>
      </c>
      <c r="P8" s="285" t="s">
        <v>749</v>
      </c>
      <c r="Q8" s="285" t="e">
        <f ca="1">N10*LN(O15/N10)+N14*LN(N10)</f>
        <v>#NAME?</v>
      </c>
    </row>
    <row r="9" spans="1:22">
      <c r="A9" s="660">
        <v>19</v>
      </c>
      <c r="B9" s="163">
        <v>16.37</v>
      </c>
      <c r="C9" s="660">
        <v>27</v>
      </c>
      <c r="E9" t="s">
        <v>9</v>
      </c>
      <c r="F9" t="e">
        <f ca="1">SQRT(H15)</f>
        <v>#NAME?</v>
      </c>
      <c r="M9" t="s">
        <v>9</v>
      </c>
      <c r="N9" t="e">
        <f ca="1">SQRT(P15)</f>
        <v>#NAME?</v>
      </c>
    </row>
    <row r="10" spans="1:22">
      <c r="A10" s="660">
        <v>18</v>
      </c>
      <c r="B10" s="163">
        <v>16.400000000000002</v>
      </c>
      <c r="C10" s="660">
        <v>24</v>
      </c>
      <c r="E10" s="285" t="s">
        <v>42</v>
      </c>
      <c r="F10" s="285">
        <f>COUNT(B7:B13)</f>
        <v>7</v>
      </c>
      <c r="M10" s="285" t="s">
        <v>42</v>
      </c>
      <c r="N10" s="285">
        <f>COUNT(B7:B13)</f>
        <v>7</v>
      </c>
    </row>
    <row r="11" spans="1:22">
      <c r="A11" s="660">
        <v>17</v>
      </c>
      <c r="B11" s="163">
        <v>16.13</v>
      </c>
      <c r="C11" s="660">
        <v>36</v>
      </c>
    </row>
    <row r="12" spans="1:22" ht="15.75" thickBot="1">
      <c r="A12" s="660">
        <v>16</v>
      </c>
      <c r="B12" s="163">
        <v>16.170000000000002</v>
      </c>
      <c r="C12" s="660">
        <v>39</v>
      </c>
      <c r="E12" t="s">
        <v>210</v>
      </c>
      <c r="I12" s="660" t="s">
        <v>16</v>
      </c>
      <c r="J12" s="660">
        <v>0.05</v>
      </c>
      <c r="M12" t="s">
        <v>210</v>
      </c>
      <c r="Q12" s="660" t="s">
        <v>16</v>
      </c>
      <c r="R12" s="660">
        <v>0.05</v>
      </c>
    </row>
    <row r="13" spans="1:22" ht="15.75" thickTop="1">
      <c r="A13" s="715">
        <v>15</v>
      </c>
      <c r="B13" s="712">
        <v>15.98</v>
      </c>
      <c r="C13" s="715">
        <v>32</v>
      </c>
      <c r="E13" s="398"/>
      <c r="F13" s="398" t="s">
        <v>26</v>
      </c>
      <c r="G13" s="398" t="s">
        <v>137</v>
      </c>
      <c r="H13" s="398" t="s">
        <v>156</v>
      </c>
      <c r="I13" s="398" t="s">
        <v>63</v>
      </c>
      <c r="J13" s="398" t="s">
        <v>30</v>
      </c>
      <c r="K13" s="398" t="s">
        <v>374</v>
      </c>
      <c r="M13" s="398"/>
      <c r="N13" s="398" t="s">
        <v>26</v>
      </c>
      <c r="O13" s="398" t="s">
        <v>137</v>
      </c>
      <c r="P13" s="398" t="s">
        <v>156</v>
      </c>
      <c r="Q13" s="398" t="s">
        <v>63</v>
      </c>
      <c r="R13" s="398" t="s">
        <v>30</v>
      </c>
      <c r="S13" s="398" t="s">
        <v>374</v>
      </c>
    </row>
    <row r="14" spans="1:22">
      <c r="E14" t="s">
        <v>138</v>
      </c>
      <c r="F14">
        <f>COUNT(A7)</f>
        <v>1</v>
      </c>
      <c r="G14" t="e">
        <f ca="1">DEVSQ(MMULT(DESIGN(A7:A13),F19:F20))</f>
        <v>#NAME?</v>
      </c>
      <c r="H14" t="e">
        <f ca="1">G14/F14</f>
        <v>#NAME?</v>
      </c>
      <c r="I14" t="e">
        <f ca="1">H14/H15</f>
        <v>#NAME?</v>
      </c>
      <c r="J14" t="e">
        <f ca="1">FDIST(I14,F14,F15)</f>
        <v>#NAME?</v>
      </c>
      <c r="K14" s="660" t="e">
        <f ca="1">IF(J14&lt;J12,"yes","no")</f>
        <v>#NAME?</v>
      </c>
      <c r="M14" t="s">
        <v>138</v>
      </c>
      <c r="N14">
        <f>COUNT(A7)</f>
        <v>1</v>
      </c>
      <c r="O14" t="e">
        <f ca="1">SUMPRODUCT(C7:C13,MMULT(DESIGN(A7:A13),N19:N20)^2)-SUMPRODUCT(B7:B13,C7:C13)^2/SUM(C7:C13)</f>
        <v>#NAME?</v>
      </c>
      <c r="P14" t="e">
        <f ca="1">O14/N14</f>
        <v>#NAME?</v>
      </c>
      <c r="Q14" t="e">
        <f ca="1">P14/P15</f>
        <v>#NAME?</v>
      </c>
      <c r="R14" t="e">
        <f ca="1">FDIST(Q14,N14,N15)</f>
        <v>#NAME?</v>
      </c>
      <c r="S14" s="660" t="e">
        <f ca="1">IF(R14&lt;R12,"yes","no")</f>
        <v>#NAME?</v>
      </c>
    </row>
    <row r="15" spans="1:22">
      <c r="E15" t="s">
        <v>211</v>
      </c>
      <c r="F15">
        <f>F16-F14</f>
        <v>5</v>
      </c>
      <c r="G15" t="e">
        <f ca="1">G16-G14</f>
        <v>#NAME?</v>
      </c>
      <c r="H15" t="e">
        <f ca="1">G15/F15</f>
        <v>#NAME?</v>
      </c>
      <c r="M15" t="s">
        <v>211</v>
      </c>
      <c r="N15">
        <f>N16-N14</f>
        <v>5</v>
      </c>
      <c r="O15" t="e">
        <f ca="1">O16-O14</f>
        <v>#NAME?</v>
      </c>
      <c r="P15" t="e">
        <f ca="1">O15/N15</f>
        <v>#NAME?</v>
      </c>
    </row>
    <row r="16" spans="1:22">
      <c r="E16" s="285" t="s">
        <v>1</v>
      </c>
      <c r="F16" s="285">
        <f>F10-1</f>
        <v>6</v>
      </c>
      <c r="G16" s="285">
        <f>DEVSQ(B7:B13)</f>
        <v>1.4435428571428586</v>
      </c>
      <c r="H16" s="285"/>
      <c r="I16" s="285"/>
      <c r="J16" s="285"/>
      <c r="K16" s="285"/>
      <c r="M16" s="285" t="s">
        <v>1</v>
      </c>
      <c r="N16" s="285">
        <f>N10-1</f>
        <v>6</v>
      </c>
      <c r="O16" s="285">
        <f>SUMPRODUCT(B7:B13^2,C7:C13)-SUMPRODUCT(B7:B13,C7:C13)^2/SUM(C7:C13)</f>
        <v>36.806164705878473</v>
      </c>
      <c r="P16" s="285"/>
      <c r="Q16" s="285"/>
      <c r="R16" s="285"/>
      <c r="S16" s="285"/>
    </row>
    <row r="17" spans="5:19" ht="15.75" thickBot="1"/>
    <row r="18" spans="5:19" ht="15.75" thickTop="1">
      <c r="E18" s="398"/>
      <c r="F18" s="398" t="s">
        <v>600</v>
      </c>
      <c r="G18" s="398" t="s">
        <v>503</v>
      </c>
      <c r="H18" s="398" t="s">
        <v>27</v>
      </c>
      <c r="I18" s="398" t="s">
        <v>30</v>
      </c>
      <c r="J18" s="398" t="s">
        <v>13</v>
      </c>
      <c r="K18" s="398" t="s">
        <v>14</v>
      </c>
      <c r="M18" s="398"/>
      <c r="N18" s="398" t="s">
        <v>600</v>
      </c>
      <c r="O18" s="398" t="s">
        <v>503</v>
      </c>
      <c r="P18" s="398" t="s">
        <v>27</v>
      </c>
      <c r="Q18" s="398" t="s">
        <v>30</v>
      </c>
      <c r="R18" s="398" t="s">
        <v>13</v>
      </c>
      <c r="S18" s="398" t="s">
        <v>14</v>
      </c>
    </row>
    <row r="19" spans="5:19">
      <c r="E19" t="s">
        <v>212</v>
      </c>
      <c r="F19" t="e">
        <f t="array" aca="1" ref="F19:G20" ca="1">RegCoeff(A7:A13,B7:B13)</f>
        <v>#NAME?</v>
      </c>
      <c r="G19" t="e">
        <f ca="1"/>
        <v>#NAME?</v>
      </c>
      <c r="H19" t="e">
        <f ca="1">F19/G19</f>
        <v>#NAME?</v>
      </c>
      <c r="I19" t="e">
        <f ca="1">TDIST(ABS(H19),$F$15,2)</f>
        <v>#NAME?</v>
      </c>
      <c r="J19" t="e">
        <f ca="1">F19-TINV(J$12,$F$15)*G19</f>
        <v>#NAME?</v>
      </c>
      <c r="K19" t="e">
        <f ca="1">F19+TINV(J$12,$F$15)*G19</f>
        <v>#NAME?</v>
      </c>
      <c r="M19" t="s">
        <v>212</v>
      </c>
      <c r="N19" t="e">
        <f t="array" aca="1" ref="N19:O20" ca="1">WRegCoeff(A7:A13,B7:B13,C7:C13)</f>
        <v>#NAME?</v>
      </c>
      <c r="O19" t="e">
        <f ca="1"/>
        <v>#NAME?</v>
      </c>
      <c r="P19" t="e">
        <f ca="1">N19/O19</f>
        <v>#NAME?</v>
      </c>
      <c r="Q19" t="e">
        <f ca="1">TDIST(ABS(P19),$N$15,2)</f>
        <v>#NAME?</v>
      </c>
      <c r="R19" t="e">
        <f ca="1">N19-TINV(R$12,$N$15)*O19</f>
        <v>#NAME?</v>
      </c>
      <c r="S19" t="e">
        <f ca="1">N19+TINV(R$12,$N$15)*O19</f>
        <v>#NAME?</v>
      </c>
    </row>
    <row r="20" spans="5:19">
      <c r="E20" s="285" t="str">
        <f t="array" ref="E20">TRANSPOSE(A6)</f>
        <v>X</v>
      </c>
      <c r="F20" s="285" t="e">
        <f ca="1"/>
        <v>#NAME?</v>
      </c>
      <c r="G20" s="285" t="e">
        <f ca="1"/>
        <v>#NAME?</v>
      </c>
      <c r="H20" s="285" t="e">
        <f ca="1">F20/G20</f>
        <v>#NAME?</v>
      </c>
      <c r="I20" s="285" t="e">
        <f ca="1">TDIST(ABS(H20),$F$15,2)</f>
        <v>#NAME?</v>
      </c>
      <c r="J20" s="285" t="e">
        <f ca="1">F20-TINV(J$12,$F$15)*G20</f>
        <v>#NAME?</v>
      </c>
      <c r="K20" s="285" t="e">
        <f ca="1">F20+TINV(J$12,$F$15)*G20</f>
        <v>#NAME?</v>
      </c>
      <c r="M20" s="285" t="str">
        <f t="array" ref="M20">TRANSPOSE(A6)</f>
        <v>X</v>
      </c>
      <c r="N20" s="285" t="e">
        <f ca="1"/>
        <v>#NAME?</v>
      </c>
      <c r="O20" s="285" t="e">
        <f ca="1"/>
        <v>#NAME?</v>
      </c>
      <c r="P20" s="285" t="e">
        <f ca="1">N20/O20</f>
        <v>#NAME?</v>
      </c>
      <c r="Q20" s="285" t="e">
        <f ca="1">TDIST(ABS(P20),$N$15,2)</f>
        <v>#NAME?</v>
      </c>
      <c r="R20" s="285" t="e">
        <f ca="1">N20-TINV(R$12,$N$15)*O20</f>
        <v>#NAME?</v>
      </c>
      <c r="S20" s="285" t="e">
        <f ca="1">N20+TINV(R$12,$N$15)*O20</f>
        <v>#NAME?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14"/>
  <dimension ref="A1:P20"/>
  <sheetViews>
    <sheetView workbookViewId="0"/>
  </sheetViews>
  <sheetFormatPr defaultRowHeight="15"/>
  <cols>
    <col min="1" max="1" width="6.5703125" customWidth="1"/>
    <col min="2" max="3" width="9" customWidth="1"/>
    <col min="4" max="4" width="11.42578125" customWidth="1"/>
    <col min="5" max="5" width="3" customWidth="1"/>
    <col min="6" max="7" width="10" customWidth="1"/>
    <col min="8" max="8" width="11.42578125" customWidth="1"/>
    <col min="10" max="10" width="17" customWidth="1"/>
  </cols>
  <sheetData>
    <row r="1" spans="1:16">
      <c r="A1" s="1" t="s">
        <v>752</v>
      </c>
    </row>
    <row r="3" spans="1:16">
      <c r="A3" s="735" t="s">
        <v>754</v>
      </c>
      <c r="B3" s="735"/>
      <c r="C3" s="735"/>
      <c r="D3" s="735"/>
      <c r="E3" s="660"/>
      <c r="F3" s="735" t="s">
        <v>756</v>
      </c>
      <c r="G3" s="735"/>
      <c r="H3" s="735"/>
      <c r="J3" t="s">
        <v>1058</v>
      </c>
    </row>
    <row r="4" spans="1:16">
      <c r="A4" s="573" t="s">
        <v>753</v>
      </c>
      <c r="B4" s="603" t="s">
        <v>13</v>
      </c>
      <c r="C4" s="603" t="s">
        <v>14</v>
      </c>
      <c r="D4" s="575" t="s">
        <v>755</v>
      </c>
      <c r="E4" s="11"/>
      <c r="F4" s="573" t="s">
        <v>8</v>
      </c>
      <c r="G4" s="603" t="s">
        <v>25</v>
      </c>
      <c r="H4" s="494" t="s">
        <v>757</v>
      </c>
    </row>
    <row r="5" spans="1:16" ht="15.75" thickBot="1">
      <c r="A5" s="542">
        <v>1</v>
      </c>
      <c r="B5" s="716">
        <v>2</v>
      </c>
      <c r="C5" s="716">
        <v>25</v>
      </c>
      <c r="D5" s="543">
        <f>LN(AVERAGE(B5,C5))</f>
        <v>2.6026896854443837</v>
      </c>
      <c r="E5" s="5"/>
      <c r="F5" s="294">
        <v>266.7</v>
      </c>
      <c r="G5" s="5">
        <v>60.5</v>
      </c>
      <c r="H5" s="295">
        <f>1/G5^2</f>
        <v>2.7320538214602825E-4</v>
      </c>
      <c r="J5" s="364" t="s">
        <v>606</v>
      </c>
      <c r="K5" s="364"/>
      <c r="M5" s="364"/>
      <c r="N5" s="364"/>
    </row>
    <row r="6" spans="1:16" ht="15.75" thickTop="1">
      <c r="A6" s="294">
        <f>A5+1</f>
        <v>2</v>
      </c>
      <c r="B6" s="5">
        <v>25</v>
      </c>
      <c r="C6" s="5">
        <v>50</v>
      </c>
      <c r="D6" s="295">
        <f t="shared" ref="D6:D12" si="0">LN(AVERAGE(B6,C6))</f>
        <v>3.6243409329763652</v>
      </c>
      <c r="E6" s="5"/>
      <c r="F6" s="294">
        <v>342.5</v>
      </c>
      <c r="G6" s="5">
        <v>68.3</v>
      </c>
      <c r="H6" s="295">
        <f t="shared" ref="H6:H12" si="1">1/G6^2</f>
        <v>2.1436732698948961E-4</v>
      </c>
      <c r="J6" t="s">
        <v>208</v>
      </c>
      <c r="K6" t="e">
        <f ca="1">SQRT(K7)</f>
        <v>#NAME?</v>
      </c>
      <c r="M6" t="s">
        <v>498</v>
      </c>
      <c r="N6" t="e">
        <f ca="1">K10*LN(L15/K10)+2*K14</f>
        <v>#NAME?</v>
      </c>
    </row>
    <row r="7" spans="1:16">
      <c r="A7" s="294">
        <f t="shared" ref="A7:A12" si="2">A6+1</f>
        <v>3</v>
      </c>
      <c r="B7" s="5">
        <v>50</v>
      </c>
      <c r="C7" s="5">
        <v>100</v>
      </c>
      <c r="D7" s="295">
        <f t="shared" si="0"/>
        <v>4.3174881135363101</v>
      </c>
      <c r="E7" s="5"/>
      <c r="F7" s="294">
        <v>418.1</v>
      </c>
      <c r="G7" s="5">
        <v>81.400000000000006</v>
      </c>
      <c r="H7" s="295">
        <f t="shared" si="1"/>
        <v>1.5092152684290273E-4</v>
      </c>
      <c r="J7" t="s">
        <v>201</v>
      </c>
      <c r="K7" t="e">
        <f ca="1">L14/L16</f>
        <v>#NAME?</v>
      </c>
      <c r="M7" t="s">
        <v>499</v>
      </c>
      <c r="N7" t="e">
        <f ca="1">N6+2*(K14+1)*(K14+2)/(K10-K14-2)</f>
        <v>#NAME?</v>
      </c>
    </row>
    <row r="8" spans="1:16">
      <c r="A8" s="294">
        <f t="shared" si="2"/>
        <v>4</v>
      </c>
      <c r="B8" s="5">
        <v>100</v>
      </c>
      <c r="C8" s="5">
        <v>250</v>
      </c>
      <c r="D8" s="295">
        <f t="shared" si="0"/>
        <v>5.1647859739235145</v>
      </c>
      <c r="E8" s="5"/>
      <c r="F8" s="294">
        <v>494.2</v>
      </c>
      <c r="G8" s="5">
        <v>98.8</v>
      </c>
      <c r="H8" s="295">
        <f t="shared" si="1"/>
        <v>1.0244390171941846E-4</v>
      </c>
      <c r="J8" t="s">
        <v>209</v>
      </c>
      <c r="K8" t="e">
        <f ca="1">1-(1-K7)*K10/(K10-K14)</f>
        <v>#NAME?</v>
      </c>
      <c r="M8" s="285" t="s">
        <v>749</v>
      </c>
      <c r="N8" s="285" t="e">
        <f ca="1">K10*LN(L15/K10)+K14*LN(K10)</f>
        <v>#NAME?</v>
      </c>
    </row>
    <row r="9" spans="1:16">
      <c r="A9" s="294">
        <f t="shared" si="2"/>
        <v>5</v>
      </c>
      <c r="B9" s="5">
        <v>250</v>
      </c>
      <c r="C9" s="5">
        <v>500</v>
      </c>
      <c r="D9" s="295">
        <f t="shared" si="0"/>
        <v>5.9269260259704106</v>
      </c>
      <c r="E9" s="5"/>
      <c r="F9" s="294">
        <v>608.29999999999995</v>
      </c>
      <c r="G9" s="5">
        <v>110.6</v>
      </c>
      <c r="H9" s="295">
        <f t="shared" si="1"/>
        <v>8.1750373599207352E-5</v>
      </c>
      <c r="J9" t="s">
        <v>9</v>
      </c>
      <c r="K9" t="e">
        <f ca="1">SQRT(M15)</f>
        <v>#NAME?</v>
      </c>
    </row>
    <row r="10" spans="1:16">
      <c r="A10" s="294">
        <f t="shared" si="2"/>
        <v>6</v>
      </c>
      <c r="B10" s="5">
        <v>500</v>
      </c>
      <c r="C10" s="5">
        <v>1000</v>
      </c>
      <c r="D10" s="295">
        <f t="shared" si="0"/>
        <v>6.620073206530356</v>
      </c>
      <c r="E10" s="5"/>
      <c r="F10" s="294">
        <v>798.3</v>
      </c>
      <c r="G10" s="5">
        <v>145.6</v>
      </c>
      <c r="H10" s="295">
        <f t="shared" si="1"/>
        <v>4.7171235358048554E-5</v>
      </c>
      <c r="J10" s="285" t="s">
        <v>42</v>
      </c>
      <c r="K10" s="285">
        <f>COUNT(F5:F12)</f>
        <v>8</v>
      </c>
    </row>
    <row r="11" spans="1:16">
      <c r="A11" s="294">
        <f t="shared" si="2"/>
        <v>7</v>
      </c>
      <c r="B11" s="5">
        <v>1000</v>
      </c>
      <c r="C11" s="5">
        <v>5000</v>
      </c>
      <c r="D11" s="295">
        <f t="shared" si="0"/>
        <v>8.0063675676502459</v>
      </c>
      <c r="E11" s="5"/>
      <c r="F11" s="294">
        <v>950.6</v>
      </c>
      <c r="G11" s="5">
        <v>173.1</v>
      </c>
      <c r="H11" s="295">
        <f t="shared" si="1"/>
        <v>3.3373815771864611E-5</v>
      </c>
    </row>
    <row r="12" spans="1:16" ht="15.75" thickBot="1">
      <c r="A12" s="284">
        <f t="shared" si="2"/>
        <v>8</v>
      </c>
      <c r="B12" s="285">
        <v>5000</v>
      </c>
      <c r="C12" s="285">
        <v>10000</v>
      </c>
      <c r="D12" s="288">
        <f t="shared" si="0"/>
        <v>8.9226582995244019</v>
      </c>
      <c r="E12" s="5"/>
      <c r="F12" s="284">
        <v>1216.5</v>
      </c>
      <c r="G12" s="285">
        <v>238.3</v>
      </c>
      <c r="H12" s="288">
        <f t="shared" si="1"/>
        <v>1.7609698294800083E-5</v>
      </c>
      <c r="J12" t="s">
        <v>210</v>
      </c>
      <c r="N12" s="660" t="s">
        <v>16</v>
      </c>
      <c r="O12" s="660">
        <v>0.05</v>
      </c>
    </row>
    <row r="13" spans="1:16" ht="15.75" thickTop="1">
      <c r="J13" s="398"/>
      <c r="K13" s="398" t="s">
        <v>26</v>
      </c>
      <c r="L13" s="398" t="s">
        <v>137</v>
      </c>
      <c r="M13" s="398" t="s">
        <v>156</v>
      </c>
      <c r="N13" s="398" t="s">
        <v>63</v>
      </c>
      <c r="O13" s="398" t="s">
        <v>30</v>
      </c>
      <c r="P13" s="398" t="s">
        <v>374</v>
      </c>
    </row>
    <row r="14" spans="1:16">
      <c r="J14" t="s">
        <v>138</v>
      </c>
      <c r="K14">
        <f>COUNT(D5)</f>
        <v>1</v>
      </c>
      <c r="L14" t="e">
        <f ca="1">SUMPRODUCT(H5:H12,MMULT(DESIGN(D5:D12),K19:K20)^2)-SUMPRODUCT(F5:F12,H5:H12)^2/SUM(H5:H12)</f>
        <v>#NAME?</v>
      </c>
      <c r="M14" t="e">
        <f ca="1">L14/K14</f>
        <v>#NAME?</v>
      </c>
      <c r="N14" t="e">
        <f ca="1">M14/M15</f>
        <v>#NAME?</v>
      </c>
      <c r="O14" t="e">
        <f ca="1">FDIST(N14,K14,K15)</f>
        <v>#NAME?</v>
      </c>
      <c r="P14" s="660" t="e">
        <f ca="1">IF(O14&lt;O12,"yes","no")</f>
        <v>#NAME?</v>
      </c>
    </row>
    <row r="15" spans="1:16">
      <c r="J15" t="s">
        <v>211</v>
      </c>
      <c r="K15">
        <f>K16-K14</f>
        <v>6</v>
      </c>
      <c r="L15" t="e">
        <f ca="1">L16-L14</f>
        <v>#NAME?</v>
      </c>
      <c r="M15" t="e">
        <f ca="1">L15/K15</f>
        <v>#NAME?</v>
      </c>
    </row>
    <row r="16" spans="1:16">
      <c r="J16" s="285" t="s">
        <v>1</v>
      </c>
      <c r="K16" s="285">
        <f>K10-1</f>
        <v>7</v>
      </c>
      <c r="L16" s="285">
        <f>SUMPRODUCT(F5:F12^2,H5:H12)-SUMPRODUCT(F5:F12,H5:H12)^2/SUM(H5:H12)</f>
        <v>38.283204753879801</v>
      </c>
      <c r="M16" s="285"/>
      <c r="N16" s="285"/>
      <c r="O16" s="285"/>
      <c r="P16" s="285"/>
    </row>
    <row r="17" spans="10:16" ht="15.75" thickBot="1"/>
    <row r="18" spans="10:16" ht="15.75" thickTop="1">
      <c r="J18" s="398"/>
      <c r="K18" s="398" t="s">
        <v>600</v>
      </c>
      <c r="L18" s="398" t="s">
        <v>503</v>
      </c>
      <c r="M18" s="398" t="s">
        <v>27</v>
      </c>
      <c r="N18" s="398" t="s">
        <v>30</v>
      </c>
      <c r="O18" s="398" t="s">
        <v>13</v>
      </c>
      <c r="P18" s="398" t="s">
        <v>14</v>
      </c>
    </row>
    <row r="19" spans="10:16">
      <c r="J19" t="s">
        <v>212</v>
      </c>
      <c r="K19" t="e">
        <f t="array" aca="1" ref="K19:L20" ca="1">WRegCoeff(D5:D12,F5:F12,H5:H12)</f>
        <v>#NAME?</v>
      </c>
      <c r="L19" t="e">
        <f ca="1"/>
        <v>#NAME?</v>
      </c>
      <c r="M19" t="e">
        <f ca="1">K19/L19</f>
        <v>#NAME?</v>
      </c>
      <c r="N19" t="e">
        <f ca="1">TDIST(ABS(M19),$K$15,2)</f>
        <v>#NAME?</v>
      </c>
      <c r="O19" t="e">
        <f ca="1">K19-TINV(O$12,$K$15)*L19</f>
        <v>#NAME?</v>
      </c>
      <c r="P19" t="e">
        <f ca="1">K19+TINV(O$12,$K$15)*L19</f>
        <v>#NAME?</v>
      </c>
    </row>
    <row r="20" spans="10:16">
      <c r="J20" s="285" t="str">
        <f t="array" ref="J20">TRANSPOSE(D4)</f>
        <v>Ln(mean)</v>
      </c>
      <c r="K20" s="285" t="e">
        <f ca="1"/>
        <v>#NAME?</v>
      </c>
      <c r="L20" s="285" t="e">
        <f ca="1"/>
        <v>#NAME?</v>
      </c>
      <c r="M20" s="285" t="e">
        <f ca="1">K20/L20</f>
        <v>#NAME?</v>
      </c>
      <c r="N20" s="285" t="e">
        <f ca="1">TDIST(ABS(M20),$K$15,2)</f>
        <v>#NAME?</v>
      </c>
      <c r="O20" s="285" t="e">
        <f ca="1">K20-TINV(O$12,$K$15)*L20</f>
        <v>#NAME?</v>
      </c>
      <c r="P20" s="285" t="e">
        <f ca="1">K20+TINV(O$12,$K$15)*L20</f>
        <v>#NAME?</v>
      </c>
    </row>
  </sheetData>
  <mergeCells count="2">
    <mergeCell ref="A3:D3"/>
    <mergeCell ref="F3:H3"/>
  </mergeCells>
  <pageMargins left="0.7" right="0.7" top="0.75" bottom="0.75" header="0.3" footer="0.3"/>
  <pageSetup paperSize="9" orientation="portrait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15"/>
  <dimension ref="A1:AY22"/>
  <sheetViews>
    <sheetView workbookViewId="0"/>
  </sheetViews>
  <sheetFormatPr defaultRowHeight="15"/>
  <cols>
    <col min="11" max="11" width="16.5703125" customWidth="1"/>
    <col min="19" max="21" width="7.140625" customWidth="1"/>
    <col min="40" max="40" width="5.42578125" style="660" customWidth="1"/>
    <col min="44" max="44" width="4.42578125" customWidth="1"/>
    <col min="45" max="45" width="13.42578125" customWidth="1"/>
  </cols>
  <sheetData>
    <row r="1" spans="1:51">
      <c r="A1" t="s">
        <v>1057</v>
      </c>
    </row>
    <row r="2" spans="1:51">
      <c r="A2" s="5"/>
      <c r="B2" s="5"/>
      <c r="C2" s="5"/>
      <c r="D2" s="5"/>
      <c r="E2" s="5"/>
      <c r="F2" s="5"/>
      <c r="G2" s="5"/>
      <c r="H2" s="5"/>
      <c r="I2" s="5"/>
    </row>
    <row r="3" spans="1:51">
      <c r="A3" s="717" t="s">
        <v>1060</v>
      </c>
      <c r="B3" s="717" t="s">
        <v>1061</v>
      </c>
      <c r="C3" s="718"/>
      <c r="D3" s="718"/>
      <c r="E3" s="718"/>
      <c r="F3" s="718"/>
      <c r="G3" s="718"/>
      <c r="H3" s="718"/>
      <c r="I3" s="718"/>
      <c r="K3" t="s">
        <v>601</v>
      </c>
      <c r="S3" t="s">
        <v>476</v>
      </c>
      <c r="AS3" t="s">
        <v>1058</v>
      </c>
    </row>
    <row r="4" spans="1:51" ht="15.75" thickBot="1">
      <c r="A4" s="719">
        <v>26</v>
      </c>
      <c r="B4" s="719">
        <v>61</v>
      </c>
      <c r="C4" s="720"/>
      <c r="D4" s="720"/>
      <c r="E4" s="720"/>
      <c r="F4" s="720"/>
      <c r="G4" s="720"/>
      <c r="H4" s="720"/>
      <c r="I4" s="720"/>
    </row>
    <row r="5" spans="1:51" ht="16.5" thickTop="1" thickBot="1">
      <c r="A5" s="719">
        <v>24</v>
      </c>
      <c r="B5" s="719">
        <v>59</v>
      </c>
      <c r="C5" s="720"/>
      <c r="D5" s="720"/>
      <c r="E5" s="720"/>
      <c r="F5" s="720"/>
      <c r="G5" s="720"/>
      <c r="H5" s="720"/>
      <c r="I5" s="720"/>
      <c r="K5" s="364" t="s">
        <v>606</v>
      </c>
      <c r="L5" s="364"/>
      <c r="N5" s="364"/>
      <c r="O5" s="364"/>
      <c r="S5" s="398" t="s">
        <v>55</v>
      </c>
      <c r="T5" s="398" t="str">
        <f t="shared" ref="T5:U17" si="0">A3</f>
        <v>Ad</v>
      </c>
      <c r="U5" s="398" t="str">
        <f t="shared" si="0"/>
        <v>Clients</v>
      </c>
      <c r="V5" s="398" t="s">
        <v>471</v>
      </c>
      <c r="W5" s="398" t="s">
        <v>211</v>
      </c>
      <c r="X5" s="398" t="s">
        <v>472</v>
      </c>
      <c r="Y5" s="398" t="s">
        <v>623</v>
      </c>
      <c r="Z5" s="398" t="s">
        <v>473</v>
      </c>
      <c r="AA5" s="398" t="s">
        <v>474</v>
      </c>
      <c r="AB5" s="398" t="s">
        <v>595</v>
      </c>
      <c r="AC5" s="398" t="s">
        <v>476</v>
      </c>
      <c r="AD5" s="398" t="s">
        <v>594</v>
      </c>
      <c r="AN5" s="398" t="str">
        <f t="shared" ref="AN5:AN17" si="1">T5</f>
        <v>Ad</v>
      </c>
      <c r="AO5" s="398" t="s">
        <v>1062</v>
      </c>
      <c r="AP5" s="398" t="s">
        <v>1063</v>
      </c>
      <c r="AQ5" s="398" t="s">
        <v>1064</v>
      </c>
      <c r="AR5" s="180"/>
      <c r="AS5" s="364" t="s">
        <v>606</v>
      </c>
      <c r="AT5" s="364"/>
      <c r="AV5" s="364"/>
      <c r="AW5" s="364"/>
    </row>
    <row r="6" spans="1:51" ht="15.75" thickTop="1">
      <c r="A6" s="719">
        <v>32</v>
      </c>
      <c r="B6" s="719">
        <v>74</v>
      </c>
      <c r="C6" s="720"/>
      <c r="D6" s="720"/>
      <c r="E6" s="720"/>
      <c r="F6" s="720"/>
      <c r="G6" s="720"/>
      <c r="H6" s="720"/>
      <c r="I6" s="720"/>
      <c r="K6" t="s">
        <v>208</v>
      </c>
      <c r="L6" t="e">
        <f ca="1">SQRT(L7)</f>
        <v>#NAME?</v>
      </c>
      <c r="N6" t="s">
        <v>498</v>
      </c>
      <c r="O6" t="e">
        <f ca="1">L10*LN(M15/L10)+2*(L14+1)</f>
        <v>#NAME?</v>
      </c>
      <c r="S6">
        <v>1</v>
      </c>
      <c r="T6">
        <f t="shared" si="0"/>
        <v>26</v>
      </c>
      <c r="U6">
        <f t="shared" si="0"/>
        <v>61</v>
      </c>
      <c r="V6">
        <f t="array" ref="V6:V17">TREND(B4:B15,A4:A15)</f>
        <v>61.226890756302517</v>
      </c>
      <c r="W6">
        <f>U6-V6</f>
        <v>-0.22689075630251665</v>
      </c>
      <c r="X6" t="e">
        <f t="array" aca="1" ref="X6:X17" ca="1">LEVERAGE(A4:A15)</f>
        <v>#NAME?</v>
      </c>
      <c r="Y6">
        <f t="shared" ref="Y6:Y17" si="2">W6/SQRT($AD$21)</f>
        <v>-4.2526245487047261E-2</v>
      </c>
      <c r="Z6" t="e">
        <f t="shared" ref="Z6:Z17" ca="1" si="3">($AD$21-W6^2/((1-X6)*$AD$20))*$AD$20/($AD$20-1)</f>
        <v>#NAME?</v>
      </c>
      <c r="AA6" t="e">
        <f ca="1">W6/SQRT(Z6*(1-X6))</f>
        <v>#NAME?</v>
      </c>
      <c r="AB6" t="e">
        <f t="shared" ref="AB6:AB17" ca="1" si="4">TDIST(ABS(AA6),$AD$20,2)</f>
        <v>#NAME?</v>
      </c>
      <c r="AC6" t="e">
        <f t="shared" ref="AC6:AC17" ca="1" si="5">(W6^2/$AD$21)*(X6/(1-X6)^2)/($AD$22+1)</f>
        <v>#NAME?</v>
      </c>
      <c r="AD6" t="e">
        <f ca="1">AA6*SQRT(X6/(1-X6))</f>
        <v>#NAME?</v>
      </c>
      <c r="AN6" s="660">
        <f t="shared" si="1"/>
        <v>26</v>
      </c>
      <c r="AO6">
        <f t="shared" ref="AO6:AO17" si="6">ABS(W6)</f>
        <v>0.22689075630251665</v>
      </c>
      <c r="AP6">
        <f t="array" ref="AP6:AP17">TREND(AO6:AO17,AN6:AN17)</f>
        <v>4.7505825859755646</v>
      </c>
      <c r="AQ6">
        <f>1/AP6^2</f>
        <v>4.431045964601972E-2</v>
      </c>
      <c r="AS6" t="s">
        <v>208</v>
      </c>
      <c r="AT6" t="e">
        <f ca="1">SQRT(AT7)</f>
        <v>#NAME?</v>
      </c>
      <c r="AV6" t="s">
        <v>498</v>
      </c>
      <c r="AW6" t="e">
        <f ca="1">AT10*LN(AU15/AT10)+2*AT14</f>
        <v>#NAME?</v>
      </c>
    </row>
    <row r="7" spans="1:51">
      <c r="A7" s="719">
        <v>20</v>
      </c>
      <c r="B7" s="719">
        <v>39</v>
      </c>
      <c r="C7" s="720"/>
      <c r="D7" s="720"/>
      <c r="E7" s="720"/>
      <c r="F7" s="720"/>
      <c r="G7" s="720"/>
      <c r="H7" s="720"/>
      <c r="I7" s="720"/>
      <c r="K7" t="s">
        <v>201</v>
      </c>
      <c r="L7" t="e">
        <f ca="1">M14/M16</f>
        <v>#NAME?</v>
      </c>
      <c r="N7" t="s">
        <v>499</v>
      </c>
      <c r="O7" t="e">
        <f ca="1">O6+2*(L14+2)*(L14+3)/(L10-L14-3)</f>
        <v>#NAME?</v>
      </c>
      <c r="S7">
        <f>S6+1</f>
        <v>2</v>
      </c>
      <c r="T7">
        <f t="shared" si="0"/>
        <v>24</v>
      </c>
      <c r="U7">
        <f t="shared" si="0"/>
        <v>59</v>
      </c>
      <c r="V7">
        <v>54.386554621848738</v>
      </c>
      <c r="W7">
        <f t="shared" ref="W7:W17" si="7">U7-V7</f>
        <v>4.6134453781512619</v>
      </c>
      <c r="X7" t="e">
        <f ca="1"/>
        <v>#NAME?</v>
      </c>
      <c r="Y7">
        <f t="shared" si="2"/>
        <v>0.86470032490331117</v>
      </c>
      <c r="Z7" t="e">
        <f t="shared" ca="1" si="3"/>
        <v>#NAME?</v>
      </c>
      <c r="AA7" t="e">
        <f t="shared" ref="AA7:AA17" ca="1" si="8">W7/SQRT(Z7*(1-X7))</f>
        <v>#NAME?</v>
      </c>
      <c r="AB7" t="e">
        <f t="shared" ca="1" si="4"/>
        <v>#NAME?</v>
      </c>
      <c r="AC7" t="e">
        <f t="shared" ca="1" si="5"/>
        <v>#NAME?</v>
      </c>
      <c r="AD7" t="e">
        <f t="shared" ref="AD7:AD17" ca="1" si="9">AA7*SQRT(X7/(1-X7))</f>
        <v>#NAME?</v>
      </c>
      <c r="AN7" s="660">
        <f t="shared" si="1"/>
        <v>24</v>
      </c>
      <c r="AO7">
        <f t="shared" si="6"/>
        <v>4.6134453781512619</v>
      </c>
      <c r="AP7">
        <v>3.7213473624744005</v>
      </c>
      <c r="AQ7">
        <f t="shared" ref="AQ7:AQ17" si="10">1/AP7^2</f>
        <v>7.2210371497924378E-2</v>
      </c>
      <c r="AS7" t="s">
        <v>201</v>
      </c>
      <c r="AT7" t="e">
        <f ca="1">AU14/AU16</f>
        <v>#NAME?</v>
      </c>
      <c r="AV7" t="s">
        <v>499</v>
      </c>
      <c r="AW7" t="e">
        <f ca="1">AW6+2*(AT14+1)*(AT14+2)/(AT10-AT14-2)</f>
        <v>#NAME?</v>
      </c>
    </row>
    <row r="8" spans="1:51">
      <c r="A8" s="719">
        <v>24</v>
      </c>
      <c r="B8" s="719">
        <v>51</v>
      </c>
      <c r="C8" s="720"/>
      <c r="D8" s="720"/>
      <c r="E8" s="720"/>
      <c r="F8" s="720"/>
      <c r="G8" s="720"/>
      <c r="H8" s="720"/>
      <c r="I8" s="720"/>
      <c r="K8" t="s">
        <v>209</v>
      </c>
      <c r="L8" t="e">
        <f ca="1">1-(1-L7)*(L10-1)/(L10-L14-1)</f>
        <v>#NAME?</v>
      </c>
      <c r="N8" s="285" t="s">
        <v>762</v>
      </c>
      <c r="O8" s="285" t="e">
        <f ca="1">L10*LN(M15/L10)+(L14+1)*LN(L10)</f>
        <v>#NAME?</v>
      </c>
      <c r="S8">
        <f t="shared" ref="S8:S17" si="11">S7+1</f>
        <v>3</v>
      </c>
      <c r="T8">
        <f t="shared" si="0"/>
        <v>32</v>
      </c>
      <c r="U8">
        <f t="shared" si="0"/>
        <v>74</v>
      </c>
      <c r="V8">
        <v>81.747899159663859</v>
      </c>
      <c r="W8">
        <f t="shared" si="7"/>
        <v>-7.7478991596638593</v>
      </c>
      <c r="X8" t="e">
        <f ca="1"/>
        <v>#NAME?</v>
      </c>
      <c r="Y8">
        <f t="shared" si="2"/>
        <v>-1.4521925310762331</v>
      </c>
      <c r="Z8" t="e">
        <f t="shared" ca="1" si="3"/>
        <v>#NAME?</v>
      </c>
      <c r="AA8" t="e">
        <f t="shared" ca="1" si="8"/>
        <v>#NAME?</v>
      </c>
      <c r="AB8" t="e">
        <f t="shared" ca="1" si="4"/>
        <v>#NAME?</v>
      </c>
      <c r="AC8" t="e">
        <f t="shared" ca="1" si="5"/>
        <v>#NAME?</v>
      </c>
      <c r="AD8" t="e">
        <f t="shared" ca="1" si="9"/>
        <v>#NAME?</v>
      </c>
      <c r="AN8" s="660">
        <f t="shared" si="1"/>
        <v>32</v>
      </c>
      <c r="AO8">
        <f t="shared" si="6"/>
        <v>7.7478991596638593</v>
      </c>
      <c r="AP8">
        <v>7.838288256479057</v>
      </c>
      <c r="AQ8">
        <f t="shared" si="10"/>
        <v>1.6276369421550033E-2</v>
      </c>
      <c r="AS8" t="s">
        <v>1059</v>
      </c>
      <c r="AT8" t="e">
        <f ca="1">1-(1-AT7)*AT10/(AT10-AT14)</f>
        <v>#NAME?</v>
      </c>
      <c r="AV8" s="285" t="s">
        <v>749</v>
      </c>
      <c r="AW8" s="285" t="e">
        <f ca="1">AT10*LN(AU15/AT10)+AT14*LN(AT10)</f>
        <v>#NAME?</v>
      </c>
    </row>
    <row r="9" spans="1:51">
      <c r="A9" s="719">
        <v>27</v>
      </c>
      <c r="B9" s="719">
        <v>59</v>
      </c>
      <c r="C9" s="720"/>
      <c r="D9" s="720"/>
      <c r="E9" s="720"/>
      <c r="F9" s="720"/>
      <c r="G9" s="720"/>
      <c r="H9" s="720"/>
      <c r="I9" s="720"/>
      <c r="K9" t="s">
        <v>9</v>
      </c>
      <c r="L9" t="e">
        <f ca="1">SQRT(N15)</f>
        <v>#NAME?</v>
      </c>
      <c r="S9">
        <f t="shared" si="11"/>
        <v>4</v>
      </c>
      <c r="T9">
        <f t="shared" si="0"/>
        <v>20</v>
      </c>
      <c r="U9">
        <f t="shared" si="0"/>
        <v>39</v>
      </c>
      <c r="V9">
        <v>40.705882352941181</v>
      </c>
      <c r="W9">
        <f t="shared" si="7"/>
        <v>-1.7058823529411811</v>
      </c>
      <c r="X9" t="e">
        <f ca="1"/>
        <v>#NAME?</v>
      </c>
      <c r="Y9">
        <f t="shared" si="2"/>
        <v>-0.3197343642174364</v>
      </c>
      <c r="Z9" t="e">
        <f t="shared" ca="1" si="3"/>
        <v>#NAME?</v>
      </c>
      <c r="AA9" t="e">
        <f t="shared" ca="1" si="8"/>
        <v>#NAME?</v>
      </c>
      <c r="AB9" t="e">
        <f t="shared" ca="1" si="4"/>
        <v>#NAME?</v>
      </c>
      <c r="AC9" t="e">
        <f t="shared" ca="1" si="5"/>
        <v>#NAME?</v>
      </c>
      <c r="AD9" t="e">
        <f t="shared" ca="1" si="9"/>
        <v>#NAME?</v>
      </c>
      <c r="AN9" s="660">
        <f t="shared" si="1"/>
        <v>20</v>
      </c>
      <c r="AO9">
        <f t="shared" si="6"/>
        <v>1.7058823529411811</v>
      </c>
      <c r="AP9">
        <v>1.6628769154720722</v>
      </c>
      <c r="AQ9">
        <f t="shared" si="10"/>
        <v>0.36164277352282859</v>
      </c>
      <c r="AS9" t="s">
        <v>9</v>
      </c>
      <c r="AT9" t="e">
        <f ca="1">SQRT(AV15)</f>
        <v>#NAME?</v>
      </c>
    </row>
    <row r="10" spans="1:51">
      <c r="A10" s="719">
        <v>20</v>
      </c>
      <c r="B10" s="719">
        <v>44</v>
      </c>
      <c r="C10" s="720"/>
      <c r="D10" s="720"/>
      <c r="E10" s="720"/>
      <c r="F10" s="720"/>
      <c r="G10" s="720"/>
      <c r="H10" s="720"/>
      <c r="I10" s="720"/>
      <c r="K10" s="285" t="s">
        <v>42</v>
      </c>
      <c r="L10" s="285">
        <f>COUNT(B4:B15)</f>
        <v>12</v>
      </c>
      <c r="S10">
        <f t="shared" si="11"/>
        <v>5</v>
      </c>
      <c r="T10">
        <f t="shared" si="0"/>
        <v>24</v>
      </c>
      <c r="U10">
        <f t="shared" si="0"/>
        <v>51</v>
      </c>
      <c r="V10">
        <v>54.386554621848738</v>
      </c>
      <c r="W10">
        <f t="shared" si="7"/>
        <v>-3.3865546218487381</v>
      </c>
      <c r="X10" t="e">
        <f ca="1"/>
        <v>#NAME?</v>
      </c>
      <c r="Y10">
        <f t="shared" si="2"/>
        <v>-0.63474359004742109</v>
      </c>
      <c r="Z10" t="e">
        <f t="shared" ca="1" si="3"/>
        <v>#NAME?</v>
      </c>
      <c r="AA10" t="e">
        <f t="shared" ca="1" si="8"/>
        <v>#NAME?</v>
      </c>
      <c r="AB10" t="e">
        <f t="shared" ca="1" si="4"/>
        <v>#NAME?</v>
      </c>
      <c r="AC10" t="e">
        <f t="shared" ca="1" si="5"/>
        <v>#NAME?</v>
      </c>
      <c r="AD10" t="e">
        <f t="shared" ca="1" si="9"/>
        <v>#NAME?</v>
      </c>
      <c r="AN10" s="660">
        <f t="shared" si="1"/>
        <v>24</v>
      </c>
      <c r="AO10">
        <f t="shared" si="6"/>
        <v>3.3865546218487381</v>
      </c>
      <c r="AP10">
        <v>3.7213473624744005</v>
      </c>
      <c r="AQ10">
        <f t="shared" si="10"/>
        <v>7.2210371497924378E-2</v>
      </c>
      <c r="AS10" s="285" t="s">
        <v>42</v>
      </c>
      <c r="AT10" s="285">
        <f>COUNT(B4:B15)</f>
        <v>12</v>
      </c>
    </row>
    <row r="11" spans="1:51">
      <c r="A11" s="719">
        <v>23</v>
      </c>
      <c r="B11" s="719">
        <v>52</v>
      </c>
      <c r="C11" s="720"/>
      <c r="D11" s="720"/>
      <c r="E11" s="720"/>
      <c r="F11" s="720"/>
      <c r="G11" s="720"/>
      <c r="H11" s="720"/>
      <c r="I11" s="720"/>
      <c r="S11">
        <f t="shared" si="11"/>
        <v>6</v>
      </c>
      <c r="T11">
        <f t="shared" si="0"/>
        <v>27</v>
      </c>
      <c r="U11">
        <f t="shared" si="0"/>
        <v>59</v>
      </c>
      <c r="V11">
        <v>64.647058823529392</v>
      </c>
      <c r="W11">
        <f t="shared" si="7"/>
        <v>-5.6470588235293917</v>
      </c>
      <c r="X11" t="e">
        <f ca="1"/>
        <v>#NAME?</v>
      </c>
      <c r="Y11">
        <f t="shared" si="2"/>
        <v>-1.0584309987887484</v>
      </c>
      <c r="Z11" t="e">
        <f t="shared" ca="1" si="3"/>
        <v>#NAME?</v>
      </c>
      <c r="AA11" t="e">
        <f t="shared" ca="1" si="8"/>
        <v>#NAME?</v>
      </c>
      <c r="AB11" t="e">
        <f t="shared" ca="1" si="4"/>
        <v>#NAME?</v>
      </c>
      <c r="AC11" t="e">
        <f t="shared" ca="1" si="5"/>
        <v>#NAME?</v>
      </c>
      <c r="AD11" t="e">
        <f t="shared" ca="1" si="9"/>
        <v>#NAME?</v>
      </c>
      <c r="AN11" s="660">
        <f t="shared" si="1"/>
        <v>27</v>
      </c>
      <c r="AO11">
        <f t="shared" si="6"/>
        <v>5.6470588235293917</v>
      </c>
      <c r="AP11">
        <v>5.2652001977261467</v>
      </c>
      <c r="AQ11">
        <f t="shared" si="10"/>
        <v>3.6071999986232395E-2</v>
      </c>
    </row>
    <row r="12" spans="1:51" ht="15.75" thickBot="1">
      <c r="A12" s="719">
        <v>29</v>
      </c>
      <c r="B12" s="719">
        <v>81</v>
      </c>
      <c r="C12" s="720"/>
      <c r="D12" s="720"/>
      <c r="E12" s="720"/>
      <c r="F12" s="720"/>
      <c r="G12" s="720"/>
      <c r="H12" s="720"/>
      <c r="I12" s="720"/>
      <c r="K12" t="s">
        <v>210</v>
      </c>
      <c r="O12" s="660" t="s">
        <v>16</v>
      </c>
      <c r="P12" s="660">
        <v>0.05</v>
      </c>
      <c r="S12">
        <f t="shared" si="11"/>
        <v>7</v>
      </c>
      <c r="T12">
        <f t="shared" si="0"/>
        <v>20</v>
      </c>
      <c r="U12">
        <f t="shared" si="0"/>
        <v>44</v>
      </c>
      <c r="V12">
        <v>40.705882352941181</v>
      </c>
      <c r="W12">
        <f t="shared" si="7"/>
        <v>3.2941176470588189</v>
      </c>
      <c r="X12" t="e">
        <f ca="1"/>
        <v>#NAME?</v>
      </c>
      <c r="Y12">
        <f t="shared" si="2"/>
        <v>0.61741808262677123</v>
      </c>
      <c r="Z12" t="e">
        <f t="shared" ca="1" si="3"/>
        <v>#NAME?</v>
      </c>
      <c r="AA12" t="e">
        <f t="shared" ca="1" si="8"/>
        <v>#NAME?</v>
      </c>
      <c r="AB12" t="e">
        <f t="shared" ca="1" si="4"/>
        <v>#NAME?</v>
      </c>
      <c r="AC12" t="e">
        <f t="shared" ca="1" si="5"/>
        <v>#NAME?</v>
      </c>
      <c r="AD12" t="e">
        <f t="shared" ca="1" si="9"/>
        <v>#NAME?</v>
      </c>
      <c r="AN12" s="660">
        <f t="shared" si="1"/>
        <v>20</v>
      </c>
      <c r="AO12">
        <f t="shared" si="6"/>
        <v>3.2941176470588189</v>
      </c>
      <c r="AP12">
        <v>1.6628769154720722</v>
      </c>
      <c r="AQ12">
        <f t="shared" si="10"/>
        <v>0.36164277352282859</v>
      </c>
      <c r="AS12" t="s">
        <v>210</v>
      </c>
      <c r="AW12" s="660" t="s">
        <v>16</v>
      </c>
      <c r="AX12" s="660">
        <v>0.05</v>
      </c>
    </row>
    <row r="13" spans="1:51" ht="15.75" thickTop="1">
      <c r="A13" s="719">
        <v>22</v>
      </c>
      <c r="B13" s="719">
        <v>46</v>
      </c>
      <c r="C13" s="720"/>
      <c r="D13" s="720"/>
      <c r="E13" s="720"/>
      <c r="F13" s="720"/>
      <c r="G13" s="720"/>
      <c r="H13" s="720"/>
      <c r="I13" s="720"/>
      <c r="K13" s="398"/>
      <c r="L13" s="398" t="s">
        <v>26</v>
      </c>
      <c r="M13" s="398" t="s">
        <v>137</v>
      </c>
      <c r="N13" s="398" t="s">
        <v>156</v>
      </c>
      <c r="O13" s="398" t="s">
        <v>63</v>
      </c>
      <c r="P13" s="398" t="s">
        <v>30</v>
      </c>
      <c r="Q13" s="398" t="s">
        <v>374</v>
      </c>
      <c r="S13">
        <f t="shared" si="11"/>
        <v>8</v>
      </c>
      <c r="T13">
        <f t="shared" si="0"/>
        <v>23</v>
      </c>
      <c r="U13">
        <f t="shared" si="0"/>
        <v>52</v>
      </c>
      <c r="V13">
        <v>50.966386554621842</v>
      </c>
      <c r="W13">
        <f t="shared" si="7"/>
        <v>1.0336134453781582</v>
      </c>
      <c r="X13" t="e">
        <f ca="1"/>
        <v>#NAME?</v>
      </c>
      <c r="Y13">
        <f t="shared" si="2"/>
        <v>0.19373067388544254</v>
      </c>
      <c r="Z13" t="e">
        <f t="shared" ca="1" si="3"/>
        <v>#NAME?</v>
      </c>
      <c r="AA13" t="e">
        <f t="shared" ca="1" si="8"/>
        <v>#NAME?</v>
      </c>
      <c r="AB13" t="e">
        <f t="shared" ca="1" si="4"/>
        <v>#NAME?</v>
      </c>
      <c r="AC13" t="e">
        <f t="shared" ca="1" si="5"/>
        <v>#NAME?</v>
      </c>
      <c r="AD13" t="e">
        <f t="shared" ca="1" si="9"/>
        <v>#NAME?</v>
      </c>
      <c r="AN13" s="660">
        <f t="shared" si="1"/>
        <v>23</v>
      </c>
      <c r="AO13">
        <f t="shared" si="6"/>
        <v>1.0336134453781582</v>
      </c>
      <c r="AP13">
        <v>3.2067297507238184</v>
      </c>
      <c r="AQ13">
        <f t="shared" si="10"/>
        <v>9.7246790733497679E-2</v>
      </c>
      <c r="AS13" s="398"/>
      <c r="AT13" s="398" t="s">
        <v>26</v>
      </c>
      <c r="AU13" s="398" t="s">
        <v>137</v>
      </c>
      <c r="AV13" s="398" t="s">
        <v>156</v>
      </c>
      <c r="AW13" s="398" t="s">
        <v>63</v>
      </c>
      <c r="AX13" s="398" t="s">
        <v>30</v>
      </c>
      <c r="AY13" s="398" t="s">
        <v>374</v>
      </c>
    </row>
    <row r="14" spans="1:51">
      <c r="A14" s="719">
        <v>28</v>
      </c>
      <c r="B14" s="719">
        <v>74</v>
      </c>
      <c r="C14" s="720"/>
      <c r="D14" s="720"/>
      <c r="E14" s="720"/>
      <c r="F14" s="720"/>
      <c r="G14" s="720"/>
      <c r="H14" s="720"/>
      <c r="I14" s="720"/>
      <c r="K14" t="s">
        <v>138</v>
      </c>
      <c r="L14">
        <f>COUNT(A4)</f>
        <v>1</v>
      </c>
      <c r="M14" t="e">
        <f ca="1">DEVSQ(MMULT(DESIGN(A4:A15),L19:L20))</f>
        <v>#NAME?</v>
      </c>
      <c r="N14" t="e">
        <f ca="1">M14/L14</f>
        <v>#NAME?</v>
      </c>
      <c r="O14" t="e">
        <f ca="1">N14/N15</f>
        <v>#NAME?</v>
      </c>
      <c r="P14" t="e">
        <f ca="1">FDIST(O14,L14,L15)</f>
        <v>#NAME?</v>
      </c>
      <c r="Q14" s="660" t="e">
        <f ca="1">IF(P14&lt;P12,"yes","no")</f>
        <v>#NAME?</v>
      </c>
      <c r="S14">
        <f t="shared" si="11"/>
        <v>9</v>
      </c>
      <c r="T14">
        <f t="shared" si="0"/>
        <v>29</v>
      </c>
      <c r="U14">
        <f t="shared" si="0"/>
        <v>81</v>
      </c>
      <c r="V14">
        <v>71.487394957983184</v>
      </c>
      <c r="W14">
        <f t="shared" si="7"/>
        <v>9.5126050420168156</v>
      </c>
      <c r="X14" t="e">
        <f ca="1"/>
        <v>#NAME?</v>
      </c>
      <c r="Y14">
        <f t="shared" si="2"/>
        <v>1.7829522181977211</v>
      </c>
      <c r="Z14" t="e">
        <f t="shared" ca="1" si="3"/>
        <v>#NAME?</v>
      </c>
      <c r="AA14" t="e">
        <f t="shared" ca="1" si="8"/>
        <v>#NAME?</v>
      </c>
      <c r="AB14" t="e">
        <f t="shared" ca="1" si="4"/>
        <v>#NAME?</v>
      </c>
      <c r="AC14" t="e">
        <f t="shared" ca="1" si="5"/>
        <v>#NAME?</v>
      </c>
      <c r="AD14" t="e">
        <f t="shared" ca="1" si="9"/>
        <v>#NAME?</v>
      </c>
      <c r="AN14" s="660">
        <f t="shared" si="1"/>
        <v>29</v>
      </c>
      <c r="AO14">
        <f t="shared" si="6"/>
        <v>9.5126050420168156</v>
      </c>
      <c r="AP14">
        <v>6.2944354212273108</v>
      </c>
      <c r="AQ14">
        <f t="shared" si="10"/>
        <v>2.5239830591637535E-2</v>
      </c>
      <c r="AS14" t="s">
        <v>138</v>
      </c>
      <c r="AT14">
        <f>COUNT(A4)</f>
        <v>1</v>
      </c>
      <c r="AU14" t="e">
        <f ca="1">SUMPRODUCT(AQ6:AQ17,MMULT(DESIGN(A4:A15),AT19:AT20)^2)-SUMPRODUCT(B4:B15,AQ6:AQ17)^2/SUM(AQ6:AQ17)</f>
        <v>#NAME?</v>
      </c>
      <c r="AV14" t="e">
        <f ca="1">AU14/AT14</f>
        <v>#NAME?</v>
      </c>
      <c r="AW14" t="e">
        <f ca="1">AV14/AV15</f>
        <v>#NAME?</v>
      </c>
      <c r="AX14" t="e">
        <f ca="1">FDIST(AW14,AT14,AT15)</f>
        <v>#NAME?</v>
      </c>
      <c r="AY14" s="660" t="e">
        <f ca="1">IF(AX14&lt;AX12,"yes","no")</f>
        <v>#NAME?</v>
      </c>
    </row>
    <row r="15" spans="1:51">
      <c r="A15" s="721">
        <v>21</v>
      </c>
      <c r="B15" s="721">
        <v>40</v>
      </c>
      <c r="C15" s="720"/>
      <c r="D15" s="720"/>
      <c r="E15" s="720"/>
      <c r="F15" s="720"/>
      <c r="G15" s="720"/>
      <c r="H15" s="720"/>
      <c r="I15" s="720"/>
      <c r="K15" t="s">
        <v>211</v>
      </c>
      <c r="L15">
        <f>L16-L14</f>
        <v>10</v>
      </c>
      <c r="M15" t="e">
        <f ca="1">M16-M14</f>
        <v>#NAME?</v>
      </c>
      <c r="N15" t="e">
        <f ca="1">M15/L15</f>
        <v>#NAME?</v>
      </c>
      <c r="S15">
        <f t="shared" si="11"/>
        <v>10</v>
      </c>
      <c r="T15">
        <f t="shared" si="0"/>
        <v>22</v>
      </c>
      <c r="U15">
        <f t="shared" si="0"/>
        <v>46</v>
      </c>
      <c r="V15">
        <v>47.54621848739496</v>
      </c>
      <c r="W15">
        <f t="shared" si="7"/>
        <v>-1.5462184873949596</v>
      </c>
      <c r="X15" t="e">
        <f ca="1"/>
        <v>#NAME?</v>
      </c>
      <c r="Y15">
        <f t="shared" si="2"/>
        <v>-0.2898084877635872</v>
      </c>
      <c r="Z15" t="e">
        <f t="shared" ca="1" si="3"/>
        <v>#NAME?</v>
      </c>
      <c r="AA15" t="e">
        <f t="shared" ca="1" si="8"/>
        <v>#NAME?</v>
      </c>
      <c r="AB15" t="e">
        <f t="shared" ca="1" si="4"/>
        <v>#NAME?</v>
      </c>
      <c r="AC15" t="e">
        <f t="shared" ca="1" si="5"/>
        <v>#NAME?</v>
      </c>
      <c r="AD15" t="e">
        <f t="shared" ca="1" si="9"/>
        <v>#NAME?</v>
      </c>
      <c r="AN15" s="660">
        <f t="shared" si="1"/>
        <v>22</v>
      </c>
      <c r="AO15">
        <f t="shared" si="6"/>
        <v>1.5462184873949596</v>
      </c>
      <c r="AP15">
        <v>2.6921121389732363</v>
      </c>
      <c r="AQ15">
        <f t="shared" si="10"/>
        <v>0.13797922693826645</v>
      </c>
      <c r="AS15" t="s">
        <v>211</v>
      </c>
      <c r="AT15">
        <f>AT16-AT14</f>
        <v>10</v>
      </c>
      <c r="AU15" t="e">
        <f ca="1">AU16-AU14</f>
        <v>#NAME?</v>
      </c>
      <c r="AV15" t="e">
        <f ca="1">AU15/AT15</f>
        <v>#NAME?</v>
      </c>
    </row>
    <row r="16" spans="1:51">
      <c r="A16" s="5"/>
      <c r="B16" s="5"/>
      <c r="C16" s="5"/>
      <c r="D16" s="5"/>
      <c r="E16" s="5"/>
      <c r="F16" s="5"/>
      <c r="G16" s="5"/>
      <c r="H16" s="5"/>
      <c r="I16" s="5"/>
      <c r="K16" s="285" t="s">
        <v>1</v>
      </c>
      <c r="L16" s="285">
        <f>L10-1</f>
        <v>11</v>
      </c>
      <c r="M16" s="285">
        <f>DEVSQ(B4:B15)</f>
        <v>2140.6666666666665</v>
      </c>
      <c r="N16" s="285"/>
      <c r="O16" s="285"/>
      <c r="P16" s="285"/>
      <c r="Q16" s="285"/>
      <c r="S16">
        <f t="shared" si="11"/>
        <v>11</v>
      </c>
      <c r="T16">
        <f t="shared" si="0"/>
        <v>28</v>
      </c>
      <c r="U16">
        <f t="shared" si="0"/>
        <v>74</v>
      </c>
      <c r="V16">
        <v>68.067226890756302</v>
      </c>
      <c r="W16">
        <f t="shared" si="7"/>
        <v>5.9327731092436977</v>
      </c>
      <c r="X16" t="e">
        <f ca="1"/>
        <v>#NAME?</v>
      </c>
      <c r="Y16">
        <f t="shared" si="2"/>
        <v>1.1119825671798498</v>
      </c>
      <c r="Z16" t="e">
        <f t="shared" ca="1" si="3"/>
        <v>#NAME?</v>
      </c>
      <c r="AA16" t="e">
        <f t="shared" ca="1" si="8"/>
        <v>#NAME?</v>
      </c>
      <c r="AB16" t="e">
        <f t="shared" ca="1" si="4"/>
        <v>#NAME?</v>
      </c>
      <c r="AC16" t="e">
        <f t="shared" ca="1" si="5"/>
        <v>#NAME?</v>
      </c>
      <c r="AD16" t="e">
        <f t="shared" ca="1" si="9"/>
        <v>#NAME?</v>
      </c>
      <c r="AN16" s="660">
        <f t="shared" si="1"/>
        <v>28</v>
      </c>
      <c r="AO16">
        <f t="shared" si="6"/>
        <v>5.9327731092436977</v>
      </c>
      <c r="AP16">
        <v>5.7798178094767287</v>
      </c>
      <c r="AQ16">
        <f t="shared" si="10"/>
        <v>2.9934478894061721E-2</v>
      </c>
      <c r="AS16" s="285" t="s">
        <v>1</v>
      </c>
      <c r="AT16" s="285">
        <f>AT10-1</f>
        <v>11</v>
      </c>
      <c r="AU16" s="285">
        <f>SUMPRODUCT(B4:B15^2,AQ6:AQ17)-SUMPRODUCT(B4:B15,AQ6:AQ17)^2/SUM(AQ6:AQ17)</f>
        <v>127.17354991869252</v>
      </c>
      <c r="AV16" s="285"/>
      <c r="AW16" s="285"/>
      <c r="AX16" s="285"/>
      <c r="AY16" s="285"/>
    </row>
    <row r="17" spans="11:51" ht="15.75" thickBot="1">
      <c r="S17" s="285">
        <f t="shared" si="11"/>
        <v>12</v>
      </c>
      <c r="T17" s="285">
        <f t="shared" si="0"/>
        <v>21</v>
      </c>
      <c r="U17" s="285">
        <f t="shared" si="0"/>
        <v>40</v>
      </c>
      <c r="V17" s="285">
        <v>44.126050420168063</v>
      </c>
      <c r="W17" s="285">
        <f t="shared" si="7"/>
        <v>-4.1260504201680632</v>
      </c>
      <c r="X17" s="285" t="e">
        <f ca="1"/>
        <v>#NAME?</v>
      </c>
      <c r="Y17" s="285">
        <f t="shared" si="2"/>
        <v>-0.77334764941261436</v>
      </c>
      <c r="Z17" s="285" t="e">
        <f t="shared" ca="1" si="3"/>
        <v>#NAME?</v>
      </c>
      <c r="AA17" s="285" t="e">
        <f t="shared" ca="1" si="8"/>
        <v>#NAME?</v>
      </c>
      <c r="AB17" s="285" t="e">
        <f t="shared" ca="1" si="4"/>
        <v>#NAME?</v>
      </c>
      <c r="AC17" s="285" t="e">
        <f t="shared" ca="1" si="5"/>
        <v>#NAME?</v>
      </c>
      <c r="AD17" s="285" t="e">
        <f t="shared" ca="1" si="9"/>
        <v>#NAME?</v>
      </c>
      <c r="AN17" s="715">
        <f t="shared" si="1"/>
        <v>21</v>
      </c>
      <c r="AO17" s="285">
        <f t="shared" si="6"/>
        <v>4.1260504201680632</v>
      </c>
      <c r="AP17" s="285">
        <v>2.1774945272226542</v>
      </c>
      <c r="AQ17" s="285">
        <f t="shared" si="10"/>
        <v>0.21090450459284277</v>
      </c>
    </row>
    <row r="18" spans="11:51" ht="15.75" thickTop="1">
      <c r="K18" s="398"/>
      <c r="L18" s="398" t="s">
        <v>600</v>
      </c>
      <c r="M18" s="398" t="s">
        <v>503</v>
      </c>
      <c r="N18" s="398" t="s">
        <v>27</v>
      </c>
      <c r="O18" s="398" t="s">
        <v>30</v>
      </c>
      <c r="P18" s="398" t="s">
        <v>13</v>
      </c>
      <c r="Q18" s="398" t="s">
        <v>14</v>
      </c>
      <c r="AS18" s="398"/>
      <c r="AT18" s="398" t="s">
        <v>600</v>
      </c>
      <c r="AU18" s="398" t="s">
        <v>503</v>
      </c>
      <c r="AV18" s="398" t="s">
        <v>27</v>
      </c>
      <c r="AW18" s="398" t="s">
        <v>30</v>
      </c>
      <c r="AX18" s="398" t="s">
        <v>13</v>
      </c>
      <c r="AY18" s="398" t="s">
        <v>14</v>
      </c>
    </row>
    <row r="19" spans="11:51">
      <c r="K19" t="s">
        <v>212</v>
      </c>
      <c r="L19" t="e">
        <f t="array" aca="1" ref="L19:M20" ca="1">RegCoeff(A4:A15,B4:B15)</f>
        <v>#NAME?</v>
      </c>
      <c r="M19" t="e">
        <f ca="1"/>
        <v>#NAME?</v>
      </c>
      <c r="N19" t="e">
        <f ca="1">L19/M19</f>
        <v>#NAME?</v>
      </c>
      <c r="O19" t="e">
        <f ca="1">TDIST(ABS(N19),$L$15,2)</f>
        <v>#NAME?</v>
      </c>
      <c r="P19" t="e">
        <f ca="1">L19-TINV(P$12,$L$15)*M19</f>
        <v>#NAME?</v>
      </c>
      <c r="Q19" t="e">
        <f ca="1">L19+TINV(P$12,$L$15)*M19</f>
        <v>#NAME?</v>
      </c>
      <c r="AC19" t="s">
        <v>482</v>
      </c>
      <c r="AD19" s="693">
        <f>DEVSQ(W6:W17)</f>
        <v>284.65546218487378</v>
      </c>
      <c r="AS19" t="s">
        <v>212</v>
      </c>
      <c r="AT19" t="e">
        <f t="array" aca="1" ref="AT19:AU20" ca="1">WRegCoeff(A4:A15,B4:B15,AQ6:AQ17)</f>
        <v>#NAME?</v>
      </c>
      <c r="AU19" t="e">
        <f ca="1"/>
        <v>#NAME?</v>
      </c>
      <c r="AV19" t="e">
        <f ca="1">AT19/AU19</f>
        <v>#NAME?</v>
      </c>
      <c r="AW19" t="e">
        <f ca="1">TDIST(ABS(AV19),$AT$15,2)</f>
        <v>#NAME?</v>
      </c>
      <c r="AX19" t="e">
        <f ca="1">AT19-TINV(AX$12,$AT$15)*AU19</f>
        <v>#NAME?</v>
      </c>
      <c r="AY19" t="e">
        <f ca="1">AT19+TINV(AX$12,$AT$15)*AU19</f>
        <v>#NAME?</v>
      </c>
    </row>
    <row r="20" spans="11:51">
      <c r="K20" s="285" t="str">
        <f t="array" ref="K20">TRANSPOSE(A3)</f>
        <v>Ad</v>
      </c>
      <c r="L20" s="285" t="e">
        <f ca="1"/>
        <v>#NAME?</v>
      </c>
      <c r="M20" s="285" t="e">
        <f ca="1"/>
        <v>#NAME?</v>
      </c>
      <c r="N20" s="285" t="e">
        <f ca="1">L20/M20</f>
        <v>#NAME?</v>
      </c>
      <c r="O20" s="285" t="e">
        <f ca="1">TDIST(ABS(N20),$L$15,2)</f>
        <v>#NAME?</v>
      </c>
      <c r="P20" s="285" t="e">
        <f ca="1">L20-TINV(P$12,$L$15)*M20</f>
        <v>#NAME?</v>
      </c>
      <c r="Q20" s="285" t="e">
        <f ca="1">L20+TINV(P$12,$L$15)*M20</f>
        <v>#NAME?</v>
      </c>
      <c r="AC20" t="s">
        <v>481</v>
      </c>
      <c r="AD20" s="337">
        <f>COUNT(B4:B15)-AD22-1</f>
        <v>10</v>
      </c>
      <c r="AS20" s="285" t="str">
        <f t="array" ref="AS20">TRANSPOSE(A3)</f>
        <v>Ad</v>
      </c>
      <c r="AT20" s="285" t="e">
        <f ca="1"/>
        <v>#NAME?</v>
      </c>
      <c r="AU20" s="285" t="e">
        <f ca="1"/>
        <v>#NAME?</v>
      </c>
      <c r="AV20" s="285" t="e">
        <f ca="1">AT20/AU20</f>
        <v>#NAME?</v>
      </c>
      <c r="AW20" s="285" t="e">
        <f ca="1">TDIST(ABS(AV20),$AT$15,2)</f>
        <v>#NAME?</v>
      </c>
      <c r="AX20" s="285" t="e">
        <f ca="1">AT20-TINV(AX$12,$AT$15)*AU20</f>
        <v>#NAME?</v>
      </c>
      <c r="AY20" s="285" t="e">
        <f ca="1">AT20+TINV(AX$12,$AT$15)*AU20</f>
        <v>#NAME?</v>
      </c>
    </row>
    <row r="21" spans="11:51">
      <c r="AC21" t="s">
        <v>483</v>
      </c>
      <c r="AD21" s="337">
        <f>AD19/AD20</f>
        <v>28.465546218487379</v>
      </c>
    </row>
    <row r="22" spans="11:51">
      <c r="AC22" t="s">
        <v>23</v>
      </c>
      <c r="AD22" s="114">
        <f>COUNT(A4)</f>
        <v>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16"/>
  <dimension ref="A1:AD23"/>
  <sheetViews>
    <sheetView workbookViewId="0"/>
  </sheetViews>
  <sheetFormatPr defaultRowHeight="15"/>
  <cols>
    <col min="1" max="3" width="7.42578125" customWidth="1"/>
    <col min="4" max="4" width="2.28515625" customWidth="1"/>
    <col min="5" max="5" width="17" customWidth="1"/>
    <col min="20" max="20" width="9.140625" customWidth="1"/>
    <col min="23" max="23" width="16.85546875" customWidth="1"/>
  </cols>
  <sheetData>
    <row r="1" spans="1:29">
      <c r="A1" s="1" t="s">
        <v>1057</v>
      </c>
    </row>
    <row r="3" spans="1:29">
      <c r="E3" t="s">
        <v>601</v>
      </c>
      <c r="N3" s="722" t="str">
        <f t="shared" ref="N3:P18" si="0">A4</f>
        <v>Color</v>
      </c>
      <c r="O3" s="722" t="str">
        <f t="shared" si="0"/>
        <v>Quality</v>
      </c>
      <c r="P3" s="722" t="str">
        <f t="shared" si="0"/>
        <v>Price</v>
      </c>
      <c r="Q3" s="722" t="s">
        <v>638</v>
      </c>
      <c r="R3" s="722" t="s">
        <v>159</v>
      </c>
      <c r="S3" s="722" t="s">
        <v>1062</v>
      </c>
      <c r="T3" s="722" t="s">
        <v>1063</v>
      </c>
      <c r="U3" s="722" t="s">
        <v>757</v>
      </c>
      <c r="W3" t="s">
        <v>1058</v>
      </c>
    </row>
    <row r="4" spans="1:29">
      <c r="A4" s="722" t="s">
        <v>296</v>
      </c>
      <c r="B4" s="722" t="s">
        <v>297</v>
      </c>
      <c r="C4" s="722" t="s">
        <v>290</v>
      </c>
      <c r="N4" s="660">
        <f t="shared" si="0"/>
        <v>7</v>
      </c>
      <c r="O4" s="660">
        <f t="shared" si="0"/>
        <v>5</v>
      </c>
      <c r="P4" s="660">
        <f t="shared" si="0"/>
        <v>65</v>
      </c>
      <c r="Q4" s="11">
        <f t="array" ref="Q4:Q18">TREND(P4:P18,N4:O18)</f>
        <v>55.026564295334694</v>
      </c>
      <c r="R4" s="11">
        <f>P4-Q4</f>
        <v>9.9734357046653059</v>
      </c>
      <c r="S4" s="11">
        <f>ABS(R4)</f>
        <v>9.9734357046653059</v>
      </c>
      <c r="T4" s="11">
        <f t="array" ref="T4:T18">TREND(S4:S18,Q4:Q18)</f>
        <v>4.2356330868923404</v>
      </c>
      <c r="U4" s="11">
        <f>1/T4^2</f>
        <v>5.5739534272147485E-2</v>
      </c>
    </row>
    <row r="5" spans="1:29" ht="15.75" thickBot="1">
      <c r="A5" s="660">
        <v>7</v>
      </c>
      <c r="B5" s="660">
        <v>5</v>
      </c>
      <c r="C5" s="660">
        <v>65</v>
      </c>
      <c r="E5" s="364" t="s">
        <v>606</v>
      </c>
      <c r="F5" s="364"/>
      <c r="H5" s="364"/>
      <c r="I5" s="364"/>
      <c r="N5" s="660">
        <f t="shared" si="0"/>
        <v>3</v>
      </c>
      <c r="O5" s="660">
        <f t="shared" si="0"/>
        <v>7</v>
      </c>
      <c r="P5" s="660">
        <f t="shared" si="0"/>
        <v>38</v>
      </c>
      <c r="Q5" s="11">
        <v>42.689423742742569</v>
      </c>
      <c r="R5" s="11">
        <f t="shared" ref="R5:R18" si="1">P5-Q5</f>
        <v>-4.6894237427425693</v>
      </c>
      <c r="S5" s="11">
        <f t="shared" ref="S5:S18" si="2">ABS(R5)</f>
        <v>4.6894237427425693</v>
      </c>
      <c r="T5" s="11">
        <v>3.5348805122866866</v>
      </c>
      <c r="U5" s="11">
        <f t="shared" ref="U5:U18" si="3">1/T5^2</f>
        <v>8.0029577419932843E-2</v>
      </c>
      <c r="W5" s="364" t="s">
        <v>606</v>
      </c>
      <c r="X5" s="364"/>
      <c r="Z5" s="364"/>
      <c r="AA5" s="364"/>
    </row>
    <row r="6" spans="1:29" ht="15.75" thickTop="1">
      <c r="A6" s="660">
        <v>3</v>
      </c>
      <c r="B6" s="660">
        <v>7</v>
      </c>
      <c r="C6" s="660">
        <v>38</v>
      </c>
      <c r="E6" t="s">
        <v>208</v>
      </c>
      <c r="F6" t="e">
        <f ca="1">SQRT(F7)</f>
        <v>#NAME?</v>
      </c>
      <c r="H6" t="s">
        <v>498</v>
      </c>
      <c r="I6" t="e">
        <f ca="1">F10*LN(G15/F10)+2*(F14+1)</f>
        <v>#NAME?</v>
      </c>
      <c r="N6" s="660">
        <f t="shared" si="0"/>
        <v>5</v>
      </c>
      <c r="O6" s="660">
        <f t="shared" si="0"/>
        <v>8</v>
      </c>
      <c r="P6" s="660">
        <f t="shared" si="0"/>
        <v>51</v>
      </c>
      <c r="Q6" s="11">
        <v>56.567118409338214</v>
      </c>
      <c r="R6" s="11">
        <f t="shared" si="1"/>
        <v>-5.5671184093382138</v>
      </c>
      <c r="S6" s="11">
        <f t="shared" si="2"/>
        <v>5.5671184093382138</v>
      </c>
      <c r="T6" s="11">
        <v>4.3231369340849124</v>
      </c>
      <c r="U6" s="11">
        <f t="shared" si="3"/>
        <v>5.3505942216357669E-2</v>
      </c>
      <c r="W6" t="s">
        <v>208</v>
      </c>
      <c r="X6" t="e">
        <f ca="1">SQRT(X7)</f>
        <v>#NAME?</v>
      </c>
      <c r="Z6" t="s">
        <v>498</v>
      </c>
      <c r="AA6" t="e">
        <f ca="1">X10*LN(Y15/X10)+2*X14</f>
        <v>#NAME?</v>
      </c>
    </row>
    <row r="7" spans="1:29">
      <c r="A7" s="660">
        <v>5</v>
      </c>
      <c r="B7" s="660">
        <v>8</v>
      </c>
      <c r="C7" s="660">
        <v>51</v>
      </c>
      <c r="E7" t="s">
        <v>201</v>
      </c>
      <c r="F7" t="e">
        <f ca="1">G14/G16</f>
        <v>#NAME?</v>
      </c>
      <c r="H7" t="s">
        <v>499</v>
      </c>
      <c r="I7" t="e">
        <f ca="1">I6+2*(F14+2)*(F14+3)/(F10-F14-3)</f>
        <v>#NAME?</v>
      </c>
      <c r="N7" s="660">
        <f t="shared" si="0"/>
        <v>8</v>
      </c>
      <c r="O7" s="660">
        <f t="shared" si="0"/>
        <v>1</v>
      </c>
      <c r="P7" s="660">
        <f t="shared" si="0"/>
        <v>38</v>
      </c>
      <c r="Q7" s="11">
        <v>44.619881750458461</v>
      </c>
      <c r="R7" s="11">
        <f t="shared" si="1"/>
        <v>-6.6198817504584611</v>
      </c>
      <c r="S7" s="11">
        <f t="shared" si="2"/>
        <v>6.6198817504584611</v>
      </c>
      <c r="T7" s="11">
        <v>3.6445309951768068</v>
      </c>
      <c r="U7" s="11">
        <f t="shared" si="3"/>
        <v>7.5286430000227167E-2</v>
      </c>
      <c r="W7" t="s">
        <v>201</v>
      </c>
      <c r="X7" t="e">
        <f ca="1">Y14/Y16</f>
        <v>#NAME?</v>
      </c>
      <c r="Z7" t="s">
        <v>499</v>
      </c>
      <c r="AA7" t="e">
        <f ca="1">AA6+2*(X14+1)*(X14+2)/(X10-X14-2)</f>
        <v>#NAME?</v>
      </c>
    </row>
    <row r="8" spans="1:29">
      <c r="A8" s="660">
        <v>8</v>
      </c>
      <c r="B8" s="660">
        <v>1</v>
      </c>
      <c r="C8" s="660">
        <v>38</v>
      </c>
      <c r="E8" t="s">
        <v>209</v>
      </c>
      <c r="F8" t="e">
        <f ca="1">1-(1-F7)*(F10-1)/(F10-F14-1)</f>
        <v>#NAME?</v>
      </c>
      <c r="H8" s="285" t="s">
        <v>762</v>
      </c>
      <c r="I8" s="285" t="e">
        <f ca="1">F10*LN(G15/F10)+(F14+1)*LN(F10)</f>
        <v>#NAME?</v>
      </c>
      <c r="N8" s="660">
        <f t="shared" si="0"/>
        <v>9</v>
      </c>
      <c r="O8" s="660">
        <f t="shared" si="0"/>
        <v>3</v>
      </c>
      <c r="P8" s="660">
        <f t="shared" si="0"/>
        <v>55</v>
      </c>
      <c r="Q8" s="11">
        <v>57.340572376480964</v>
      </c>
      <c r="R8" s="11">
        <f t="shared" si="1"/>
        <v>-2.3405723764809636</v>
      </c>
      <c r="S8" s="11">
        <f t="shared" si="2"/>
        <v>2.3405723764809636</v>
      </c>
      <c r="T8" s="11">
        <v>4.3670693069474682</v>
      </c>
      <c r="U8" s="11">
        <f t="shared" si="3"/>
        <v>5.2434826006472264E-2</v>
      </c>
      <c r="W8" t="s">
        <v>209</v>
      </c>
      <c r="X8" t="e">
        <f ca="1">1-(1-X7)*X10/(X10-X14)</f>
        <v>#NAME?</v>
      </c>
      <c r="Z8" s="285" t="s">
        <v>749</v>
      </c>
      <c r="AA8" s="285" t="e">
        <f ca="1">X10*LN(Y15/X10)+X14*LN(X10)</f>
        <v>#NAME?</v>
      </c>
    </row>
    <row r="9" spans="1:29">
      <c r="A9" s="660">
        <v>9</v>
      </c>
      <c r="B9" s="660">
        <v>3</v>
      </c>
      <c r="C9" s="660">
        <v>55</v>
      </c>
      <c r="E9" t="s">
        <v>9</v>
      </c>
      <c r="F9" t="e">
        <f ca="1">SQRT(H15)</f>
        <v>#NAME?</v>
      </c>
      <c r="N9" s="660">
        <f t="shared" si="0"/>
        <v>5</v>
      </c>
      <c r="O9" s="660">
        <f t="shared" si="0"/>
        <v>4</v>
      </c>
      <c r="P9" s="660">
        <f t="shared" si="0"/>
        <v>43</v>
      </c>
      <c r="Q9" s="11">
        <v>41.14886962873905</v>
      </c>
      <c r="R9" s="11">
        <f t="shared" si="1"/>
        <v>1.8511303712609504</v>
      </c>
      <c r="S9" s="11">
        <f t="shared" si="2"/>
        <v>1.8511303712609504</v>
      </c>
      <c r="T9" s="11">
        <v>3.4473766650941151</v>
      </c>
      <c r="U9" s="11">
        <f t="shared" si="3"/>
        <v>8.4143878192278157E-2</v>
      </c>
      <c r="W9" t="s">
        <v>9</v>
      </c>
      <c r="X9" t="e">
        <f ca="1">SQRT(Z15)</f>
        <v>#NAME?</v>
      </c>
    </row>
    <row r="10" spans="1:29">
      <c r="A10" s="660">
        <v>5</v>
      </c>
      <c r="B10" s="660">
        <v>4</v>
      </c>
      <c r="C10" s="660">
        <v>43</v>
      </c>
      <c r="E10" s="285" t="s">
        <v>42</v>
      </c>
      <c r="F10" s="285">
        <f>COUNT(C5:C19)</f>
        <v>15</v>
      </c>
      <c r="N10" s="660">
        <f t="shared" si="0"/>
        <v>2</v>
      </c>
      <c r="O10" s="660">
        <f t="shared" si="0"/>
        <v>3</v>
      </c>
      <c r="P10" s="660">
        <f t="shared" si="0"/>
        <v>20</v>
      </c>
      <c r="Q10" s="11">
        <v>22.259608726420481</v>
      </c>
      <c r="R10" s="11">
        <f t="shared" si="1"/>
        <v>-2.2596087264204812</v>
      </c>
      <c r="S10" s="11">
        <f t="shared" si="2"/>
        <v>2.2596087264204812</v>
      </c>
      <c r="T10" s="11">
        <v>2.374462066020627</v>
      </c>
      <c r="U10" s="11">
        <f t="shared" si="3"/>
        <v>0.17736565557655207</v>
      </c>
      <c r="W10" s="285" t="s">
        <v>42</v>
      </c>
      <c r="X10" s="285">
        <f>COUNT(C5:C19)</f>
        <v>15</v>
      </c>
    </row>
    <row r="11" spans="1:29">
      <c r="A11" s="660">
        <v>2</v>
      </c>
      <c r="B11" s="660">
        <v>3</v>
      </c>
      <c r="C11" s="660">
        <v>20</v>
      </c>
      <c r="N11" s="660">
        <f t="shared" si="0"/>
        <v>8</v>
      </c>
      <c r="O11" s="660">
        <f t="shared" si="0"/>
        <v>6</v>
      </c>
      <c r="P11" s="660">
        <f t="shared" si="0"/>
        <v>65</v>
      </c>
      <c r="Q11" s="11">
        <v>63.892692726207414</v>
      </c>
      <c r="R11" s="11">
        <f t="shared" si="1"/>
        <v>1.1073072737925855</v>
      </c>
      <c r="S11" s="11">
        <f t="shared" si="2"/>
        <v>1.1073072737925855</v>
      </c>
      <c r="T11" s="11">
        <v>4.7392313314153025</v>
      </c>
      <c r="U11" s="11">
        <f t="shared" si="3"/>
        <v>4.4522975825055371E-2</v>
      </c>
    </row>
    <row r="12" spans="1:29" ht="15.75" thickBot="1">
      <c r="A12" s="660">
        <v>8</v>
      </c>
      <c r="B12" s="660">
        <v>6</v>
      </c>
      <c r="C12" s="660">
        <v>65</v>
      </c>
      <c r="E12" t="s">
        <v>210</v>
      </c>
      <c r="I12" s="660" t="s">
        <v>16</v>
      </c>
      <c r="J12" s="660">
        <v>0.05</v>
      </c>
      <c r="N12" s="660">
        <f t="shared" si="0"/>
        <v>3</v>
      </c>
      <c r="O12" s="660">
        <f t="shared" si="0"/>
        <v>1</v>
      </c>
      <c r="P12" s="660">
        <f t="shared" si="0"/>
        <v>20</v>
      </c>
      <c r="Q12" s="11">
        <v>19.562050571843827</v>
      </c>
      <c r="R12" s="11">
        <f t="shared" si="1"/>
        <v>0.43794942815617333</v>
      </c>
      <c r="S12" s="11">
        <f t="shared" si="2"/>
        <v>0.43794942815617333</v>
      </c>
      <c r="T12" s="11">
        <v>2.2212401088004916</v>
      </c>
      <c r="U12" s="11">
        <f t="shared" si="3"/>
        <v>0.2026791088984084</v>
      </c>
      <c r="W12" t="s">
        <v>210</v>
      </c>
      <c r="AA12" s="660" t="s">
        <v>16</v>
      </c>
      <c r="AB12" s="660">
        <v>0.05</v>
      </c>
    </row>
    <row r="13" spans="1:29" ht="15.75" thickTop="1">
      <c r="A13" s="660">
        <v>3</v>
      </c>
      <c r="B13" s="660">
        <v>1</v>
      </c>
      <c r="C13" s="660">
        <v>20</v>
      </c>
      <c r="E13" s="398"/>
      <c r="F13" s="398" t="s">
        <v>26</v>
      </c>
      <c r="G13" s="398" t="s">
        <v>137</v>
      </c>
      <c r="H13" s="398" t="s">
        <v>156</v>
      </c>
      <c r="I13" s="398" t="s">
        <v>63</v>
      </c>
      <c r="J13" s="398" t="s">
        <v>30</v>
      </c>
      <c r="K13" s="398" t="s">
        <v>374</v>
      </c>
      <c r="N13" s="660">
        <f t="shared" si="0"/>
        <v>1</v>
      </c>
      <c r="O13" s="660">
        <f t="shared" si="0"/>
        <v>5</v>
      </c>
      <c r="P13" s="660">
        <f t="shared" si="0"/>
        <v>26</v>
      </c>
      <c r="Q13" s="11">
        <v>24.957166880997136</v>
      </c>
      <c r="R13" s="11">
        <f t="shared" si="1"/>
        <v>1.0428331190028644</v>
      </c>
      <c r="S13" s="11">
        <f t="shared" si="2"/>
        <v>1.0428331190028644</v>
      </c>
      <c r="T13" s="11">
        <v>2.527684023240762</v>
      </c>
      <c r="U13" s="11">
        <f t="shared" si="3"/>
        <v>0.15651444775621245</v>
      </c>
      <c r="W13" s="398"/>
      <c r="X13" s="398" t="s">
        <v>26</v>
      </c>
      <c r="Y13" s="398" t="s">
        <v>137</v>
      </c>
      <c r="Z13" s="398" t="s">
        <v>156</v>
      </c>
      <c r="AA13" s="398" t="s">
        <v>63</v>
      </c>
      <c r="AB13" s="398" t="s">
        <v>30</v>
      </c>
      <c r="AC13" s="398" t="s">
        <v>374</v>
      </c>
    </row>
    <row r="14" spans="1:29">
      <c r="A14" s="660">
        <v>1</v>
      </c>
      <c r="B14" s="660">
        <v>5</v>
      </c>
      <c r="C14" s="660">
        <v>26</v>
      </c>
      <c r="E14" t="s">
        <v>138</v>
      </c>
      <c r="F14">
        <f>COUNT(A5:B5)</f>
        <v>2</v>
      </c>
      <c r="G14" t="e">
        <f ca="1">DEVSQ(MMULT(DESIGN(A5:B19),F19:F21))</f>
        <v>#NAME?</v>
      </c>
      <c r="H14" t="e">
        <f ca="1">G14/F14</f>
        <v>#NAME?</v>
      </c>
      <c r="I14" t="e">
        <f ca="1">H14/H15</f>
        <v>#NAME?</v>
      </c>
      <c r="J14" t="e">
        <f ca="1">FDIST(I14,F14,F15)</f>
        <v>#NAME?</v>
      </c>
      <c r="K14" s="660" t="e">
        <f ca="1">IF(J14&lt;J12,"yes","no")</f>
        <v>#NAME?</v>
      </c>
      <c r="N14" s="660">
        <f t="shared" si="0"/>
        <v>4</v>
      </c>
      <c r="O14" s="660">
        <f t="shared" si="0"/>
        <v>0</v>
      </c>
      <c r="P14" s="660">
        <f t="shared" si="0"/>
        <v>25</v>
      </c>
      <c r="Q14" s="11">
        <v>20.719054612416969</v>
      </c>
      <c r="R14" s="11">
        <f t="shared" si="1"/>
        <v>4.2809453875830314</v>
      </c>
      <c r="S14" s="11">
        <f t="shared" si="2"/>
        <v>4.2809453875830314</v>
      </c>
      <c r="T14" s="11">
        <v>2.2869582188280559</v>
      </c>
      <c r="U14" s="11">
        <f t="shared" si="3"/>
        <v>0.19119808544562217</v>
      </c>
      <c r="W14" t="s">
        <v>138</v>
      </c>
      <c r="X14">
        <f>COUNT(A5:B5)</f>
        <v>2</v>
      </c>
      <c r="Y14" t="e">
        <f ca="1">SUMPRODUCT(U4:U18,MMULT(DESIGN(A5:B19),X19:X21)^2)-SUMPRODUCT(C5:C19,U4:U18)^2/SUM(U4:U18)</f>
        <v>#NAME?</v>
      </c>
      <c r="Z14" t="e">
        <f ca="1">Y14/X14</f>
        <v>#NAME?</v>
      </c>
      <c r="AA14" t="e">
        <f ca="1">Z14/Z15</f>
        <v>#NAME?</v>
      </c>
      <c r="AB14" t="e">
        <f ca="1">FDIST(AA14,X14,X15)</f>
        <v>#NAME?</v>
      </c>
      <c r="AC14" s="660" t="e">
        <f ca="1">IF(AB14&lt;AB12,"yes","no")</f>
        <v>#NAME?</v>
      </c>
    </row>
    <row r="15" spans="1:29">
      <c r="A15" s="660">
        <v>4</v>
      </c>
      <c r="B15" s="660">
        <v>0</v>
      </c>
      <c r="C15" s="660">
        <v>25</v>
      </c>
      <c r="E15" t="s">
        <v>211</v>
      </c>
      <c r="F15">
        <f>F16-F14</f>
        <v>12</v>
      </c>
      <c r="G15" t="e">
        <f ca="1">G16-G14</f>
        <v>#NAME?</v>
      </c>
      <c r="H15" t="e">
        <f ca="1">G15/F15</f>
        <v>#NAME?</v>
      </c>
      <c r="N15" s="660">
        <f t="shared" si="0"/>
        <v>2</v>
      </c>
      <c r="O15" s="660">
        <f t="shared" si="0"/>
        <v>6</v>
      </c>
      <c r="P15" s="660">
        <f t="shared" si="0"/>
        <v>33</v>
      </c>
      <c r="Q15" s="11">
        <v>33.823295311869856</v>
      </c>
      <c r="R15" s="11">
        <f t="shared" si="1"/>
        <v>-0.82329531186985605</v>
      </c>
      <c r="S15" s="11">
        <f t="shared" si="2"/>
        <v>0.82329531186985605</v>
      </c>
      <c r="T15" s="11">
        <v>3.0312822677637246</v>
      </c>
      <c r="U15" s="11">
        <f t="shared" si="3"/>
        <v>0.10882965238765983</v>
      </c>
      <c r="W15" t="s">
        <v>211</v>
      </c>
      <c r="X15">
        <f>X16-X14</f>
        <v>12</v>
      </c>
      <c r="Y15" t="e">
        <f ca="1">Y16-Y14</f>
        <v>#NAME?</v>
      </c>
      <c r="Z15" t="e">
        <f ca="1">Y15/X15</f>
        <v>#NAME?</v>
      </c>
    </row>
    <row r="16" spans="1:29">
      <c r="A16" s="660">
        <v>2</v>
      </c>
      <c r="B16" s="660">
        <v>6</v>
      </c>
      <c r="C16" s="660">
        <v>33</v>
      </c>
      <c r="E16" s="285" t="s">
        <v>1</v>
      </c>
      <c r="F16" s="285">
        <f>F10-1</f>
        <v>14</v>
      </c>
      <c r="G16" s="285">
        <f>DEVSQ(C5:C19)</f>
        <v>3879.3333333333339</v>
      </c>
      <c r="H16" s="285"/>
      <c r="I16" s="285"/>
      <c r="J16" s="285"/>
      <c r="K16" s="285"/>
      <c r="N16" s="660">
        <f t="shared" si="0"/>
        <v>8</v>
      </c>
      <c r="O16" s="660">
        <f t="shared" si="0"/>
        <v>7</v>
      </c>
      <c r="P16" s="660">
        <f t="shared" si="0"/>
        <v>71</v>
      </c>
      <c r="Q16" s="11">
        <v>67.747254921357211</v>
      </c>
      <c r="R16" s="11">
        <f t="shared" si="1"/>
        <v>3.2527450786427892</v>
      </c>
      <c r="S16" s="11">
        <f t="shared" si="2"/>
        <v>3.2527450786427892</v>
      </c>
      <c r="T16" s="11">
        <v>4.9581713986630023</v>
      </c>
      <c r="U16" s="11">
        <f t="shared" si="3"/>
        <v>4.0677750520339812E-2</v>
      </c>
      <c r="W16" s="285" t="s">
        <v>1</v>
      </c>
      <c r="X16" s="285">
        <f>X10-1</f>
        <v>14</v>
      </c>
      <c r="Y16" s="285">
        <f>SUMPRODUCT(C5:C19^2,U4:U18)-SUMPRODUCT(C5:C19,U4:U18)^2/SUM(U4:U18)</f>
        <v>331.88334018307205</v>
      </c>
      <c r="Z16" s="285"/>
      <c r="AA16" s="285"/>
      <c r="AB16" s="285"/>
      <c r="AC16" s="285"/>
    </row>
    <row r="17" spans="1:30" ht="15.75" thickBot="1">
      <c r="A17" s="660">
        <v>8</v>
      </c>
      <c r="B17" s="660">
        <v>7</v>
      </c>
      <c r="C17" s="660">
        <v>71</v>
      </c>
      <c r="N17" s="660">
        <f t="shared" si="0"/>
        <v>6</v>
      </c>
      <c r="O17" s="660">
        <f t="shared" si="0"/>
        <v>4</v>
      </c>
      <c r="P17" s="660">
        <f t="shared" si="0"/>
        <v>51</v>
      </c>
      <c r="Q17" s="11">
        <v>46.160435864461974</v>
      </c>
      <c r="R17" s="11">
        <f t="shared" si="1"/>
        <v>4.8395641355380263</v>
      </c>
      <c r="S17" s="11">
        <f t="shared" si="2"/>
        <v>4.8395641355380263</v>
      </c>
      <c r="T17" s="11">
        <v>3.7320348423693779</v>
      </c>
      <c r="U17" s="11">
        <f t="shared" si="3"/>
        <v>7.1797384001823297E-2</v>
      </c>
    </row>
    <row r="18" spans="1:30" ht="15.75" thickTop="1">
      <c r="A18" s="660">
        <v>6</v>
      </c>
      <c r="B18" s="660">
        <v>4</v>
      </c>
      <c r="C18" s="660">
        <v>51</v>
      </c>
      <c r="E18" s="398"/>
      <c r="F18" s="398" t="s">
        <v>600</v>
      </c>
      <c r="G18" s="398" t="s">
        <v>503</v>
      </c>
      <c r="H18" s="398" t="s">
        <v>27</v>
      </c>
      <c r="I18" s="398" t="s">
        <v>30</v>
      </c>
      <c r="J18" s="398" t="s">
        <v>13</v>
      </c>
      <c r="K18" s="398" t="s">
        <v>14</v>
      </c>
      <c r="L18" s="398" t="s">
        <v>750</v>
      </c>
      <c r="N18" s="715">
        <f t="shared" si="0"/>
        <v>9</v>
      </c>
      <c r="O18" s="715">
        <f t="shared" si="0"/>
        <v>2</v>
      </c>
      <c r="P18" s="715">
        <f t="shared" si="0"/>
        <v>49</v>
      </c>
      <c r="Q18" s="723">
        <v>53.486010181331174</v>
      </c>
      <c r="R18" s="723">
        <f t="shared" si="1"/>
        <v>-4.4860101813311744</v>
      </c>
      <c r="S18" s="723">
        <f t="shared" si="2"/>
        <v>4.4860101813311744</v>
      </c>
      <c r="T18" s="723">
        <v>4.1481292396997684</v>
      </c>
      <c r="U18" s="723">
        <f t="shared" si="3"/>
        <v>5.8115963490704428E-2</v>
      </c>
      <c r="W18" s="398"/>
      <c r="X18" s="398" t="s">
        <v>600</v>
      </c>
      <c r="Y18" s="398" t="s">
        <v>503</v>
      </c>
      <c r="Z18" s="398" t="s">
        <v>27</v>
      </c>
      <c r="AA18" s="398" t="s">
        <v>30</v>
      </c>
      <c r="AB18" s="398" t="s">
        <v>13</v>
      </c>
      <c r="AC18" s="398" t="s">
        <v>14</v>
      </c>
      <c r="AD18" s="398" t="s">
        <v>750</v>
      </c>
    </row>
    <row r="19" spans="1:30">
      <c r="A19" s="715">
        <v>9</v>
      </c>
      <c r="B19" s="715">
        <v>2</v>
      </c>
      <c r="C19" s="715">
        <v>49</v>
      </c>
      <c r="E19" t="s">
        <v>212</v>
      </c>
      <c r="F19" t="e">
        <f t="array" aca="1" ref="F19:G21" ca="1">RegCoeff(A5:B19,C5:C19)</f>
        <v>#NAME?</v>
      </c>
      <c r="G19" t="e">
        <f ca="1"/>
        <v>#NAME?</v>
      </c>
      <c r="H19" t="e">
        <f ca="1">F19/G19</f>
        <v>#NAME?</v>
      </c>
      <c r="I19" t="e">
        <f ca="1">TDIST(ABS(H19),$F$15,2)</f>
        <v>#NAME?</v>
      </c>
      <c r="J19" t="e">
        <f ca="1">F19-TINV(J$12,$F$15)*G19</f>
        <v>#NAME?</v>
      </c>
      <c r="K19" t="e">
        <f ca="1">F19+TINV(J$12,$F$15)*G19</f>
        <v>#NAME?</v>
      </c>
      <c r="W19" t="s">
        <v>212</v>
      </c>
      <c r="X19" t="e">
        <f t="array" aca="1" ref="X19:Y21" ca="1">WRegCoeff(A5:B19,C5:C19,U4:U18)</f>
        <v>#NAME?</v>
      </c>
      <c r="Y19" t="e">
        <f ca="1"/>
        <v>#NAME?</v>
      </c>
      <c r="Z19" t="e">
        <f ca="1">X19/Y19</f>
        <v>#NAME?</v>
      </c>
      <c r="AA19" t="e">
        <f ca="1">TDIST(ABS(Z19),$X$15,2)</f>
        <v>#NAME?</v>
      </c>
      <c r="AB19" t="e">
        <f ca="1">X19-TINV(AB$12,$X$15)*Y19</f>
        <v>#NAME?</v>
      </c>
      <c r="AC19" t="e">
        <f ca="1">X19+TINV(AB$12,$X$15)*Y19</f>
        <v>#NAME?</v>
      </c>
    </row>
    <row r="20" spans="1:30">
      <c r="E20" t="str">
        <f t="array" ref="E20:E21">TRANSPOSE(A4:B4)</f>
        <v>Color</v>
      </c>
      <c r="F20" t="e">
        <f ca="1"/>
        <v>#NAME?</v>
      </c>
      <c r="G20" t="e">
        <f ca="1"/>
        <v>#NAME?</v>
      </c>
      <c r="H20" t="e">
        <f t="shared" ref="H20:H21" ca="1" si="4">F20/G20</f>
        <v>#NAME?</v>
      </c>
      <c r="I20" t="e">
        <f t="shared" ref="I20:I21" ca="1" si="5">TDIST(ABS(H20),$F$15,2)</f>
        <v>#NAME?</v>
      </c>
      <c r="J20" t="e">
        <f t="shared" ref="J20:J21" ca="1" si="6">F20-TINV(J$12,$F$15)*G20</f>
        <v>#NAME?</v>
      </c>
      <c r="K20" t="e">
        <f t="shared" ref="K20:K21" ca="1" si="7">F20+TINV(J$12,$F$15)*G20</f>
        <v>#NAME?</v>
      </c>
      <c r="L20" t="e">
        <f ca="1">VIF(A5:B19,1)</f>
        <v>#NAME?</v>
      </c>
      <c r="W20" t="str">
        <f t="array" ref="W20:W21">TRANSPOSE(A4:B4)</f>
        <v>Color</v>
      </c>
      <c r="X20" t="e">
        <f ca="1"/>
        <v>#NAME?</v>
      </c>
      <c r="Y20" t="e">
        <f ca="1"/>
        <v>#NAME?</v>
      </c>
      <c r="Z20" t="e">
        <f t="shared" ref="Z20:Z21" ca="1" si="8">X20/Y20</f>
        <v>#NAME?</v>
      </c>
      <c r="AA20" t="e">
        <f t="shared" ref="AA20:AA21" ca="1" si="9">TDIST(ABS(Z20),$X$15,2)</f>
        <v>#NAME?</v>
      </c>
      <c r="AB20" t="e">
        <f t="shared" ref="AB20:AB21" ca="1" si="10">X20-TINV(AB$12,$X$15)*Y20</f>
        <v>#NAME?</v>
      </c>
      <c r="AC20" t="e">
        <f t="shared" ref="AC20:AC21" ca="1" si="11">X20+TINV(AB$12,$X$15)*Y20</f>
        <v>#NAME?</v>
      </c>
      <c r="AD20" t="e">
        <f t="array" aca="1" ref="AD20" ca="1">WVIF(A5:B19,U4:U18,1)</f>
        <v>#NAME?</v>
      </c>
    </row>
    <row r="21" spans="1:30">
      <c r="E21" s="285" t="str">
        <v>Quality</v>
      </c>
      <c r="F21" s="285" t="e">
        <f ca="1"/>
        <v>#NAME?</v>
      </c>
      <c r="G21" s="285" t="e">
        <f ca="1"/>
        <v>#NAME?</v>
      </c>
      <c r="H21" s="285" t="e">
        <f t="shared" ca="1" si="4"/>
        <v>#NAME?</v>
      </c>
      <c r="I21" s="285" t="e">
        <f t="shared" ca="1" si="5"/>
        <v>#NAME?</v>
      </c>
      <c r="J21" s="285" t="e">
        <f t="shared" ca="1" si="6"/>
        <v>#NAME?</v>
      </c>
      <c r="K21" s="285" t="e">
        <f t="shared" ca="1" si="7"/>
        <v>#NAME?</v>
      </c>
      <c r="L21" s="285" t="e">
        <f ca="1">VIF(A5:B19,2)</f>
        <v>#NAME?</v>
      </c>
      <c r="W21" s="285" t="str">
        <v>Quality</v>
      </c>
      <c r="X21" s="285" t="e">
        <f ca="1"/>
        <v>#NAME?</v>
      </c>
      <c r="Y21" s="285" t="e">
        <f ca="1"/>
        <v>#NAME?</v>
      </c>
      <c r="Z21" s="285" t="e">
        <f t="shared" ca="1" si="8"/>
        <v>#NAME?</v>
      </c>
      <c r="AA21" s="285" t="e">
        <f t="shared" ca="1" si="9"/>
        <v>#NAME?</v>
      </c>
      <c r="AB21" s="285" t="e">
        <f t="shared" ca="1" si="10"/>
        <v>#NAME?</v>
      </c>
      <c r="AC21" s="285" t="e">
        <f t="shared" ca="1" si="11"/>
        <v>#NAME?</v>
      </c>
      <c r="AD21" s="285" t="e">
        <f t="array" aca="1" ref="AD21" ca="1">WVIF(A5:B19,U4:U18,2)</f>
        <v>#NAME?</v>
      </c>
    </row>
    <row r="23" spans="1:30">
      <c r="X23" t="e">
        <f ca="1">WRSquare(N4:O18,P4:P18,U4:U18)</f>
        <v>#NAME?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17"/>
  <dimension ref="A1:AN25"/>
  <sheetViews>
    <sheetView workbookViewId="0"/>
  </sheetViews>
  <sheetFormatPr defaultRowHeight="15"/>
  <cols>
    <col min="5" max="5" width="17" customWidth="1"/>
    <col min="28" max="30" width="7.42578125" customWidth="1"/>
    <col min="32" max="32" width="2.42578125" customWidth="1"/>
    <col min="33" max="33" width="13.28515625" customWidth="1"/>
  </cols>
  <sheetData>
    <row r="1" spans="1:39">
      <c r="A1" s="1" t="s">
        <v>1057</v>
      </c>
    </row>
    <row r="3" spans="1:39">
      <c r="A3" s="724" t="s">
        <v>17</v>
      </c>
      <c r="B3" s="724" t="s">
        <v>398</v>
      </c>
      <c r="C3" s="724" t="s">
        <v>1065</v>
      </c>
      <c r="E3" t="s">
        <v>601</v>
      </c>
      <c r="N3" s="722" t="str">
        <f>A3</f>
        <v>Score</v>
      </c>
      <c r="O3" s="722" t="str">
        <f t="shared" ref="O3:P18" si="0">B3</f>
        <v>Gender</v>
      </c>
      <c r="P3" s="722" t="str">
        <f t="shared" si="0"/>
        <v>Stress</v>
      </c>
      <c r="Q3" s="722" t="s">
        <v>638</v>
      </c>
      <c r="R3" s="722" t="s">
        <v>159</v>
      </c>
      <c r="AB3" s="722" t="str">
        <f>N3</f>
        <v>Score</v>
      </c>
      <c r="AC3" s="722" t="str">
        <f t="shared" ref="AC3:AD18" si="1">O3</f>
        <v>Gender</v>
      </c>
      <c r="AD3" s="722" t="str">
        <f t="shared" si="1"/>
        <v>Stress</v>
      </c>
      <c r="AE3" s="722" t="s">
        <v>757</v>
      </c>
      <c r="AG3" t="s">
        <v>1058</v>
      </c>
    </row>
    <row r="4" spans="1:39">
      <c r="A4" s="163">
        <v>5.08</v>
      </c>
      <c r="B4" s="648">
        <v>0</v>
      </c>
      <c r="C4" s="163">
        <v>3.35</v>
      </c>
      <c r="N4" s="163">
        <f t="shared" ref="N4:P24" si="2">A4</f>
        <v>5.08</v>
      </c>
      <c r="O4" s="660">
        <f t="shared" si="0"/>
        <v>0</v>
      </c>
      <c r="P4" s="163">
        <f t="shared" si="0"/>
        <v>3.35</v>
      </c>
      <c r="Q4">
        <f t="array" ref="Q4:Q24">TREND(P4:P24,N4:O24)</f>
        <v>3.4648189777471519</v>
      </c>
      <c r="R4">
        <f>P4-Q4</f>
        <v>-0.11481897774715177</v>
      </c>
      <c r="AB4" s="163">
        <f>N4</f>
        <v>5.08</v>
      </c>
      <c r="AC4" s="648">
        <f t="shared" si="1"/>
        <v>0</v>
      </c>
      <c r="AD4" s="163">
        <f t="shared" si="1"/>
        <v>3.35</v>
      </c>
      <c r="AE4">
        <f>X22</f>
        <v>109.92310838977296</v>
      </c>
    </row>
    <row r="5" spans="1:39" ht="15.75" thickBot="1">
      <c r="A5" s="163">
        <v>5.16</v>
      </c>
      <c r="B5" s="648">
        <v>0</v>
      </c>
      <c r="C5" s="163">
        <v>3.61</v>
      </c>
      <c r="E5" s="364" t="s">
        <v>606</v>
      </c>
      <c r="F5" s="364"/>
      <c r="H5" s="364"/>
      <c r="I5" s="364"/>
      <c r="N5" s="163">
        <f t="shared" si="2"/>
        <v>5.16</v>
      </c>
      <c r="O5" s="660">
        <f t="shared" si="0"/>
        <v>0</v>
      </c>
      <c r="P5" s="163">
        <f t="shared" si="0"/>
        <v>3.61</v>
      </c>
      <c r="Q5">
        <v>3.4880909975274603</v>
      </c>
      <c r="R5">
        <f t="shared" ref="R5:R24" si="3">P5-Q5</f>
        <v>0.12190900247253955</v>
      </c>
      <c r="AB5" s="163">
        <f t="shared" ref="AB5:AD24" si="4">N5</f>
        <v>5.16</v>
      </c>
      <c r="AC5" s="648">
        <f t="shared" si="1"/>
        <v>0</v>
      </c>
      <c r="AD5" s="163">
        <f t="shared" si="1"/>
        <v>3.61</v>
      </c>
      <c r="AE5">
        <f>AE4</f>
        <v>109.92310838977296</v>
      </c>
      <c r="AG5" s="364" t="s">
        <v>606</v>
      </c>
      <c r="AH5" s="364"/>
      <c r="AJ5" s="364"/>
      <c r="AK5" s="364"/>
    </row>
    <row r="6" spans="1:39" ht="15.75" thickTop="1">
      <c r="A6" s="163">
        <v>4.8499999999999996</v>
      </c>
      <c r="B6" s="648">
        <v>0</v>
      </c>
      <c r="C6" s="163">
        <v>3.3</v>
      </c>
      <c r="E6" t="s">
        <v>208</v>
      </c>
      <c r="F6" t="e">
        <f ca="1">SQRT(F7)</f>
        <v>#NAME?</v>
      </c>
      <c r="H6" t="s">
        <v>498</v>
      </c>
      <c r="I6" t="e">
        <f ca="1">F10*LN(G15/F10)+2*(F14+1)</f>
        <v>#NAME?</v>
      </c>
      <c r="N6" s="163">
        <f t="shared" si="2"/>
        <v>4.8499999999999996</v>
      </c>
      <c r="O6" s="660">
        <f t="shared" si="0"/>
        <v>0</v>
      </c>
      <c r="P6" s="163">
        <f t="shared" si="0"/>
        <v>3.3</v>
      </c>
      <c r="Q6">
        <v>3.3979119208787636</v>
      </c>
      <c r="R6">
        <f t="shared" si="3"/>
        <v>-9.791192087876377E-2</v>
      </c>
      <c r="AB6" s="163">
        <f t="shared" si="4"/>
        <v>4.8499999999999996</v>
      </c>
      <c r="AC6" s="648">
        <f t="shared" si="1"/>
        <v>0</v>
      </c>
      <c r="AD6" s="163">
        <f t="shared" si="1"/>
        <v>3.3</v>
      </c>
      <c r="AE6">
        <f t="shared" ref="AE6:AE24" si="5">AE5</f>
        <v>109.92310838977296</v>
      </c>
      <c r="AG6" t="s">
        <v>208</v>
      </c>
      <c r="AH6" t="e">
        <f ca="1">SQRT(AH7)</f>
        <v>#NAME?</v>
      </c>
      <c r="AJ6" t="s">
        <v>498</v>
      </c>
      <c r="AK6" t="e">
        <f ca="1">AH10*LN(AI15/AH10)+2*AH14</f>
        <v>#NAME?</v>
      </c>
    </row>
    <row r="7" spans="1:39">
      <c r="A7" s="163">
        <v>4.9800000000000004</v>
      </c>
      <c r="B7" s="648">
        <v>0</v>
      </c>
      <c r="C7" s="163">
        <v>3.41</v>
      </c>
      <c r="E7" t="s">
        <v>201</v>
      </c>
      <c r="F7" t="e">
        <f ca="1">G14/G16</f>
        <v>#NAME?</v>
      </c>
      <c r="H7" t="s">
        <v>499</v>
      </c>
      <c r="I7" t="e">
        <f ca="1">I6+2*(F14+2)*(F14+3)/(F10-F14-3)</f>
        <v>#NAME?</v>
      </c>
      <c r="N7" s="163">
        <f t="shared" si="2"/>
        <v>4.9800000000000004</v>
      </c>
      <c r="O7" s="660">
        <f t="shared" si="0"/>
        <v>0</v>
      </c>
      <c r="P7" s="163">
        <f t="shared" si="0"/>
        <v>3.41</v>
      </c>
      <c r="Q7">
        <v>3.4357289530217656</v>
      </c>
      <c r="R7">
        <f t="shared" si="3"/>
        <v>-2.5728953021765477E-2</v>
      </c>
      <c r="AB7" s="163">
        <f t="shared" si="4"/>
        <v>4.9800000000000004</v>
      </c>
      <c r="AC7" s="648">
        <f t="shared" si="1"/>
        <v>0</v>
      </c>
      <c r="AD7" s="163">
        <f t="shared" si="1"/>
        <v>3.41</v>
      </c>
      <c r="AE7">
        <f t="shared" si="5"/>
        <v>109.92310838977296</v>
      </c>
      <c r="AG7" t="s">
        <v>201</v>
      </c>
      <c r="AH7" t="e">
        <f ca="1">AI14/AI16</f>
        <v>#NAME?</v>
      </c>
      <c r="AJ7" t="s">
        <v>499</v>
      </c>
      <c r="AK7" t="e">
        <f ca="1">AK6+2*(AH14+1)*(AH14+2)/(AH10-AH14-2)</f>
        <v>#NAME?</v>
      </c>
    </row>
    <row r="8" spans="1:39">
      <c r="A8" s="163">
        <v>4.9000000000000004</v>
      </c>
      <c r="B8" s="648">
        <v>0</v>
      </c>
      <c r="C8" s="163">
        <v>3.58</v>
      </c>
      <c r="E8" t="s">
        <v>209</v>
      </c>
      <c r="F8" t="e">
        <f ca="1">1-(1-F7)*(F10-1)/(F10-F14-1)</f>
        <v>#NAME?</v>
      </c>
      <c r="H8" s="285" t="s">
        <v>762</v>
      </c>
      <c r="I8" s="285" t="e">
        <f ca="1">F10*LN(G15/F10)+(F14+1)*LN(F10)</f>
        <v>#NAME?</v>
      </c>
      <c r="N8" s="163">
        <f t="shared" si="2"/>
        <v>4.9000000000000004</v>
      </c>
      <c r="O8" s="660">
        <f t="shared" si="0"/>
        <v>0</v>
      </c>
      <c r="P8" s="163">
        <f t="shared" si="0"/>
        <v>3.58</v>
      </c>
      <c r="Q8">
        <v>3.4124569332414572</v>
      </c>
      <c r="R8">
        <f t="shared" si="3"/>
        <v>0.16754306675854291</v>
      </c>
      <c r="AB8" s="163">
        <f t="shared" si="4"/>
        <v>4.9000000000000004</v>
      </c>
      <c r="AC8" s="648">
        <f t="shared" si="1"/>
        <v>0</v>
      </c>
      <c r="AD8" s="163">
        <f t="shared" si="1"/>
        <v>3.58</v>
      </c>
      <c r="AE8">
        <f t="shared" si="5"/>
        <v>109.92310838977296</v>
      </c>
      <c r="AG8" t="s">
        <v>1059</v>
      </c>
      <c r="AH8" t="e">
        <f ca="1">1-(1-AH7)*AH10/(AH10-AH14)</f>
        <v>#NAME?</v>
      </c>
      <c r="AJ8" s="285" t="s">
        <v>749</v>
      </c>
      <c r="AK8" s="285" t="e">
        <f ca="1">AH10*LN(AI15/AH10)+AH14*LN(AH10)</f>
        <v>#NAME?</v>
      </c>
    </row>
    <row r="9" spans="1:39">
      <c r="A9" s="163">
        <v>5.21</v>
      </c>
      <c r="B9" s="648">
        <v>0</v>
      </c>
      <c r="C9" s="163">
        <v>3.47</v>
      </c>
      <c r="E9" t="s">
        <v>9</v>
      </c>
      <c r="F9" t="e">
        <f ca="1">SQRT(H15)</f>
        <v>#NAME?</v>
      </c>
      <c r="N9" s="163">
        <f t="shared" si="2"/>
        <v>5.21</v>
      </c>
      <c r="O9" s="660">
        <f t="shared" si="0"/>
        <v>0</v>
      </c>
      <c r="P9" s="163">
        <f t="shared" si="0"/>
        <v>3.47</v>
      </c>
      <c r="Q9">
        <v>3.5026360098901534</v>
      </c>
      <c r="R9">
        <f t="shared" si="3"/>
        <v>-3.263600989015325E-2</v>
      </c>
      <c r="AB9" s="163">
        <f t="shared" si="4"/>
        <v>5.21</v>
      </c>
      <c r="AC9" s="648">
        <f t="shared" si="1"/>
        <v>0</v>
      </c>
      <c r="AD9" s="163">
        <f t="shared" si="1"/>
        <v>3.47</v>
      </c>
      <c r="AE9">
        <f t="shared" si="5"/>
        <v>109.92310838977296</v>
      </c>
      <c r="AG9" t="s">
        <v>9</v>
      </c>
      <c r="AH9" t="e">
        <f ca="1">SQRT(AJ15)</f>
        <v>#NAME?</v>
      </c>
    </row>
    <row r="10" spans="1:39">
      <c r="A10" s="163">
        <v>5.08</v>
      </c>
      <c r="B10" s="648">
        <v>0</v>
      </c>
      <c r="C10" s="163">
        <v>3.45</v>
      </c>
      <c r="E10" s="285" t="s">
        <v>42</v>
      </c>
      <c r="F10" s="285">
        <f>COUNT(C4:C24)</f>
        <v>21</v>
      </c>
      <c r="N10" s="163">
        <f t="shared" si="2"/>
        <v>5.08</v>
      </c>
      <c r="O10" s="660">
        <f t="shared" si="0"/>
        <v>0</v>
      </c>
      <c r="P10" s="163">
        <f t="shared" si="0"/>
        <v>3.45</v>
      </c>
      <c r="Q10">
        <v>3.4648189777471519</v>
      </c>
      <c r="R10">
        <f t="shared" si="3"/>
        <v>-1.4818977747151685E-2</v>
      </c>
      <c r="AB10" s="163">
        <f t="shared" si="4"/>
        <v>5.08</v>
      </c>
      <c r="AC10" s="648">
        <f t="shared" si="1"/>
        <v>0</v>
      </c>
      <c r="AD10" s="163">
        <f t="shared" si="1"/>
        <v>3.45</v>
      </c>
      <c r="AE10">
        <f t="shared" si="5"/>
        <v>109.92310838977296</v>
      </c>
      <c r="AG10" s="285" t="s">
        <v>42</v>
      </c>
      <c r="AH10" s="285">
        <f>COUNT(AD4:AD24)</f>
        <v>21</v>
      </c>
    </row>
    <row r="11" spans="1:39">
      <c r="A11" s="163">
        <v>4.9400000000000004</v>
      </c>
      <c r="B11" s="648">
        <v>0</v>
      </c>
      <c r="C11" s="163">
        <v>3.36</v>
      </c>
      <c r="N11" s="163">
        <f t="shared" si="2"/>
        <v>4.9400000000000004</v>
      </c>
      <c r="O11" s="660">
        <f t="shared" si="0"/>
        <v>0</v>
      </c>
      <c r="P11" s="163">
        <f t="shared" si="0"/>
        <v>3.36</v>
      </c>
      <c r="Q11">
        <v>3.4240929431316114</v>
      </c>
      <c r="R11">
        <f t="shared" si="3"/>
        <v>-6.4092943131611513E-2</v>
      </c>
      <c r="AB11" s="163">
        <f t="shared" si="4"/>
        <v>4.9400000000000004</v>
      </c>
      <c r="AC11" s="648">
        <f t="shared" si="1"/>
        <v>0</v>
      </c>
      <c r="AD11" s="163">
        <f t="shared" si="1"/>
        <v>3.36</v>
      </c>
      <c r="AE11">
        <f t="shared" si="5"/>
        <v>109.92310838977296</v>
      </c>
    </row>
    <row r="12" spans="1:39" ht="15.75" thickBot="1">
      <c r="A12" s="163">
        <v>5.46</v>
      </c>
      <c r="B12" s="648">
        <v>0</v>
      </c>
      <c r="C12" s="163">
        <v>3.67</v>
      </c>
      <c r="E12" t="s">
        <v>210</v>
      </c>
      <c r="I12" s="660" t="s">
        <v>16</v>
      </c>
      <c r="J12" s="660">
        <v>0.05</v>
      </c>
      <c r="N12" s="163">
        <f t="shared" si="2"/>
        <v>5.46</v>
      </c>
      <c r="O12" s="660">
        <f t="shared" si="0"/>
        <v>0</v>
      </c>
      <c r="P12" s="163">
        <f t="shared" si="0"/>
        <v>3.67</v>
      </c>
      <c r="Q12">
        <v>3.5753610717036191</v>
      </c>
      <c r="R12">
        <f t="shared" si="3"/>
        <v>9.4638928296380875E-2</v>
      </c>
      <c r="AB12" s="163">
        <f t="shared" si="4"/>
        <v>5.46</v>
      </c>
      <c r="AC12" s="648">
        <f t="shared" si="1"/>
        <v>0</v>
      </c>
      <c r="AD12" s="163">
        <f t="shared" si="1"/>
        <v>3.67</v>
      </c>
      <c r="AE12">
        <f t="shared" si="5"/>
        <v>109.92310838977296</v>
      </c>
      <c r="AG12" t="s">
        <v>210</v>
      </c>
      <c r="AK12" s="660" t="s">
        <v>16</v>
      </c>
      <c r="AL12" s="660">
        <v>0.05</v>
      </c>
    </row>
    <row r="13" spans="1:39" ht="15.75" thickTop="1">
      <c r="A13" s="163">
        <v>6.04</v>
      </c>
      <c r="B13" s="648">
        <v>0</v>
      </c>
      <c r="C13" s="163">
        <v>3.71</v>
      </c>
      <c r="E13" s="398"/>
      <c r="F13" s="398" t="s">
        <v>26</v>
      </c>
      <c r="G13" s="398" t="s">
        <v>137</v>
      </c>
      <c r="H13" s="398" t="s">
        <v>156</v>
      </c>
      <c r="I13" s="398" t="s">
        <v>63</v>
      </c>
      <c r="J13" s="398" t="s">
        <v>30</v>
      </c>
      <c r="K13" s="398" t="s">
        <v>374</v>
      </c>
      <c r="N13" s="163">
        <f t="shared" si="2"/>
        <v>6.04</v>
      </c>
      <c r="O13" s="660">
        <f t="shared" si="0"/>
        <v>0</v>
      </c>
      <c r="P13" s="163">
        <f t="shared" si="0"/>
        <v>3.71</v>
      </c>
      <c r="Q13">
        <v>3.7440832151108578</v>
      </c>
      <c r="R13">
        <f t="shared" si="3"/>
        <v>-3.4083215110857878E-2</v>
      </c>
      <c r="AB13" s="163">
        <f t="shared" si="4"/>
        <v>6.04</v>
      </c>
      <c r="AC13" s="648">
        <f t="shared" si="1"/>
        <v>0</v>
      </c>
      <c r="AD13" s="163">
        <f t="shared" si="1"/>
        <v>3.71</v>
      </c>
      <c r="AE13">
        <f t="shared" si="5"/>
        <v>109.92310838977296</v>
      </c>
      <c r="AG13" s="398"/>
      <c r="AH13" s="398" t="s">
        <v>26</v>
      </c>
      <c r="AI13" s="398" t="s">
        <v>137</v>
      </c>
      <c r="AJ13" s="398" t="s">
        <v>156</v>
      </c>
      <c r="AK13" s="398" t="s">
        <v>63</v>
      </c>
      <c r="AL13" s="398" t="s">
        <v>30</v>
      </c>
      <c r="AM13" s="398" t="s">
        <v>374</v>
      </c>
    </row>
    <row r="14" spans="1:39">
      <c r="A14" s="163">
        <v>6.41</v>
      </c>
      <c r="B14" s="648">
        <v>1</v>
      </c>
      <c r="C14" s="163">
        <v>3.92</v>
      </c>
      <c r="E14" t="s">
        <v>138</v>
      </c>
      <c r="F14">
        <f>COUNT(A4:B4)</f>
        <v>2</v>
      </c>
      <c r="G14" t="e">
        <f ca="1">DEVSQ(MMULT(DESIGN(A4:B24),F19:F21))</f>
        <v>#NAME?</v>
      </c>
      <c r="H14" t="e">
        <f ca="1">G14/F14</f>
        <v>#NAME?</v>
      </c>
      <c r="I14" t="e">
        <f ca="1">H14/H15</f>
        <v>#NAME?</v>
      </c>
      <c r="J14" t="e">
        <f ca="1">FDIST(I14,F14,F15)</f>
        <v>#NAME?</v>
      </c>
      <c r="K14" s="660" t="e">
        <f ca="1">IF(J14&lt;J12,"yes","no")</f>
        <v>#NAME?</v>
      </c>
      <c r="N14" s="163">
        <f t="shared" si="2"/>
        <v>6.41</v>
      </c>
      <c r="O14" s="660">
        <f t="shared" si="0"/>
        <v>1</v>
      </c>
      <c r="P14" s="163">
        <f t="shared" si="0"/>
        <v>3.92</v>
      </c>
      <c r="Q14">
        <v>3.6011519597908466</v>
      </c>
      <c r="R14">
        <f t="shared" si="3"/>
        <v>0.31884804020915336</v>
      </c>
      <c r="AB14" s="163">
        <f t="shared" si="4"/>
        <v>6.41</v>
      </c>
      <c r="AC14" s="648">
        <f t="shared" si="1"/>
        <v>1</v>
      </c>
      <c r="AD14" s="163">
        <f t="shared" si="1"/>
        <v>3.92</v>
      </c>
      <c r="AE14">
        <f>X21</f>
        <v>15.354062834756373</v>
      </c>
      <c r="AG14" t="s">
        <v>138</v>
      </c>
      <c r="AH14">
        <f>COUNT(AB4:AC4)</f>
        <v>2</v>
      </c>
      <c r="AI14" t="e">
        <f ca="1">SUMPRODUCT(AE4:AE24,MMULT(DESIGN(AB4:AC24),AH19:AH21)^2)-SUMPRODUCT(AD4:AD24,AE4:AE24)^2/SUM(AE4:AE24)</f>
        <v>#NAME?</v>
      </c>
      <c r="AJ14" t="e">
        <f ca="1">AI14/AH14</f>
        <v>#NAME?</v>
      </c>
      <c r="AK14" t="e">
        <f ca="1">AJ14/AJ15</f>
        <v>#NAME?</v>
      </c>
      <c r="AL14" t="e">
        <f ca="1">FDIST(AK14,AH14,AH15)</f>
        <v>#NAME?</v>
      </c>
      <c r="AM14" s="660" t="e">
        <f ca="1">IF(AL14&lt;AL12,"yes","no")</f>
        <v>#NAME?</v>
      </c>
    </row>
    <row r="15" spans="1:39">
      <c r="A15" s="163">
        <v>6.01</v>
      </c>
      <c r="B15" s="648">
        <v>1</v>
      </c>
      <c r="C15" s="163">
        <v>3.16</v>
      </c>
      <c r="E15" t="s">
        <v>211</v>
      </c>
      <c r="F15">
        <f>F16-F14</f>
        <v>18</v>
      </c>
      <c r="G15" t="e">
        <f ca="1">G16-G14</f>
        <v>#NAME?</v>
      </c>
      <c r="H15" t="e">
        <f ca="1">G15/F15</f>
        <v>#NAME?</v>
      </c>
      <c r="N15" s="163">
        <f t="shared" si="2"/>
        <v>6.01</v>
      </c>
      <c r="O15" s="660">
        <f t="shared" si="0"/>
        <v>1</v>
      </c>
      <c r="P15" s="163">
        <f t="shared" si="0"/>
        <v>3.16</v>
      </c>
      <c r="Q15">
        <v>3.4847918608893025</v>
      </c>
      <c r="R15">
        <f t="shared" si="3"/>
        <v>-0.32479186088930234</v>
      </c>
      <c r="AB15" s="163">
        <f t="shared" si="4"/>
        <v>6.01</v>
      </c>
      <c r="AC15" s="648">
        <f t="shared" si="1"/>
        <v>1</v>
      </c>
      <c r="AD15" s="163">
        <f t="shared" si="1"/>
        <v>3.16</v>
      </c>
      <c r="AE15">
        <f t="shared" si="5"/>
        <v>15.354062834756373</v>
      </c>
      <c r="AG15" t="s">
        <v>211</v>
      </c>
      <c r="AH15">
        <f>AH16-AH14</f>
        <v>18</v>
      </c>
      <c r="AI15" t="e">
        <f ca="1">AI16-AI14</f>
        <v>#NAME?</v>
      </c>
      <c r="AJ15" t="e">
        <f ca="1">AI15/AH15</f>
        <v>#NAME?</v>
      </c>
    </row>
    <row r="16" spans="1:39">
      <c r="A16" s="163">
        <v>6.15</v>
      </c>
      <c r="B16" s="648">
        <v>1</v>
      </c>
      <c r="C16" s="163">
        <v>3.58</v>
      </c>
      <c r="E16" s="285" t="s">
        <v>1</v>
      </c>
      <c r="F16" s="285">
        <f>F10-1</f>
        <v>20</v>
      </c>
      <c r="G16" s="285">
        <f>DEVSQ(C4:C24)</f>
        <v>0.93965714285714286</v>
      </c>
      <c r="H16" s="285"/>
      <c r="I16" s="285"/>
      <c r="J16" s="285"/>
      <c r="K16" s="285"/>
      <c r="N16" s="163">
        <f t="shared" si="2"/>
        <v>6.15</v>
      </c>
      <c r="O16" s="660">
        <f t="shared" si="0"/>
        <v>1</v>
      </c>
      <c r="P16" s="163">
        <f t="shared" si="0"/>
        <v>3.58</v>
      </c>
      <c r="Q16">
        <v>3.5255178955048425</v>
      </c>
      <c r="R16">
        <f t="shared" si="3"/>
        <v>5.4482104495157557E-2</v>
      </c>
      <c r="AB16" s="163">
        <f t="shared" si="4"/>
        <v>6.15</v>
      </c>
      <c r="AC16" s="648">
        <f t="shared" si="1"/>
        <v>1</v>
      </c>
      <c r="AD16" s="163">
        <f t="shared" si="1"/>
        <v>3.58</v>
      </c>
      <c r="AE16">
        <f t="shared" si="5"/>
        <v>15.354062834756373</v>
      </c>
      <c r="AG16" s="285" t="s">
        <v>1</v>
      </c>
      <c r="AH16" s="285">
        <f>AH10-1</f>
        <v>20</v>
      </c>
      <c r="AI16" s="285">
        <f>SUMPRODUCT(AD4:AD24^2,AE4:AE24)-SUMPRODUCT(AD4:AD24,AE4:AE24)^2/SUM(AE4:AE24)</f>
        <v>32.065952564338659</v>
      </c>
      <c r="AJ16" s="285"/>
      <c r="AK16" s="285"/>
      <c r="AL16" s="285"/>
      <c r="AM16" s="285"/>
    </row>
    <row r="17" spans="1:40" ht="15.75" thickBot="1">
      <c r="A17" s="163">
        <v>5.8</v>
      </c>
      <c r="B17" s="648">
        <v>1</v>
      </c>
      <c r="C17" s="163">
        <v>3.22</v>
      </c>
      <c r="N17" s="163">
        <f t="shared" si="2"/>
        <v>5.8</v>
      </c>
      <c r="O17" s="660">
        <f t="shared" si="0"/>
        <v>1</v>
      </c>
      <c r="P17" s="163">
        <f t="shared" si="0"/>
        <v>3.22</v>
      </c>
      <c r="Q17">
        <v>3.4237028089659916</v>
      </c>
      <c r="R17">
        <f t="shared" si="3"/>
        <v>-0.20370280896599136</v>
      </c>
      <c r="AB17" s="163">
        <f t="shared" si="4"/>
        <v>5.8</v>
      </c>
      <c r="AC17" s="648">
        <f t="shared" si="1"/>
        <v>1</v>
      </c>
      <c r="AD17" s="163">
        <f t="shared" si="1"/>
        <v>3.22</v>
      </c>
      <c r="AE17">
        <f t="shared" si="5"/>
        <v>15.354062834756373</v>
      </c>
    </row>
    <row r="18" spans="1:40" ht="15.75" thickTop="1">
      <c r="A18" s="163">
        <v>5.94</v>
      </c>
      <c r="B18" s="648">
        <v>1</v>
      </c>
      <c r="C18" s="163">
        <v>3.3</v>
      </c>
      <c r="E18" s="398"/>
      <c r="F18" s="398" t="s">
        <v>600</v>
      </c>
      <c r="G18" s="398" t="s">
        <v>503</v>
      </c>
      <c r="H18" s="398" t="s">
        <v>27</v>
      </c>
      <c r="I18" s="398" t="s">
        <v>30</v>
      </c>
      <c r="J18" s="398" t="s">
        <v>13</v>
      </c>
      <c r="K18" s="398" t="s">
        <v>14</v>
      </c>
      <c r="L18" s="398" t="s">
        <v>750</v>
      </c>
      <c r="N18" s="163">
        <f t="shared" si="2"/>
        <v>5.94</v>
      </c>
      <c r="O18" s="660">
        <f t="shared" si="0"/>
        <v>1</v>
      </c>
      <c r="P18" s="163">
        <f t="shared" si="0"/>
        <v>3.3</v>
      </c>
      <c r="Q18">
        <v>3.4644288435815325</v>
      </c>
      <c r="R18">
        <f t="shared" si="3"/>
        <v>-0.16442884358153265</v>
      </c>
      <c r="AB18" s="163">
        <f t="shared" si="4"/>
        <v>5.94</v>
      </c>
      <c r="AC18" s="648">
        <f t="shared" si="1"/>
        <v>1</v>
      </c>
      <c r="AD18" s="163">
        <f t="shared" si="1"/>
        <v>3.3</v>
      </c>
      <c r="AE18">
        <f t="shared" si="5"/>
        <v>15.354062834756373</v>
      </c>
      <c r="AG18" s="398"/>
      <c r="AH18" s="398" t="s">
        <v>600</v>
      </c>
      <c r="AI18" s="398" t="s">
        <v>503</v>
      </c>
      <c r="AJ18" s="398" t="s">
        <v>27</v>
      </c>
      <c r="AK18" s="398" t="s">
        <v>30</v>
      </c>
      <c r="AL18" s="398" t="s">
        <v>13</v>
      </c>
      <c r="AM18" s="398" t="s">
        <v>14</v>
      </c>
      <c r="AN18" s="398" t="s">
        <v>750</v>
      </c>
    </row>
    <row r="19" spans="1:40">
      <c r="A19" s="163">
        <v>5.32</v>
      </c>
      <c r="B19" s="648">
        <v>1</v>
      </c>
      <c r="C19" s="163">
        <v>3.13</v>
      </c>
      <c r="E19" t="s">
        <v>212</v>
      </c>
      <c r="F19" t="e">
        <f t="array" aca="1" ref="F19:G21" ca="1">RegCoeff(A4:B24,C4:C24)</f>
        <v>#NAME?</v>
      </c>
      <c r="G19" t="e">
        <f ca="1"/>
        <v>#NAME?</v>
      </c>
      <c r="H19" t="e">
        <f ca="1">F19/G19</f>
        <v>#NAME?</v>
      </c>
      <c r="I19" t="e">
        <f ca="1">TDIST(ABS(H19),$F$15,2)</f>
        <v>#NAME?</v>
      </c>
      <c r="J19" t="e">
        <f ca="1">F19-TINV(J$12,$F$15)*G19</f>
        <v>#NAME?</v>
      </c>
      <c r="K19" t="e">
        <f ca="1">F19+TINV(J$12,$F$15)*G19</f>
        <v>#NAME?</v>
      </c>
      <c r="N19" s="163">
        <f t="shared" si="2"/>
        <v>5.32</v>
      </c>
      <c r="O19" s="660">
        <f t="shared" si="2"/>
        <v>1</v>
      </c>
      <c r="P19" s="163">
        <f t="shared" si="2"/>
        <v>3.13</v>
      </c>
      <c r="Q19">
        <v>3.2840706902841381</v>
      </c>
      <c r="R19">
        <f t="shared" si="3"/>
        <v>-0.15407069028413822</v>
      </c>
      <c r="AB19" s="163">
        <f t="shared" si="4"/>
        <v>5.32</v>
      </c>
      <c r="AC19" s="648">
        <f t="shared" si="4"/>
        <v>1</v>
      </c>
      <c r="AD19" s="163">
        <f t="shared" si="4"/>
        <v>3.13</v>
      </c>
      <c r="AE19">
        <f t="shared" si="5"/>
        <v>15.354062834756373</v>
      </c>
      <c r="AG19" t="s">
        <v>212</v>
      </c>
      <c r="AH19" t="e">
        <f t="array" aca="1" ref="AH19:AI21" ca="1">WRegCoeff(AB4:AC24,AD4:AD24,AE4:AE24)</f>
        <v>#NAME?</v>
      </c>
      <c r="AI19" t="e">
        <f ca="1"/>
        <v>#NAME?</v>
      </c>
      <c r="AJ19" t="e">
        <f ca="1">AH19/AI19</f>
        <v>#NAME?</v>
      </c>
      <c r="AK19" t="e">
        <f ca="1">TDIST(ABS(AJ19),$AH$15,2)</f>
        <v>#NAME?</v>
      </c>
      <c r="AL19" t="e">
        <f ca="1">AH19-TINV(AL$12,$AH$15)*AI19</f>
        <v>#NAME?</v>
      </c>
      <c r="AM19" t="e">
        <f ca="1">AH19+TINV(AL$12,$AH$15)*AI19</f>
        <v>#NAME?</v>
      </c>
    </row>
    <row r="20" spans="1:40">
      <c r="A20" s="163">
        <v>6.12</v>
      </c>
      <c r="B20" s="648">
        <v>1</v>
      </c>
      <c r="C20" s="163">
        <v>3.46</v>
      </c>
      <c r="E20" t="str">
        <f t="array" ref="E20:E21">TRANSPOSE(A3:B3)</f>
        <v>Score</v>
      </c>
      <c r="F20" t="e">
        <f ca="1"/>
        <v>#NAME?</v>
      </c>
      <c r="G20" t="e">
        <f ca="1"/>
        <v>#NAME?</v>
      </c>
      <c r="H20" t="e">
        <f t="shared" ref="H20:H21" ca="1" si="6">F20/G20</f>
        <v>#NAME?</v>
      </c>
      <c r="I20" t="e">
        <f t="shared" ref="I20:I21" ca="1" si="7">TDIST(ABS(H20),$F$15,2)</f>
        <v>#NAME?</v>
      </c>
      <c r="J20" t="e">
        <f t="shared" ref="J20:J21" ca="1" si="8">F20-TINV(J$12,$F$15)*G20</f>
        <v>#NAME?</v>
      </c>
      <c r="K20" t="e">
        <f t="shared" ref="K20:K21" ca="1" si="9">F20+TINV(J$12,$F$15)*G20</f>
        <v>#NAME?</v>
      </c>
      <c r="L20" t="e">
        <f ca="1">VIF(A4:B24,1)</f>
        <v>#NAME?</v>
      </c>
      <c r="N20" s="163">
        <f t="shared" si="2"/>
        <v>6.12</v>
      </c>
      <c r="O20" s="660">
        <f t="shared" si="2"/>
        <v>1</v>
      </c>
      <c r="P20" s="163">
        <f t="shared" si="2"/>
        <v>3.46</v>
      </c>
      <c r="Q20">
        <v>3.5167908880872272</v>
      </c>
      <c r="R20">
        <f t="shared" si="3"/>
        <v>-5.6790888087227209E-2</v>
      </c>
      <c r="U20" s="660" t="s">
        <v>1066</v>
      </c>
      <c r="V20" s="660" t="s">
        <v>1067</v>
      </c>
      <c r="W20" s="660" t="s">
        <v>1068</v>
      </c>
      <c r="X20" s="660" t="s">
        <v>757</v>
      </c>
      <c r="AB20" s="163">
        <f t="shared" si="4"/>
        <v>6.12</v>
      </c>
      <c r="AC20" s="648">
        <f t="shared" si="4"/>
        <v>1</v>
      </c>
      <c r="AD20" s="163">
        <f t="shared" si="4"/>
        <v>3.46</v>
      </c>
      <c r="AE20">
        <f t="shared" si="5"/>
        <v>15.354062834756373</v>
      </c>
      <c r="AG20" t="str">
        <f t="array" ref="AG20:AG21">TRANSPOSE(AB3:AC3)</f>
        <v>Score</v>
      </c>
      <c r="AH20" t="e">
        <f ca="1"/>
        <v>#NAME?</v>
      </c>
      <c r="AI20" t="e">
        <f ca="1"/>
        <v>#NAME?</v>
      </c>
      <c r="AJ20" t="e">
        <f t="shared" ref="AJ20:AJ21" ca="1" si="10">AH20/AI20</f>
        <v>#NAME?</v>
      </c>
      <c r="AK20" t="e">
        <f t="shared" ref="AK20:AK21" ca="1" si="11">TDIST(ABS(AJ20),$AH$15,2)</f>
        <v>#NAME?</v>
      </c>
      <c r="AL20" t="e">
        <f t="shared" ref="AL20:AL21" ca="1" si="12">AH20-TINV(AL$12,$AH$15)*AI20</f>
        <v>#NAME?</v>
      </c>
      <c r="AM20" t="e">
        <f t="shared" ref="AM20:AM21" ca="1" si="13">AH20+TINV(AL$12,$AH$15)*AI20</f>
        <v>#NAME?</v>
      </c>
      <c r="AN20" t="e">
        <f ca="1">WVIF(AB4:AC24,AE4:AE24,1)</f>
        <v>#NAME?</v>
      </c>
    </row>
    <row r="21" spans="1:40">
      <c r="A21" s="163">
        <v>5.34</v>
      </c>
      <c r="B21" s="648">
        <v>1</v>
      </c>
      <c r="C21" s="163">
        <v>3.64</v>
      </c>
      <c r="E21" s="285" t="str">
        <v>Gender</v>
      </c>
      <c r="F21" s="285" t="e">
        <f ca="1"/>
        <v>#NAME?</v>
      </c>
      <c r="G21" s="285" t="e">
        <f ca="1"/>
        <v>#NAME?</v>
      </c>
      <c r="H21" s="285" t="e">
        <f t="shared" ca="1" si="6"/>
        <v>#NAME?</v>
      </c>
      <c r="I21" s="285" t="e">
        <f t="shared" ca="1" si="7"/>
        <v>#NAME?</v>
      </c>
      <c r="J21" s="285" t="e">
        <f t="shared" ca="1" si="8"/>
        <v>#NAME?</v>
      </c>
      <c r="K21" s="285" t="e">
        <f t="shared" ca="1" si="9"/>
        <v>#NAME?</v>
      </c>
      <c r="L21" s="285" t="e">
        <f ca="1">VIF(A4:B24,2)</f>
        <v>#NAME?</v>
      </c>
      <c r="N21" s="163">
        <f t="shared" si="2"/>
        <v>5.34</v>
      </c>
      <c r="O21" s="660">
        <f t="shared" si="2"/>
        <v>1</v>
      </c>
      <c r="P21" s="163">
        <f t="shared" si="2"/>
        <v>3.64</v>
      </c>
      <c r="Q21">
        <v>3.2898886952292159</v>
      </c>
      <c r="R21">
        <f t="shared" si="3"/>
        <v>0.35011130477078423</v>
      </c>
      <c r="T21" t="s">
        <v>1069</v>
      </c>
      <c r="U21" s="725">
        <f>MIN(R14:R24)</f>
        <v>-0.32479186088930234</v>
      </c>
      <c r="V21" s="726">
        <f>MAX(R14:R24)</f>
        <v>0.35011130477078423</v>
      </c>
      <c r="W21" s="726">
        <f>VAR(R14:R24)</f>
        <v>6.512934138424524E-2</v>
      </c>
      <c r="X21" s="727">
        <f>1/W21</f>
        <v>15.354062834756373</v>
      </c>
      <c r="AB21" s="163">
        <f t="shared" si="4"/>
        <v>5.34</v>
      </c>
      <c r="AC21" s="648">
        <f t="shared" si="4"/>
        <v>1</v>
      </c>
      <c r="AD21" s="163">
        <f t="shared" si="4"/>
        <v>3.64</v>
      </c>
      <c r="AE21">
        <f t="shared" si="5"/>
        <v>15.354062834756373</v>
      </c>
      <c r="AG21" s="285" t="str">
        <v>Gender</v>
      </c>
      <c r="AH21" s="285" t="e">
        <f ca="1"/>
        <v>#NAME?</v>
      </c>
      <c r="AI21" s="285" t="e">
        <f ca="1"/>
        <v>#NAME?</v>
      </c>
      <c r="AJ21" s="285" t="e">
        <f t="shared" ca="1" si="10"/>
        <v>#NAME?</v>
      </c>
      <c r="AK21" s="285" t="e">
        <f t="shared" ca="1" si="11"/>
        <v>#NAME?</v>
      </c>
      <c r="AL21" s="285" t="e">
        <f t="shared" ca="1" si="12"/>
        <v>#NAME?</v>
      </c>
      <c r="AM21" s="285" t="e">
        <f t="shared" ca="1" si="13"/>
        <v>#NAME?</v>
      </c>
      <c r="AN21" s="285" t="e">
        <f ca="1">WVIF(AB4:AC24,AE4:AE24,2)</f>
        <v>#NAME?</v>
      </c>
    </row>
    <row r="22" spans="1:40">
      <c r="A22" s="163">
        <v>5.76</v>
      </c>
      <c r="B22" s="648">
        <v>1</v>
      </c>
      <c r="C22" s="163">
        <v>3.55</v>
      </c>
      <c r="N22" s="163">
        <f t="shared" si="2"/>
        <v>5.76</v>
      </c>
      <c r="O22" s="660">
        <f t="shared" si="2"/>
        <v>1</v>
      </c>
      <c r="P22" s="163">
        <f t="shared" si="2"/>
        <v>3.55</v>
      </c>
      <c r="Q22">
        <v>3.4120667990758369</v>
      </c>
      <c r="R22">
        <f t="shared" si="3"/>
        <v>0.13793320092416295</v>
      </c>
      <c r="T22" t="s">
        <v>1070</v>
      </c>
      <c r="U22" s="284">
        <f>MIN(R4:R13)</f>
        <v>-0.11481897774715177</v>
      </c>
      <c r="V22" s="285">
        <f>MAX(R5:R13)</f>
        <v>0.16754306675854291</v>
      </c>
      <c r="W22" s="285">
        <f>VAR(R4:R13)</f>
        <v>9.0972682145607706E-3</v>
      </c>
      <c r="X22" s="288">
        <f>1/W22</f>
        <v>109.92310838977296</v>
      </c>
      <c r="AB22" s="163">
        <f t="shared" si="4"/>
        <v>5.76</v>
      </c>
      <c r="AC22" s="648">
        <f t="shared" si="4"/>
        <v>1</v>
      </c>
      <c r="AD22" s="163">
        <f t="shared" si="4"/>
        <v>3.55</v>
      </c>
      <c r="AE22">
        <f t="shared" si="5"/>
        <v>15.354062834756373</v>
      </c>
    </row>
    <row r="23" spans="1:40">
      <c r="A23" s="163">
        <v>5.65</v>
      </c>
      <c r="B23" s="648">
        <v>1</v>
      </c>
      <c r="C23" s="163">
        <v>3.72</v>
      </c>
      <c r="N23" s="163">
        <f t="shared" si="2"/>
        <v>5.65</v>
      </c>
      <c r="O23" s="660">
        <f t="shared" si="2"/>
        <v>1</v>
      </c>
      <c r="P23" s="163">
        <f t="shared" si="2"/>
        <v>3.72</v>
      </c>
      <c r="Q23">
        <v>3.3800677718779122</v>
      </c>
      <c r="R23">
        <f t="shared" si="3"/>
        <v>0.33993222812208801</v>
      </c>
      <c r="AB23" s="163">
        <f t="shared" si="4"/>
        <v>5.65</v>
      </c>
      <c r="AC23" s="648">
        <f t="shared" si="4"/>
        <v>1</v>
      </c>
      <c r="AD23" s="163">
        <f t="shared" si="4"/>
        <v>3.72</v>
      </c>
      <c r="AE23">
        <f t="shared" si="5"/>
        <v>15.354062834756373</v>
      </c>
      <c r="AN23" t="e">
        <f t="array" aca="1" ref="AN23:AN25" ca="1">WVIF(AB4:AC24,AE4:AE24)</f>
        <v>#NAME?</v>
      </c>
    </row>
    <row r="24" spans="1:40">
      <c r="A24" s="163">
        <v>5.71</v>
      </c>
      <c r="B24" s="648">
        <v>1</v>
      </c>
      <c r="C24" s="163">
        <v>3.1</v>
      </c>
      <c r="N24" s="712">
        <f t="shared" si="2"/>
        <v>5.71</v>
      </c>
      <c r="O24" s="715">
        <f t="shared" si="2"/>
        <v>1</v>
      </c>
      <c r="P24" s="712">
        <f t="shared" si="2"/>
        <v>3.1</v>
      </c>
      <c r="Q24" s="285">
        <v>3.3975217867131438</v>
      </c>
      <c r="R24" s="285">
        <f t="shared" si="3"/>
        <v>-0.29752178671314367</v>
      </c>
      <c r="AB24" s="712">
        <f t="shared" si="4"/>
        <v>5.71</v>
      </c>
      <c r="AC24" s="706">
        <f t="shared" si="4"/>
        <v>1</v>
      </c>
      <c r="AD24" s="712">
        <f t="shared" si="4"/>
        <v>3.1</v>
      </c>
      <c r="AE24" s="285">
        <f t="shared" si="5"/>
        <v>15.354062834756373</v>
      </c>
      <c r="AN24" t="e">
        <f ca="1"/>
        <v>#NAME?</v>
      </c>
    </row>
    <row r="25" spans="1:40">
      <c r="AN25" t="e">
        <f ca="1"/>
        <v>#NAME?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24"/>
  <dimension ref="A1:AD38"/>
  <sheetViews>
    <sheetView workbookViewId="0">
      <selection activeCell="K12" sqref="K12"/>
    </sheetView>
  </sheetViews>
  <sheetFormatPr defaultRowHeight="15"/>
  <cols>
    <col min="1" max="1" width="6.5703125" customWidth="1"/>
    <col min="2" max="3" width="9" customWidth="1"/>
    <col min="4" max="4" width="11.42578125" customWidth="1"/>
    <col min="5" max="5" width="3" customWidth="1"/>
    <col min="6" max="7" width="10" customWidth="1"/>
    <col min="8" max="8" width="11.42578125" customWidth="1"/>
    <col min="9" max="9" width="9.140625" customWidth="1"/>
    <col min="10" max="10" width="16.85546875" customWidth="1"/>
    <col min="19" max="19" width="18.140625" customWidth="1"/>
  </cols>
  <sheetData>
    <row r="1" spans="1:30">
      <c r="A1" s="1" t="s">
        <v>752</v>
      </c>
      <c r="J1" t="s">
        <v>601</v>
      </c>
      <c r="S1" t="s">
        <v>601</v>
      </c>
      <c r="AB1" t="s">
        <v>145</v>
      </c>
    </row>
    <row r="3" spans="1:30" ht="15.75" thickBot="1">
      <c r="A3" s="735" t="s">
        <v>754</v>
      </c>
      <c r="B3" s="735"/>
      <c r="C3" s="735"/>
      <c r="D3" s="735"/>
      <c r="E3" s="503"/>
      <c r="F3" s="735" t="s">
        <v>756</v>
      </c>
      <c r="G3" s="735"/>
      <c r="H3" s="735"/>
      <c r="J3" s="364" t="s">
        <v>606</v>
      </c>
      <c r="K3" s="364"/>
      <c r="M3" s="364"/>
      <c r="N3" s="364"/>
      <c r="S3" s="364" t="s">
        <v>606</v>
      </c>
      <c r="T3" s="364"/>
      <c r="V3" s="364"/>
      <c r="W3" s="364"/>
      <c r="AB3" s="11" t="s">
        <v>739</v>
      </c>
      <c r="AC3" s="11" t="s">
        <v>773</v>
      </c>
      <c r="AD3" s="11" t="s">
        <v>774</v>
      </c>
    </row>
    <row r="4" spans="1:30" ht="15.75" thickTop="1">
      <c r="A4" s="500" t="s">
        <v>753</v>
      </c>
      <c r="B4" s="501" t="s">
        <v>13</v>
      </c>
      <c r="C4" s="501" t="s">
        <v>14</v>
      </c>
      <c r="D4" s="502" t="s">
        <v>755</v>
      </c>
      <c r="E4" s="11"/>
      <c r="F4" s="500" t="s">
        <v>8</v>
      </c>
      <c r="G4" s="501" t="s">
        <v>25</v>
      </c>
      <c r="H4" s="494" t="s">
        <v>757</v>
      </c>
      <c r="J4" t="s">
        <v>208</v>
      </c>
      <c r="K4" t="e">
        <f ca="1">SQRT(K5)</f>
        <v>#NAME?</v>
      </c>
      <c r="M4" t="s">
        <v>498</v>
      </c>
      <c r="N4" t="e">
        <f ca="1">K8*LN(L13/K8)+2*K12</f>
        <v>#NAME?</v>
      </c>
      <c r="S4" t="s">
        <v>208</v>
      </c>
      <c r="T4" t="e">
        <f ca="1">SQRT(T5)</f>
        <v>#NAME?</v>
      </c>
      <c r="V4" t="s">
        <v>498</v>
      </c>
      <c r="W4" t="e">
        <f ca="1">T8*LN(U13/T8)+2*(T12+1)</f>
        <v>#NAME?</v>
      </c>
      <c r="AB4" s="313">
        <v>200</v>
      </c>
      <c r="AC4" s="547" t="e">
        <f ca="1">K17+K18*LN(AB4)</f>
        <v>#NAME?</v>
      </c>
      <c r="AD4" s="314" t="e">
        <f ca="1">T17+K18*LN(T18)</f>
        <v>#NAME?</v>
      </c>
    </row>
    <row r="5" spans="1:30">
      <c r="A5" s="489">
        <v>1</v>
      </c>
      <c r="B5" s="488">
        <v>2</v>
      </c>
      <c r="C5" s="488">
        <v>25</v>
      </c>
      <c r="D5" s="490">
        <f>LN(AVERAGE(B5,C5))</f>
        <v>2.6026896854443837</v>
      </c>
      <c r="E5" s="5"/>
      <c r="F5" s="294">
        <v>266.7</v>
      </c>
      <c r="G5" s="5">
        <v>60.5</v>
      </c>
      <c r="H5" s="295">
        <f>1/G5^2</f>
        <v>2.7320538214602825E-4</v>
      </c>
      <c r="J5" t="s">
        <v>201</v>
      </c>
      <c r="K5" t="e">
        <f ca="1">L12/L14</f>
        <v>#NAME?</v>
      </c>
      <c r="M5" t="s">
        <v>499</v>
      </c>
      <c r="N5" t="e">
        <f ca="1">N4+2*(K12+1)*(K12+2)/(K8-K12-2)</f>
        <v>#NAME?</v>
      </c>
      <c r="S5" t="s">
        <v>201</v>
      </c>
      <c r="T5" t="e">
        <f ca="1">U12/U14</f>
        <v>#NAME?</v>
      </c>
      <c r="V5" t="s">
        <v>499</v>
      </c>
      <c r="W5" t="e">
        <f ca="1">W4+2*(T12+2)*(T12+3)/(T8-T12-3)</f>
        <v>#NAME?</v>
      </c>
    </row>
    <row r="6" spans="1:30">
      <c r="A6" s="294">
        <f>A5+1</f>
        <v>2</v>
      </c>
      <c r="B6" s="5">
        <v>25</v>
      </c>
      <c r="C6" s="5">
        <v>50</v>
      </c>
      <c r="D6" s="295">
        <f t="shared" ref="D6:D12" si="0">LN(AVERAGE(B6,C6))</f>
        <v>3.6243409329763652</v>
      </c>
      <c r="E6" s="5"/>
      <c r="F6" s="294">
        <v>342.5</v>
      </c>
      <c r="G6" s="5">
        <v>68.3</v>
      </c>
      <c r="H6" s="295">
        <f t="shared" ref="H6:H12" si="1">1/G6^2</f>
        <v>2.1436732698948961E-4</v>
      </c>
      <c r="J6" t="s">
        <v>209</v>
      </c>
      <c r="K6" t="e">
        <f ca="1">1-(1-K5)*K8/(K8-K12)</f>
        <v>#NAME?</v>
      </c>
      <c r="M6" s="380" t="s">
        <v>749</v>
      </c>
      <c r="N6" s="380" t="e">
        <f ca="1">K8*LN(L13/K8)+K12*LN(K8)</f>
        <v>#NAME?</v>
      </c>
      <c r="S6" t="s">
        <v>209</v>
      </c>
      <c r="T6" t="e">
        <f ca="1">1-(1-T5)*(T8-1)/(T8-T12-1)</f>
        <v>#NAME?</v>
      </c>
      <c r="V6" s="380" t="s">
        <v>749</v>
      </c>
      <c r="W6" s="380" t="e">
        <f ca="1">T8*LN(U13/T8)+(T12+1)*LN(T8)</f>
        <v>#NAME?</v>
      </c>
    </row>
    <row r="7" spans="1:30">
      <c r="A7" s="294">
        <f t="shared" ref="A7:A12" si="2">A6+1</f>
        <v>3</v>
      </c>
      <c r="B7" s="5">
        <v>50</v>
      </c>
      <c r="C7" s="5">
        <v>100</v>
      </c>
      <c r="D7" s="295">
        <f t="shared" si="0"/>
        <v>4.3174881135363101</v>
      </c>
      <c r="E7" s="5"/>
      <c r="F7" s="294">
        <v>418.1</v>
      </c>
      <c r="G7" s="5">
        <v>81.400000000000006</v>
      </c>
      <c r="H7" s="295">
        <f t="shared" si="1"/>
        <v>1.5092152684290273E-4</v>
      </c>
      <c r="J7" t="s">
        <v>9</v>
      </c>
      <c r="K7" t="e">
        <f ca="1">SQRT(M13)</f>
        <v>#NAME?</v>
      </c>
      <c r="S7" t="s">
        <v>9</v>
      </c>
      <c r="T7" t="e">
        <f ca="1">SQRT(V13)</f>
        <v>#NAME?</v>
      </c>
    </row>
    <row r="8" spans="1:30">
      <c r="A8" s="294">
        <f t="shared" si="2"/>
        <v>4</v>
      </c>
      <c r="B8" s="5">
        <v>100</v>
      </c>
      <c r="C8" s="5">
        <v>250</v>
      </c>
      <c r="D8" s="295">
        <f t="shared" si="0"/>
        <v>5.1647859739235145</v>
      </c>
      <c r="E8" s="5"/>
      <c r="F8" s="294">
        <v>494.2</v>
      </c>
      <c r="G8" s="5">
        <v>98.8</v>
      </c>
      <c r="H8" s="295">
        <f t="shared" si="1"/>
        <v>1.0244390171941846E-4</v>
      </c>
      <c r="J8" s="380" t="s">
        <v>42</v>
      </c>
      <c r="K8" s="380">
        <f>COUNT(F5:F12)</f>
        <v>8</v>
      </c>
      <c r="S8" s="380" t="s">
        <v>42</v>
      </c>
      <c r="T8" s="380">
        <f>COUNT(F5:F12)</f>
        <v>8</v>
      </c>
    </row>
    <row r="9" spans="1:30">
      <c r="A9" s="294">
        <f t="shared" si="2"/>
        <v>5</v>
      </c>
      <c r="B9" s="5">
        <v>250</v>
      </c>
      <c r="C9" s="5">
        <v>500</v>
      </c>
      <c r="D9" s="295">
        <f t="shared" si="0"/>
        <v>5.9269260259704106</v>
      </c>
      <c r="E9" s="5"/>
      <c r="F9" s="294">
        <v>608.29999999999995</v>
      </c>
      <c r="G9" s="5">
        <v>110.6</v>
      </c>
      <c r="H9" s="295">
        <f t="shared" si="1"/>
        <v>8.1750373599207352E-5</v>
      </c>
    </row>
    <row r="10" spans="1:30" ht="15.75" thickBot="1">
      <c r="A10" s="294">
        <f t="shared" si="2"/>
        <v>6</v>
      </c>
      <c r="B10" s="5">
        <v>500</v>
      </c>
      <c r="C10" s="5">
        <v>1000</v>
      </c>
      <c r="D10" s="295">
        <f t="shared" si="0"/>
        <v>6.620073206530356</v>
      </c>
      <c r="E10" s="5"/>
      <c r="F10" s="294">
        <v>798.3</v>
      </c>
      <c r="G10" s="5">
        <v>145.6</v>
      </c>
      <c r="H10" s="295">
        <f t="shared" si="1"/>
        <v>4.7171235358048554E-5</v>
      </c>
      <c r="J10" t="s">
        <v>210</v>
      </c>
      <c r="N10" s="503" t="s">
        <v>16</v>
      </c>
      <c r="O10" s="503">
        <v>0.05</v>
      </c>
      <c r="S10" t="s">
        <v>210</v>
      </c>
      <c r="W10" s="503" t="s">
        <v>16</v>
      </c>
      <c r="X10" s="503">
        <v>0.05</v>
      </c>
    </row>
    <row r="11" spans="1:30" ht="15.75" thickTop="1">
      <c r="A11" s="294">
        <f t="shared" si="2"/>
        <v>7</v>
      </c>
      <c r="B11" s="5">
        <v>1000</v>
      </c>
      <c r="C11" s="5">
        <v>5000</v>
      </c>
      <c r="D11" s="295">
        <f t="shared" si="0"/>
        <v>8.0063675676502459</v>
      </c>
      <c r="E11" s="5"/>
      <c r="F11" s="294">
        <v>950.6</v>
      </c>
      <c r="G11" s="5">
        <v>173.1</v>
      </c>
      <c r="H11" s="295">
        <f t="shared" si="1"/>
        <v>3.3373815771864611E-5</v>
      </c>
      <c r="J11" s="398"/>
      <c r="K11" s="398" t="s">
        <v>26</v>
      </c>
      <c r="L11" s="398" t="s">
        <v>137</v>
      </c>
      <c r="M11" s="398" t="s">
        <v>156</v>
      </c>
      <c r="N11" s="398" t="s">
        <v>63</v>
      </c>
      <c r="O11" s="398" t="s">
        <v>30</v>
      </c>
      <c r="P11" s="398" t="s">
        <v>374</v>
      </c>
      <c r="S11" s="398"/>
      <c r="T11" s="398" t="s">
        <v>26</v>
      </c>
      <c r="U11" s="398" t="s">
        <v>137</v>
      </c>
      <c r="V11" s="398" t="s">
        <v>156</v>
      </c>
      <c r="W11" s="398" t="s">
        <v>63</v>
      </c>
      <c r="X11" s="398" t="s">
        <v>30</v>
      </c>
      <c r="Y11" s="398" t="s">
        <v>374</v>
      </c>
    </row>
    <row r="12" spans="1:30">
      <c r="A12" s="284">
        <f t="shared" si="2"/>
        <v>8</v>
      </c>
      <c r="B12" s="380">
        <v>5000</v>
      </c>
      <c r="C12" s="380">
        <v>10000</v>
      </c>
      <c r="D12" s="288">
        <f t="shared" si="0"/>
        <v>8.9226582995244019</v>
      </c>
      <c r="E12" s="5"/>
      <c r="F12" s="284">
        <v>1216.5</v>
      </c>
      <c r="G12" s="380">
        <v>238.3</v>
      </c>
      <c r="H12" s="288">
        <f t="shared" si="1"/>
        <v>1.7609698294800083E-5</v>
      </c>
      <c r="J12" t="s">
        <v>138</v>
      </c>
      <c r="K12">
        <f>COUNT(D5)+1</f>
        <v>2</v>
      </c>
      <c r="L12" t="e">
        <f ca="1">SUMPRODUCT(H5:H12,MMULT(DESIGN(D5:D12),K17:K18)^2)</f>
        <v>#NAME?</v>
      </c>
      <c r="M12" t="e">
        <f ca="1">L12/K12</f>
        <v>#NAME?</v>
      </c>
      <c r="N12" t="e">
        <f ca="1">M12/M13</f>
        <v>#NAME?</v>
      </c>
      <c r="O12" t="e">
        <f ca="1">FDIST(N12,K12,K13)</f>
        <v>#NAME?</v>
      </c>
      <c r="P12" s="503" t="e">
        <f ca="1">IF(O12&lt;O10,"yes","no")</f>
        <v>#NAME?</v>
      </c>
      <c r="S12" t="s">
        <v>138</v>
      </c>
      <c r="T12">
        <f>COUNT(D5)</f>
        <v>1</v>
      </c>
      <c r="U12" t="e">
        <f ca="1">DEVSQ(MMULT(DESIGN(D5:D12),T17:T18))</f>
        <v>#NAME?</v>
      </c>
      <c r="V12" t="e">
        <f ca="1">U12/T12</f>
        <v>#NAME?</v>
      </c>
      <c r="W12" t="e">
        <f ca="1">V12/V13</f>
        <v>#NAME?</v>
      </c>
      <c r="X12" t="e">
        <f ca="1">FDIST(W12,T12,T13)</f>
        <v>#NAME?</v>
      </c>
      <c r="Y12" s="503" t="e">
        <f ca="1">IF(X12&lt;X10,"yes","no")</f>
        <v>#NAME?</v>
      </c>
    </row>
    <row r="13" spans="1:30">
      <c r="J13" t="s">
        <v>211</v>
      </c>
      <c r="K13">
        <f>K14-K12</f>
        <v>6</v>
      </c>
      <c r="L13" t="e">
        <f ca="1">L14-L12</f>
        <v>#NAME?</v>
      </c>
      <c r="M13" t="e">
        <f ca="1">L13/K13</f>
        <v>#NAME?</v>
      </c>
      <c r="S13" t="s">
        <v>211</v>
      </c>
      <c r="T13">
        <f>T14-T12</f>
        <v>6</v>
      </c>
      <c r="U13" t="e">
        <f ca="1">U14-U12</f>
        <v>#NAME?</v>
      </c>
      <c r="V13" t="e">
        <f ca="1">U13/T13</f>
        <v>#NAME?</v>
      </c>
    </row>
    <row r="14" spans="1:30">
      <c r="J14" s="380" t="s">
        <v>1</v>
      </c>
      <c r="K14" s="380">
        <f>K8</f>
        <v>8</v>
      </c>
      <c r="L14" s="380">
        <f>SUMPRODUCT(F5:F12^2,H5:H12)</f>
        <v>212.51135317328385</v>
      </c>
      <c r="M14" s="380"/>
      <c r="N14" s="380"/>
      <c r="O14" s="380"/>
      <c r="P14" s="380"/>
      <c r="S14" s="380" t="s">
        <v>1</v>
      </c>
      <c r="T14" s="380">
        <f>T8-1</f>
        <v>7</v>
      </c>
      <c r="U14" s="380">
        <f>DEVSQ(F5:F12)</f>
        <v>753167.90000000014</v>
      </c>
      <c r="V14" s="380"/>
      <c r="W14" s="380"/>
      <c r="X14" s="380"/>
      <c r="Y14" s="380"/>
    </row>
    <row r="15" spans="1:30" ht="15.75" thickBot="1"/>
    <row r="16" spans="1:30" ht="15.75" thickTop="1">
      <c r="J16" s="398"/>
      <c r="K16" s="398" t="s">
        <v>600</v>
      </c>
      <c r="L16" s="398" t="s">
        <v>503</v>
      </c>
      <c r="M16" s="398" t="s">
        <v>27</v>
      </c>
      <c r="N16" s="398" t="s">
        <v>30</v>
      </c>
      <c r="O16" s="398" t="s">
        <v>13</v>
      </c>
      <c r="P16" s="398" t="s">
        <v>14</v>
      </c>
      <c r="Q16" s="398" t="s">
        <v>750</v>
      </c>
      <c r="S16" s="398"/>
      <c r="T16" s="398" t="s">
        <v>600</v>
      </c>
      <c r="U16" s="398" t="s">
        <v>503</v>
      </c>
      <c r="V16" s="398" t="s">
        <v>27</v>
      </c>
      <c r="W16" s="398" t="s">
        <v>30</v>
      </c>
      <c r="X16" s="398" t="s">
        <v>13</v>
      </c>
      <c r="Y16" s="398" t="s">
        <v>14</v>
      </c>
      <c r="Z16" s="398" t="s">
        <v>750</v>
      </c>
    </row>
    <row r="17" spans="5:26">
      <c r="J17" t="str">
        <f>H4</f>
        <v>Weight</v>
      </c>
      <c r="K17" t="e">
        <f t="array" aca="1" ref="K17:L18" ca="1">WRegCoeff(D5:D12,F5:F12,H5:H12)</f>
        <v>#NAME?</v>
      </c>
      <c r="L17" t="e">
        <f ca="1"/>
        <v>#NAME?</v>
      </c>
      <c r="M17" t="e">
        <f ca="1">K17/L17</f>
        <v>#NAME?</v>
      </c>
      <c r="N17" t="e">
        <f ca="1">TDIST(ABS(M17),$K$13,2)</f>
        <v>#NAME?</v>
      </c>
      <c r="O17" t="e">
        <f ca="1">K17-TINV(O$10,$K$13)*L17</f>
        <v>#NAME?</v>
      </c>
      <c r="P17" t="e">
        <f ca="1">K17+TINV(O$10,$K$13)*L17</f>
        <v>#NAME?</v>
      </c>
      <c r="Q17" t="e">
        <f t="array" aca="1" ref="Q17" ca="1">VIF(MERGE(SQRT(H5:H12),SQRT(H5:H12)*D5:D12),1)</f>
        <v>#NAME?</v>
      </c>
      <c r="S17" t="s">
        <v>212</v>
      </c>
      <c r="T17" t="e">
        <f t="array" aca="1" ref="T17:U18" ca="1">RegCoeff(D5:D12,F5:F12)</f>
        <v>#NAME?</v>
      </c>
      <c r="U17" t="e">
        <f ca="1"/>
        <v>#NAME?</v>
      </c>
      <c r="V17" t="e">
        <f ca="1">T17/U17</f>
        <v>#NAME?</v>
      </c>
      <c r="W17" t="e">
        <f ca="1">TDIST(ABS(V17),$T$13,2)</f>
        <v>#NAME?</v>
      </c>
      <c r="X17" t="e">
        <f ca="1">T17-TINV(X$10,$T$13)*U17</f>
        <v>#NAME?</v>
      </c>
      <c r="Y17" t="e">
        <f ca="1">T17+TINV(X$10,$T$13)*U17</f>
        <v>#NAME?</v>
      </c>
    </row>
    <row r="18" spans="5:26">
      <c r="J18" s="380" t="str">
        <f t="array" ref="J18">TRANSPOSE(D4)</f>
        <v>Ln(mean)</v>
      </c>
      <c r="K18" s="380" t="e">
        <f ca="1"/>
        <v>#NAME?</v>
      </c>
      <c r="L18" s="380" t="e">
        <f ca="1"/>
        <v>#NAME?</v>
      </c>
      <c r="M18" s="380" t="e">
        <f ca="1">K18/L18</f>
        <v>#NAME?</v>
      </c>
      <c r="N18" s="380" t="e">
        <f ca="1">TDIST(ABS(M18),$K$13,2)</f>
        <v>#NAME?</v>
      </c>
      <c r="O18" s="380" t="e">
        <f ca="1">K18-TINV(O$10,$K$13)*L18</f>
        <v>#NAME?</v>
      </c>
      <c r="P18" s="380" t="e">
        <f ca="1">K18+TINV(O$10,$K$13)*L18</f>
        <v>#NAME?</v>
      </c>
      <c r="Q18" s="380" t="e">
        <f t="array" aca="1" ref="Q18" ca="1">VIF(MERGE(SQRT(H5:H12),SQRT(H5:H12)*D5:D12),2)</f>
        <v>#NAME?</v>
      </c>
      <c r="S18" s="380" t="str">
        <f t="array" ref="S18">TRANSPOSE(D4)</f>
        <v>Ln(mean)</v>
      </c>
      <c r="T18" s="380" t="e">
        <f ca="1"/>
        <v>#NAME?</v>
      </c>
      <c r="U18" s="380" t="e">
        <f ca="1"/>
        <v>#NAME?</v>
      </c>
      <c r="V18" s="380" t="e">
        <f ca="1">T18/U18</f>
        <v>#NAME?</v>
      </c>
      <c r="W18" s="380" t="e">
        <f ca="1">TDIST(ABS(V18),$T$13,2)</f>
        <v>#NAME?</v>
      </c>
      <c r="X18" s="380" t="e">
        <f ca="1">T18-TINV(X$10,$T$13)*U18</f>
        <v>#NAME?</v>
      </c>
      <c r="Y18" s="380" t="e">
        <f ca="1">T18+TINV(X$10,$T$13)*U18</f>
        <v>#NAME?</v>
      </c>
      <c r="Z18" s="380" t="e">
        <f ca="1">VIF(D5:D12,1)</f>
        <v>#NAME?</v>
      </c>
    </row>
    <row r="21" spans="5:26">
      <c r="J21" t="s">
        <v>601</v>
      </c>
    </row>
    <row r="23" spans="5:26" ht="15.75" thickBot="1">
      <c r="F23" s="503" t="s">
        <v>771</v>
      </c>
      <c r="G23" s="503" t="s">
        <v>758</v>
      </c>
      <c r="H23" s="503" t="s">
        <v>772</v>
      </c>
      <c r="J23" s="364" t="s">
        <v>606</v>
      </c>
      <c r="K23" s="364"/>
      <c r="M23" s="364"/>
      <c r="N23" s="364"/>
    </row>
    <row r="24" spans="5:26" ht="15.75" thickTop="1">
      <c r="E24">
        <v>1</v>
      </c>
      <c r="F24" s="489">
        <f>F5/G5</f>
        <v>4.4082644628099175</v>
      </c>
      <c r="G24" s="488">
        <f t="shared" ref="G24:G31" si="3">1/G5</f>
        <v>1.6528925619834711E-2</v>
      </c>
      <c r="H24" s="490">
        <f t="shared" ref="H24:H31" si="4">D5/G5</f>
        <v>4.301966422222122E-2</v>
      </c>
      <c r="J24" t="s">
        <v>208</v>
      </c>
      <c r="K24" t="e">
        <f ca="1">SQRT(K25)</f>
        <v>#NAME?</v>
      </c>
      <c r="M24" t="s">
        <v>498</v>
      </c>
      <c r="N24" t="e">
        <f ca="1">K28*LN(L33/K28)+2*K32</f>
        <v>#NAME?</v>
      </c>
    </row>
    <row r="25" spans="5:26">
      <c r="E25">
        <f>E24+1</f>
        <v>2</v>
      </c>
      <c r="F25" s="294">
        <f t="shared" ref="F25:F31" si="5">F6/G6</f>
        <v>5.0146412884333822</v>
      </c>
      <c r="G25" s="5">
        <f t="shared" si="3"/>
        <v>1.4641288433382138E-2</v>
      </c>
      <c r="H25" s="295">
        <f t="shared" si="4"/>
        <v>5.3065020980620284E-2</v>
      </c>
      <c r="J25" t="s">
        <v>201</v>
      </c>
      <c r="K25" t="e">
        <f ca="1">L32/L34</f>
        <v>#NAME?</v>
      </c>
      <c r="M25" t="s">
        <v>499</v>
      </c>
      <c r="N25" t="e">
        <f ca="1">N24+2*(K32+1)*(K32+2)/(K28-K32-2)</f>
        <v>#NAME?</v>
      </c>
    </row>
    <row r="26" spans="5:26">
      <c r="E26">
        <f t="shared" ref="E26:E31" si="6">E25+1</f>
        <v>3</v>
      </c>
      <c r="F26" s="294">
        <f t="shared" si="5"/>
        <v>5.1363636363636367</v>
      </c>
      <c r="G26" s="5">
        <f t="shared" si="3"/>
        <v>1.2285012285012284E-2</v>
      </c>
      <c r="H26" s="295">
        <f t="shared" si="4"/>
        <v>5.3040394515188084E-2</v>
      </c>
      <c r="J26" t="s">
        <v>209</v>
      </c>
      <c r="K26" t="e">
        <f ca="1">1-(1-K25)*K28/(K28+K32)</f>
        <v>#NAME?</v>
      </c>
      <c r="M26" s="380" t="s">
        <v>749</v>
      </c>
      <c r="N26" s="380" t="e">
        <f ca="1">K28*LN(L33/K28)+K32*LN(K28)</f>
        <v>#NAME?</v>
      </c>
    </row>
    <row r="27" spans="5:26">
      <c r="E27">
        <f t="shared" si="6"/>
        <v>4</v>
      </c>
      <c r="F27" s="294">
        <f t="shared" si="5"/>
        <v>5.0020242914979756</v>
      </c>
      <c r="G27" s="5">
        <f t="shared" si="3"/>
        <v>1.0121457489878543E-2</v>
      </c>
      <c r="H27" s="295">
        <f t="shared" si="4"/>
        <v>5.2275161679387797E-2</v>
      </c>
      <c r="J27" t="s">
        <v>9</v>
      </c>
      <c r="K27" t="e">
        <f ca="1">SQRT(M33)</f>
        <v>#NAME?</v>
      </c>
    </row>
    <row r="28" spans="5:26">
      <c r="E28">
        <f t="shared" si="6"/>
        <v>5</v>
      </c>
      <c r="F28" s="294">
        <f t="shared" si="5"/>
        <v>5.5</v>
      </c>
      <c r="G28" s="5">
        <f t="shared" si="3"/>
        <v>9.0415913200723331E-3</v>
      </c>
      <c r="H28" s="295">
        <f t="shared" si="4"/>
        <v>5.3588842911124875E-2</v>
      </c>
      <c r="J28" s="380" t="s">
        <v>42</v>
      </c>
      <c r="K28" s="380">
        <f>COUNT(F24:F31)</f>
        <v>8</v>
      </c>
    </row>
    <row r="29" spans="5:26">
      <c r="E29">
        <f t="shared" si="6"/>
        <v>6</v>
      </c>
      <c r="F29" s="294">
        <f t="shared" si="5"/>
        <v>5.4828296703296706</v>
      </c>
      <c r="G29" s="5">
        <f t="shared" si="3"/>
        <v>6.868131868131868E-3</v>
      </c>
      <c r="H29" s="295">
        <f t="shared" si="4"/>
        <v>4.5467535759137062E-2</v>
      </c>
    </row>
    <row r="30" spans="5:26" ht="15.75" thickBot="1">
      <c r="E30">
        <f t="shared" si="6"/>
        <v>7</v>
      </c>
      <c r="F30" s="294">
        <f t="shared" si="5"/>
        <v>5.4916233391103413</v>
      </c>
      <c r="G30" s="5">
        <f t="shared" si="3"/>
        <v>5.7770075101097633E-3</v>
      </c>
      <c r="H30" s="295">
        <f t="shared" si="4"/>
        <v>4.6252845567014707E-2</v>
      </c>
      <c r="J30" t="s">
        <v>210</v>
      </c>
      <c r="N30" s="503" t="s">
        <v>16</v>
      </c>
      <c r="O30" s="503">
        <v>0.05</v>
      </c>
    </row>
    <row r="31" spans="5:26" ht="15.75" thickTop="1">
      <c r="E31">
        <f t="shared" si="6"/>
        <v>8</v>
      </c>
      <c r="F31" s="284">
        <f t="shared" si="5"/>
        <v>5.1049097775912715</v>
      </c>
      <c r="G31" s="380">
        <f t="shared" si="3"/>
        <v>4.1963911036508603E-3</v>
      </c>
      <c r="H31" s="288">
        <f t="shared" si="4"/>
        <v>3.7442963909040713E-2</v>
      </c>
      <c r="J31" s="398"/>
      <c r="K31" s="398" t="s">
        <v>26</v>
      </c>
      <c r="L31" s="398" t="s">
        <v>137</v>
      </c>
      <c r="M31" s="398" t="s">
        <v>156</v>
      </c>
      <c r="N31" s="398" t="s">
        <v>63</v>
      </c>
      <c r="O31" s="398" t="s">
        <v>30</v>
      </c>
      <c r="P31" s="398" t="s">
        <v>374</v>
      </c>
    </row>
    <row r="32" spans="5:26">
      <c r="J32" t="s">
        <v>138</v>
      </c>
      <c r="K32">
        <f>COUNT(G24:H24)</f>
        <v>2</v>
      </c>
      <c r="L32" t="e">
        <f ca="1">SUMSQ(MMULT(G24:H31,K37:K38))</f>
        <v>#NAME?</v>
      </c>
      <c r="M32" t="e">
        <f ca="1">L32/K32</f>
        <v>#NAME?</v>
      </c>
      <c r="N32" t="e">
        <f ca="1">M32/M33</f>
        <v>#NAME?</v>
      </c>
      <c r="O32" t="e">
        <f ca="1">FDIST(N32,K32,K33)</f>
        <v>#NAME?</v>
      </c>
      <c r="P32" s="503" t="e">
        <f ca="1">IF(O32&lt;O30,"yes","no")</f>
        <v>#NAME?</v>
      </c>
    </row>
    <row r="33" spans="10:17">
      <c r="J33" t="s">
        <v>211</v>
      </c>
      <c r="K33">
        <f>K34-K32</f>
        <v>6</v>
      </c>
      <c r="L33" t="e">
        <f ca="1">L34-L32</f>
        <v>#NAME?</v>
      </c>
      <c r="M33" t="e">
        <f ca="1">L33/K33</f>
        <v>#NAME?</v>
      </c>
    </row>
    <row r="34" spans="10:17">
      <c r="J34" s="380" t="s">
        <v>1</v>
      </c>
      <c r="K34" s="380">
        <f>K28</f>
        <v>8</v>
      </c>
      <c r="L34" s="380">
        <f>SUMSQ(F24:F31)</f>
        <v>212.51135317328385</v>
      </c>
      <c r="M34" s="380"/>
      <c r="N34" s="380"/>
      <c r="O34" s="380"/>
      <c r="P34" s="380"/>
    </row>
    <row r="35" spans="10:17" ht="15.75" thickBot="1"/>
    <row r="36" spans="10:17" ht="15.75" thickTop="1">
      <c r="J36" s="398"/>
      <c r="K36" s="398" t="s">
        <v>600</v>
      </c>
      <c r="L36" s="398" t="s">
        <v>503</v>
      </c>
      <c r="M36" s="398" t="s">
        <v>27</v>
      </c>
      <c r="N36" s="398" t="s">
        <v>30</v>
      </c>
      <c r="O36" s="398" t="s">
        <v>13</v>
      </c>
      <c r="P36" s="398" t="s">
        <v>14</v>
      </c>
      <c r="Q36" s="398" t="s">
        <v>750</v>
      </c>
    </row>
    <row r="37" spans="10:17">
      <c r="J37" t="str">
        <f t="array" ref="J37:J38">TRANSPOSE(G23:H23)</f>
        <v>1/s</v>
      </c>
      <c r="K37" t="e">
        <f t="array" aca="1" ref="K37:L38" ca="1">Reg0Coeff(G24:H31,F24:F31)</f>
        <v>#NAME?</v>
      </c>
      <c r="L37" t="e">
        <f ca="1"/>
        <v>#NAME?</v>
      </c>
      <c r="M37" t="e">
        <f ca="1">K37/L37</f>
        <v>#NAME?</v>
      </c>
      <c r="N37" t="e">
        <f ca="1">TDIST(ABS(M37),$K$33,2)</f>
        <v>#NAME?</v>
      </c>
      <c r="O37" t="e">
        <f ca="1">K37-TINV(O$30,$K$33)*L37</f>
        <v>#NAME?</v>
      </c>
      <c r="P37" t="e">
        <f ca="1">K37+TINV(O$30,$K$33)*L37</f>
        <v>#NAME?</v>
      </c>
      <c r="Q37" t="e">
        <f ca="1">VIF(G24:H31,1)</f>
        <v>#NAME?</v>
      </c>
    </row>
    <row r="38" spans="10:17">
      <c r="J38" s="380" t="str">
        <v>x/s</v>
      </c>
      <c r="K38" s="380" t="e">
        <f ca="1"/>
        <v>#NAME?</v>
      </c>
      <c r="L38" s="380" t="e">
        <f ca="1"/>
        <v>#NAME?</v>
      </c>
      <c r="M38" s="380" t="e">
        <f ca="1">K38/L38</f>
        <v>#NAME?</v>
      </c>
      <c r="N38" s="380" t="e">
        <f ca="1">TDIST(ABS(M38),$K$33,2)</f>
        <v>#NAME?</v>
      </c>
      <c r="O38" s="380" t="e">
        <f ca="1">K38-TINV(O$30,$K$33)*L38</f>
        <v>#NAME?</v>
      </c>
      <c r="P38" s="380" t="e">
        <f ca="1">K38+TINV(O$30,$K$33)*L38</f>
        <v>#NAME?</v>
      </c>
      <c r="Q38" s="380" t="e">
        <f ca="1">VIF(G24:H31,2)</f>
        <v>#NAME?</v>
      </c>
    </row>
  </sheetData>
  <mergeCells count="2">
    <mergeCell ref="A3:D3"/>
    <mergeCell ref="F3:H3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69"/>
  <dimension ref="A1:M21"/>
  <sheetViews>
    <sheetView workbookViewId="0"/>
  </sheetViews>
  <sheetFormatPr defaultRowHeight="15"/>
  <cols>
    <col min="1" max="3" width="7.42578125" customWidth="1"/>
    <col min="6" max="6" width="17.5703125" customWidth="1"/>
  </cols>
  <sheetData>
    <row r="1" spans="1:12">
      <c r="A1" s="1" t="s">
        <v>856</v>
      </c>
    </row>
    <row r="3" spans="1:12">
      <c r="A3" s="567" t="s">
        <v>296</v>
      </c>
      <c r="B3" s="567" t="s">
        <v>297</v>
      </c>
      <c r="C3" s="567" t="s">
        <v>290</v>
      </c>
      <c r="D3" s="567" t="s">
        <v>757</v>
      </c>
      <c r="E3" s="569"/>
      <c r="F3" t="s">
        <v>601</v>
      </c>
    </row>
    <row r="4" spans="1:12">
      <c r="A4" s="568">
        <v>7</v>
      </c>
      <c r="B4" s="568">
        <v>5</v>
      </c>
      <c r="C4" s="568">
        <v>65</v>
      </c>
      <c r="D4" s="568">
        <v>1</v>
      </c>
      <c r="E4" s="568"/>
    </row>
    <row r="5" spans="1:12" ht="15.75" thickBot="1">
      <c r="A5" s="568">
        <v>3</v>
      </c>
      <c r="B5" s="568">
        <v>7</v>
      </c>
      <c r="C5" s="568">
        <v>38</v>
      </c>
      <c r="D5" s="568">
        <v>2</v>
      </c>
      <c r="E5" s="568"/>
      <c r="F5" s="364" t="s">
        <v>606</v>
      </c>
      <c r="G5" s="364"/>
      <c r="I5" s="364"/>
      <c r="J5" s="364"/>
    </row>
    <row r="6" spans="1:12" ht="15.75" thickTop="1">
      <c r="A6" s="568">
        <v>5</v>
      </c>
      <c r="B6" s="568">
        <v>8</v>
      </c>
      <c r="C6" s="568">
        <v>51</v>
      </c>
      <c r="D6" s="568">
        <v>2</v>
      </c>
      <c r="E6" s="568"/>
      <c r="F6" t="s">
        <v>208</v>
      </c>
      <c r="G6" t="e">
        <f ca="1">SQRT(G7)</f>
        <v>#NAME?</v>
      </c>
      <c r="I6" t="s">
        <v>498</v>
      </c>
      <c r="J6" t="e">
        <f ca="1">G10*LN(H15/G10)+2*G14</f>
        <v>#NAME?</v>
      </c>
      <c r="K6">
        <f>G10*(1+LN(2*PI()))</f>
        <v>31.2166477305028</v>
      </c>
      <c r="L6" t="e">
        <f ca="1">J6+K6</f>
        <v>#NAME?</v>
      </c>
    </row>
    <row r="7" spans="1:12">
      <c r="A7" s="568">
        <v>8</v>
      </c>
      <c r="B7" s="568">
        <v>1</v>
      </c>
      <c r="C7" s="568">
        <v>38</v>
      </c>
      <c r="D7" s="568">
        <v>1</v>
      </c>
      <c r="E7" s="568"/>
      <c r="F7" t="s">
        <v>201</v>
      </c>
      <c r="G7" t="e">
        <f ca="1">H14/H16</f>
        <v>#NAME?</v>
      </c>
      <c r="I7" t="s">
        <v>499</v>
      </c>
      <c r="J7" t="e">
        <f ca="1">J6+2*(G14+1)*(G14+2)/(G10-G14-2)</f>
        <v>#NAME?</v>
      </c>
    </row>
    <row r="8" spans="1:12">
      <c r="A8" s="568">
        <v>9</v>
      </c>
      <c r="B8" s="568">
        <v>3</v>
      </c>
      <c r="C8" s="568">
        <v>55</v>
      </c>
      <c r="D8" s="568">
        <v>1</v>
      </c>
      <c r="E8" s="568"/>
      <c r="F8" t="s">
        <v>209</v>
      </c>
      <c r="G8" t="e">
        <f ca="1">1-(1-G7)*G10/(G10-G14)</f>
        <v>#NAME?</v>
      </c>
      <c r="I8" s="380" t="s">
        <v>749</v>
      </c>
      <c r="J8" s="380" t="e">
        <f ca="1">G10*LN(H15/G10)+G14*LN(G10)</f>
        <v>#NAME?</v>
      </c>
      <c r="K8">
        <f>K6</f>
        <v>31.2166477305028</v>
      </c>
      <c r="L8" t="e">
        <f ca="1">J8+K8</f>
        <v>#NAME?</v>
      </c>
    </row>
    <row r="9" spans="1:12">
      <c r="A9" s="568">
        <v>5</v>
      </c>
      <c r="B9" s="568">
        <v>4</v>
      </c>
      <c r="C9" s="568">
        <v>43</v>
      </c>
      <c r="D9" s="568">
        <v>1</v>
      </c>
      <c r="E9" s="568"/>
      <c r="F9" t="s">
        <v>9</v>
      </c>
      <c r="G9" t="e">
        <f ca="1">SQRT(I15)</f>
        <v>#NAME?</v>
      </c>
    </row>
    <row r="10" spans="1:12">
      <c r="A10" s="568">
        <v>4</v>
      </c>
      <c r="B10" s="568">
        <v>0</v>
      </c>
      <c r="C10" s="568">
        <v>25</v>
      </c>
      <c r="D10" s="568">
        <v>1</v>
      </c>
      <c r="E10" s="568"/>
      <c r="F10" s="380" t="s">
        <v>42</v>
      </c>
      <c r="G10" s="380">
        <f>COUNT(C4:C14)</f>
        <v>11</v>
      </c>
    </row>
    <row r="11" spans="1:12">
      <c r="A11" s="568">
        <v>2</v>
      </c>
      <c r="B11" s="568">
        <v>6</v>
      </c>
      <c r="C11" s="568">
        <v>33</v>
      </c>
      <c r="D11" s="568">
        <v>3</v>
      </c>
      <c r="E11" s="568"/>
    </row>
    <row r="12" spans="1:12" ht="15.75" thickBot="1">
      <c r="A12" s="568">
        <v>8</v>
      </c>
      <c r="B12" s="568">
        <v>7</v>
      </c>
      <c r="C12" s="568">
        <v>71</v>
      </c>
      <c r="D12" s="568">
        <v>1</v>
      </c>
      <c r="E12" s="568"/>
      <c r="F12" t="s">
        <v>210</v>
      </c>
      <c r="J12" s="571" t="s">
        <v>16</v>
      </c>
      <c r="K12" s="571">
        <v>0.05</v>
      </c>
    </row>
    <row r="13" spans="1:12" ht="15.75" thickTop="1">
      <c r="A13" s="568">
        <v>6</v>
      </c>
      <c r="B13" s="568">
        <v>4</v>
      </c>
      <c r="C13" s="568">
        <v>51</v>
      </c>
      <c r="D13" s="568">
        <v>1</v>
      </c>
      <c r="E13" s="568"/>
      <c r="F13" s="398"/>
      <c r="G13" s="398" t="s">
        <v>26</v>
      </c>
      <c r="H13" s="398" t="s">
        <v>137</v>
      </c>
      <c r="I13" s="398" t="s">
        <v>156</v>
      </c>
      <c r="J13" s="398" t="s">
        <v>63</v>
      </c>
      <c r="K13" s="398" t="s">
        <v>30</v>
      </c>
      <c r="L13" s="398" t="s">
        <v>374</v>
      </c>
    </row>
    <row r="14" spans="1:12">
      <c r="A14" s="570">
        <v>9</v>
      </c>
      <c r="B14" s="570">
        <v>2</v>
      </c>
      <c r="C14" s="570">
        <v>49</v>
      </c>
      <c r="D14" s="570">
        <v>1</v>
      </c>
      <c r="E14" s="569"/>
      <c r="F14" t="s">
        <v>138</v>
      </c>
      <c r="G14">
        <f>COUNT(A4:B4)+1</f>
        <v>3</v>
      </c>
      <c r="H14" t="e">
        <f ca="1">SUMPRODUCT(D4:D14,MMULT(DESIGN(A4:B14),G19:G21)^2)</f>
        <v>#NAME?</v>
      </c>
      <c r="I14" t="e">
        <f ca="1">H14/G14</f>
        <v>#NAME?</v>
      </c>
      <c r="J14" t="e">
        <f ca="1">I14/I15</f>
        <v>#NAME?</v>
      </c>
      <c r="K14" t="e">
        <f ca="1">FDIST(J14,G14,G15)</f>
        <v>#NAME?</v>
      </c>
      <c r="L14" s="571" t="e">
        <f ca="1">IF(K14&lt;K12,"yes","no")</f>
        <v>#NAME?</v>
      </c>
    </row>
    <row r="15" spans="1:12">
      <c r="A15" s="569"/>
      <c r="B15" s="569"/>
      <c r="C15" s="569"/>
      <c r="F15" t="s">
        <v>211</v>
      </c>
      <c r="G15">
        <f>G16-G14</f>
        <v>8</v>
      </c>
      <c r="H15" t="e">
        <f ca="1">H16-H14</f>
        <v>#NAME?</v>
      </c>
      <c r="I15" t="e">
        <f ca="1">H15/G15</f>
        <v>#NAME?</v>
      </c>
    </row>
    <row r="16" spans="1:12">
      <c r="A16" s="569"/>
      <c r="B16" s="569"/>
      <c r="C16" s="569"/>
      <c r="F16" s="380" t="s">
        <v>1</v>
      </c>
      <c r="G16" s="380">
        <f>G10</f>
        <v>11</v>
      </c>
      <c r="H16" s="380">
        <f>SUMPRODUCT(C4:C14^2,D4:D14)</f>
        <v>32568</v>
      </c>
      <c r="I16" s="380"/>
      <c r="J16" s="380"/>
      <c r="K16" s="380"/>
      <c r="L16" s="380"/>
    </row>
    <row r="17" spans="1:13" ht="15.75" thickBot="1">
      <c r="A17" s="569"/>
      <c r="B17" s="569"/>
      <c r="C17" s="569"/>
    </row>
    <row r="18" spans="1:13" ht="15.75" thickTop="1">
      <c r="F18" s="398"/>
      <c r="G18" s="398" t="s">
        <v>600</v>
      </c>
      <c r="H18" s="398" t="s">
        <v>503</v>
      </c>
      <c r="I18" s="398" t="s">
        <v>27</v>
      </c>
      <c r="J18" s="398" t="s">
        <v>30</v>
      </c>
      <c r="K18" s="398" t="s">
        <v>13</v>
      </c>
      <c r="L18" s="398" t="s">
        <v>14</v>
      </c>
      <c r="M18" s="398" t="s">
        <v>750</v>
      </c>
    </row>
    <row r="19" spans="1:13">
      <c r="F19" t="str">
        <f>D3</f>
        <v>Weight</v>
      </c>
      <c r="G19" t="e">
        <f t="array" aca="1" ref="G19:H21" ca="1">WRegCoeff(A4:B14,C4:C14,D4:D14)</f>
        <v>#NAME?</v>
      </c>
      <c r="H19" t="e">
        <f ca="1"/>
        <v>#NAME?</v>
      </c>
      <c r="I19" t="e">
        <f ca="1">G19/H19</f>
        <v>#NAME?</v>
      </c>
      <c r="J19" t="e">
        <f ca="1">TDIST(ABS(I19),$G$15,2)</f>
        <v>#NAME?</v>
      </c>
      <c r="K19" t="e">
        <f ca="1">G19-TINV(K$12,$G$15)*H19</f>
        <v>#NAME?</v>
      </c>
      <c r="L19" t="e">
        <f ca="1">G19+TINV(K$12,$G$15)*H19</f>
        <v>#NAME?</v>
      </c>
      <c r="M19" t="e">
        <f t="array" aca="1" ref="M19" ca="1">VIF(MERGE(SQRT(D4:D14),SQRT(D4:D14)*A4:B14),1)</f>
        <v>#NAME?</v>
      </c>
    </row>
    <row r="20" spans="1:13">
      <c r="F20" t="str">
        <f t="array" ref="F20:F21">TRANSPOSE(A3:B3)</f>
        <v>Color</v>
      </c>
      <c r="G20" t="e">
        <f ca="1"/>
        <v>#NAME?</v>
      </c>
      <c r="H20" t="e">
        <f ca="1"/>
        <v>#NAME?</v>
      </c>
      <c r="I20" t="e">
        <f ca="1">G20/H20</f>
        <v>#NAME?</v>
      </c>
      <c r="J20" t="e">
        <f ca="1">TDIST(ABS(I20),$G$15,2)</f>
        <v>#NAME?</v>
      </c>
      <c r="K20" t="e">
        <f ca="1">G20-TINV(K$12,$G$15)*H20</f>
        <v>#NAME?</v>
      </c>
      <c r="L20" t="e">
        <f ca="1">G20+TINV(K$12,$G$15)*H20</f>
        <v>#NAME?</v>
      </c>
      <c r="M20" t="e">
        <f t="array" aca="1" ref="M20" ca="1">VIF(MERGE(SQRT(D4:D14),SQRT(D4:D14)*A4:B14),2)</f>
        <v>#NAME?</v>
      </c>
    </row>
    <row r="21" spans="1:13">
      <c r="F21" s="572" t="str">
        <v>Quality</v>
      </c>
      <c r="G21" s="572" t="e">
        <f ca="1"/>
        <v>#NAME?</v>
      </c>
      <c r="H21" s="572" t="e">
        <f ca="1"/>
        <v>#NAME?</v>
      </c>
      <c r="I21" s="572" t="e">
        <f ca="1">G21/H21</f>
        <v>#NAME?</v>
      </c>
      <c r="J21" s="572" t="e">
        <f ca="1">TDIST(ABS(I21),$G$15,2)</f>
        <v>#NAME?</v>
      </c>
      <c r="K21" s="572" t="e">
        <f ca="1">G21-TINV(K$12,$G$15)*H21</f>
        <v>#NAME?</v>
      </c>
      <c r="L21" s="572" t="e">
        <f ca="1">G21+TINV(K$12,$G$15)*H21</f>
        <v>#NAME?</v>
      </c>
      <c r="M21" s="572" t="e">
        <f t="array" aca="1" ref="M21" ca="1">VIF(MERGE(SQRT(D4:D14),SQRT(D4:D14)*A4:B14),3)</f>
        <v>#NAME?</v>
      </c>
    </row>
  </sheetData>
  <pageMargins left="0.7" right="0.7" top="0.75" bottom="0.75" header="0.3" footer="0.3"/>
  <pageSetup paperSize="9" orientation="portrait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26"/>
  <dimension ref="A1:Q53"/>
  <sheetViews>
    <sheetView workbookViewId="0"/>
  </sheetViews>
  <sheetFormatPr defaultRowHeight="15"/>
  <cols>
    <col min="1" max="1" width="12.28515625" customWidth="1"/>
    <col min="2" max="5" width="11" customWidth="1"/>
    <col min="6" max="6" width="9.140625" customWidth="1"/>
    <col min="7" max="7" width="16.85546875" customWidth="1"/>
    <col min="15" max="15" width="9.140625" customWidth="1"/>
  </cols>
  <sheetData>
    <row r="1" spans="1:17">
      <c r="A1" s="1" t="s">
        <v>759</v>
      </c>
      <c r="G1" t="s">
        <v>601</v>
      </c>
    </row>
    <row r="3" spans="1:17" ht="15.75" thickBot="1">
      <c r="A3" s="45"/>
      <c r="B3" s="46" t="s">
        <v>66</v>
      </c>
      <c r="C3" s="46" t="s">
        <v>67</v>
      </c>
      <c r="D3" s="46" t="s">
        <v>68</v>
      </c>
      <c r="E3" s="46" t="s">
        <v>69</v>
      </c>
      <c r="G3" s="364" t="s">
        <v>606</v>
      </c>
      <c r="H3" s="364"/>
      <c r="J3" s="364"/>
      <c r="K3" s="364"/>
    </row>
    <row r="4" spans="1:17" ht="15.75" thickTop="1">
      <c r="A4" s="44" t="s">
        <v>74</v>
      </c>
      <c r="B4" s="47">
        <v>15.7</v>
      </c>
      <c r="C4" s="48">
        <v>9</v>
      </c>
      <c r="D4" s="49">
        <v>71.027177760140717</v>
      </c>
      <c r="E4" s="50">
        <v>448</v>
      </c>
      <c r="G4" t="s">
        <v>208</v>
      </c>
      <c r="H4" t="e">
        <f ca="1">SQRT(H5)</f>
        <v>#NAME?</v>
      </c>
      <c r="J4" t="s">
        <v>498</v>
      </c>
      <c r="K4" t="e">
        <f ca="1">H8*LN(I13/H8)+2*(H12+1)</f>
        <v>#NAME?</v>
      </c>
    </row>
    <row r="5" spans="1:17">
      <c r="A5" s="44" t="s">
        <v>75</v>
      </c>
      <c r="B5" s="47">
        <v>8.4</v>
      </c>
      <c r="C5" s="48">
        <v>6.9</v>
      </c>
      <c r="D5" s="49">
        <v>70.62318863808899</v>
      </c>
      <c r="E5" s="50">
        <v>661.2</v>
      </c>
      <c r="G5" t="s">
        <v>201</v>
      </c>
      <c r="H5" t="e">
        <f ca="1">I12/I14</f>
        <v>#NAME?</v>
      </c>
      <c r="J5" t="s">
        <v>499</v>
      </c>
      <c r="K5" t="e">
        <f ca="1">K4+2*(H12+2)*(H12+3)/(H8-H12-3)</f>
        <v>#NAME?</v>
      </c>
    </row>
    <row r="6" spans="1:17">
      <c r="A6" s="44" t="s">
        <v>76</v>
      </c>
      <c r="B6" s="47">
        <v>14.7</v>
      </c>
      <c r="C6" s="48">
        <v>6.4</v>
      </c>
      <c r="D6" s="49">
        <v>86.505696765320337</v>
      </c>
      <c r="E6" s="50">
        <v>482.7</v>
      </c>
      <c r="G6" t="s">
        <v>209</v>
      </c>
      <c r="H6" t="e">
        <f ca="1">1-(1-H5)*(H8-1)/(H8-H12-1)</f>
        <v>#NAME?</v>
      </c>
      <c r="J6" s="380" t="s">
        <v>762</v>
      </c>
      <c r="K6" s="380" t="e">
        <f ca="1">H8*LN(I13/H8)+(H12+1)*LN(H8)</f>
        <v>#NAME?</v>
      </c>
    </row>
    <row r="7" spans="1:17">
      <c r="A7" s="44" t="s">
        <v>77</v>
      </c>
      <c r="B7" s="47">
        <v>17.3</v>
      </c>
      <c r="C7" s="48">
        <v>8.5</v>
      </c>
      <c r="D7" s="49">
        <v>80.783955956979611</v>
      </c>
      <c r="E7" s="50">
        <v>529.4</v>
      </c>
      <c r="G7" t="s">
        <v>9</v>
      </c>
      <c r="H7" t="e">
        <f ca="1">SQRT(J13)</f>
        <v>#NAME?</v>
      </c>
    </row>
    <row r="8" spans="1:17">
      <c r="A8" s="44" t="s">
        <v>78</v>
      </c>
      <c r="B8" s="47">
        <v>13.3</v>
      </c>
      <c r="C8" s="48">
        <v>5</v>
      </c>
      <c r="D8" s="49">
        <v>76.640052174481781</v>
      </c>
      <c r="E8" s="50">
        <v>522.6</v>
      </c>
      <c r="G8" s="380" t="s">
        <v>42</v>
      </c>
      <c r="H8" s="380">
        <f>COUNT(B4:B53)</f>
        <v>50</v>
      </c>
    </row>
    <row r="9" spans="1:17">
      <c r="A9" s="44" t="s">
        <v>79</v>
      </c>
      <c r="B9" s="47">
        <v>11.4</v>
      </c>
      <c r="C9" s="48">
        <v>5.7</v>
      </c>
      <c r="D9" s="49">
        <v>89.734092175332663</v>
      </c>
      <c r="E9" s="50">
        <v>347.8</v>
      </c>
    </row>
    <row r="10" spans="1:17" ht="15.75" thickBot="1">
      <c r="A10" s="44" t="s">
        <v>80</v>
      </c>
      <c r="B10" s="47">
        <v>9.3000000000000007</v>
      </c>
      <c r="C10" s="48">
        <v>6.2</v>
      </c>
      <c r="D10" s="49">
        <v>84.278652322083644</v>
      </c>
      <c r="E10" s="50">
        <v>256</v>
      </c>
      <c r="G10" t="s">
        <v>210</v>
      </c>
      <c r="K10" s="503" t="s">
        <v>16</v>
      </c>
      <c r="L10" s="503">
        <v>0.05</v>
      </c>
    </row>
    <row r="11" spans="1:17" ht="15.75" thickTop="1">
      <c r="A11" s="44" t="s">
        <v>81</v>
      </c>
      <c r="B11" s="56">
        <v>10</v>
      </c>
      <c r="C11" s="48">
        <v>8.3000000000000007</v>
      </c>
      <c r="D11" s="49">
        <v>74.266056727126113</v>
      </c>
      <c r="E11" s="50">
        <v>689.2</v>
      </c>
      <c r="G11" s="398"/>
      <c r="H11" s="398" t="s">
        <v>26</v>
      </c>
      <c r="I11" s="398" t="s">
        <v>137</v>
      </c>
      <c r="J11" s="398" t="s">
        <v>156</v>
      </c>
      <c r="K11" s="398" t="s">
        <v>63</v>
      </c>
      <c r="L11" s="398" t="s">
        <v>30</v>
      </c>
      <c r="M11" s="398" t="s">
        <v>374</v>
      </c>
    </row>
    <row r="12" spans="1:17">
      <c r="A12" s="44" t="s">
        <v>82</v>
      </c>
      <c r="B12" s="47">
        <v>13.2</v>
      </c>
      <c r="C12" s="48">
        <v>7.3</v>
      </c>
      <c r="D12" s="49">
        <v>79.811068541941054</v>
      </c>
      <c r="E12" s="50">
        <v>722.6</v>
      </c>
      <c r="G12" t="s">
        <v>138</v>
      </c>
      <c r="H12">
        <f>COUNT(C4:E4)</f>
        <v>3</v>
      </c>
      <c r="I12" t="e">
        <f ca="1">DEVSQ(MMULT(DESIGN(C4:E53),H17:H20))</f>
        <v>#NAME?</v>
      </c>
      <c r="J12" t="e">
        <f ca="1">I12/H12</f>
        <v>#NAME?</v>
      </c>
      <c r="K12" t="e">
        <f ca="1">J12/J13</f>
        <v>#NAME?</v>
      </c>
      <c r="L12" t="e">
        <f ca="1">FDIST(K12,H12,H13)</f>
        <v>#NAME?</v>
      </c>
      <c r="M12" s="503" t="e">
        <f ca="1">IF(L12&lt;L10,"yes","no")</f>
        <v>#NAME?</v>
      </c>
    </row>
    <row r="13" spans="1:17">
      <c r="A13" s="44" t="s">
        <v>83</v>
      </c>
      <c r="B13" s="47">
        <v>14.7</v>
      </c>
      <c r="C13" s="48">
        <v>8.1</v>
      </c>
      <c r="D13" s="49">
        <v>65.387718279566343</v>
      </c>
      <c r="E13" s="50">
        <v>493.2</v>
      </c>
      <c r="G13" t="s">
        <v>211</v>
      </c>
      <c r="H13">
        <f>H14-H12</f>
        <v>46</v>
      </c>
      <c r="I13" t="e">
        <f ca="1">I14-I12</f>
        <v>#NAME?</v>
      </c>
      <c r="J13" t="e">
        <f ca="1">I13/H13</f>
        <v>#NAME?</v>
      </c>
    </row>
    <row r="14" spans="1:17">
      <c r="A14" s="44" t="s">
        <v>84</v>
      </c>
      <c r="B14" s="47">
        <v>9.1</v>
      </c>
      <c r="C14" s="48">
        <v>5.6</v>
      </c>
      <c r="D14" s="49">
        <v>29.667333748383395</v>
      </c>
      <c r="E14" s="50">
        <v>272.8</v>
      </c>
      <c r="G14" s="380" t="s">
        <v>1</v>
      </c>
      <c r="H14" s="380">
        <f>H8-1</f>
        <v>49</v>
      </c>
      <c r="I14" s="380">
        <f>DEVSQ(B4:B53)</f>
        <v>423.24879999999996</v>
      </c>
      <c r="J14" s="380"/>
      <c r="K14" s="380"/>
      <c r="L14" s="380"/>
      <c r="M14" s="380"/>
    </row>
    <row r="15" spans="1:17" ht="15.75" thickBot="1">
      <c r="A15" s="44" t="s">
        <v>85</v>
      </c>
      <c r="B15" s="47">
        <v>12.6</v>
      </c>
      <c r="C15" s="48">
        <v>6.8</v>
      </c>
      <c r="D15" s="49">
        <v>94.600660447193093</v>
      </c>
      <c r="E15" s="50">
        <v>239.4</v>
      </c>
    </row>
    <row r="16" spans="1:17" ht="15.75" thickTop="1">
      <c r="A16" s="44" t="s">
        <v>86</v>
      </c>
      <c r="B16" s="47">
        <v>12.2</v>
      </c>
      <c r="C16" s="48">
        <v>7.3</v>
      </c>
      <c r="D16" s="49">
        <v>79.13310968601246</v>
      </c>
      <c r="E16" s="50">
        <v>533.20000000000005</v>
      </c>
      <c r="G16" s="398"/>
      <c r="H16" s="398" t="s">
        <v>600</v>
      </c>
      <c r="I16" s="398" t="s">
        <v>503</v>
      </c>
      <c r="J16" s="398" t="s">
        <v>27</v>
      </c>
      <c r="K16" s="398" t="s">
        <v>30</v>
      </c>
      <c r="L16" s="398" t="s">
        <v>13</v>
      </c>
      <c r="M16" s="398" t="s">
        <v>14</v>
      </c>
      <c r="N16" s="398" t="s">
        <v>750</v>
      </c>
      <c r="P16" s="398" t="s">
        <v>760</v>
      </c>
      <c r="Q16" s="398" t="s">
        <v>30</v>
      </c>
    </row>
    <row r="17" spans="1:17">
      <c r="A17" s="44" t="s">
        <v>87</v>
      </c>
      <c r="B17" s="47">
        <v>13.1</v>
      </c>
      <c r="C17" s="48">
        <v>8</v>
      </c>
      <c r="D17" s="49">
        <v>88.000000627274659</v>
      </c>
      <c r="E17" s="50">
        <v>333.6</v>
      </c>
      <c r="G17" t="s">
        <v>212</v>
      </c>
      <c r="H17" t="e">
        <f t="array" aca="1" ref="H17:I20" ca="1">RRegCoeff(C4:E53,B4:B53,3)</f>
        <v>#NAME?</v>
      </c>
      <c r="I17" t="e">
        <f ca="1"/>
        <v>#NAME?</v>
      </c>
      <c r="J17" t="e">
        <f ca="1">H17/I17</f>
        <v>#NAME?</v>
      </c>
      <c r="K17" t="e">
        <f ca="1">TDIST(ABS(J17),$H$13,2)</f>
        <v>#NAME?</v>
      </c>
      <c r="L17" t="e">
        <f ca="1">H17-TINV(L$10,$H$13)*I17</f>
        <v>#NAME?</v>
      </c>
      <c r="M17" t="e">
        <f ca="1">H17+TINV(L$10,$H$13)*I17</f>
        <v>#NAME?</v>
      </c>
      <c r="P17" t="e">
        <f ca="1">'Mult Reg 8'!I19</f>
        <v>#NAME?</v>
      </c>
      <c r="Q17" t="e">
        <f ca="1">'Mult Reg 8'!K19</f>
        <v>#NAME?</v>
      </c>
    </row>
    <row r="18" spans="1:17">
      <c r="A18" s="44" t="s">
        <v>88</v>
      </c>
      <c r="B18" s="47">
        <v>11.5</v>
      </c>
      <c r="C18" s="48">
        <v>5.0999999999999996</v>
      </c>
      <c r="D18" s="49">
        <v>94.170464820794294</v>
      </c>
      <c r="E18" s="50">
        <v>294.7</v>
      </c>
      <c r="G18" t="str">
        <f t="array" ref="G18:G20">TRANSPOSE(C3:E3)</f>
        <v>Infant Mort</v>
      </c>
      <c r="H18" t="e">
        <f ca="1"/>
        <v>#NAME?</v>
      </c>
      <c r="I18" t="e">
        <f ca="1"/>
        <v>#NAME?</v>
      </c>
      <c r="J18" t="e">
        <f ca="1">H18/I18</f>
        <v>#NAME?</v>
      </c>
      <c r="K18" t="e">
        <f ca="1">TDIST(ABS(J18),$H$13,2)</f>
        <v>#NAME?</v>
      </c>
      <c r="L18" t="e">
        <f ca="1">H18-TINV(L$10,$H$13)*I18</f>
        <v>#NAME?</v>
      </c>
      <c r="M18" t="e">
        <f ca="1">H18+TINV(L$10,$H$13)*I18</f>
        <v>#NAME?</v>
      </c>
      <c r="N18" t="e">
        <f ca="1">VIF(C4:E53,1)</f>
        <v>#NAME?</v>
      </c>
      <c r="P18" t="e">
        <f ca="1">'Mult Reg 8'!I20</f>
        <v>#NAME?</v>
      </c>
      <c r="Q18" t="e">
        <f ca="1">'Mult Reg 8'!K20</f>
        <v>#NAME?</v>
      </c>
    </row>
    <row r="19" spans="1:17">
      <c r="A19" s="44" t="s">
        <v>89</v>
      </c>
      <c r="B19" s="47">
        <v>11.3</v>
      </c>
      <c r="C19" s="48">
        <v>7.1</v>
      </c>
      <c r="D19" s="49">
        <v>88.703716524620162</v>
      </c>
      <c r="E19" s="50">
        <v>452.7</v>
      </c>
      <c r="G19" t="str">
        <v>White</v>
      </c>
      <c r="H19" t="e">
        <f ca="1"/>
        <v>#NAME?</v>
      </c>
      <c r="I19" t="e">
        <f ca="1"/>
        <v>#NAME?</v>
      </c>
      <c r="J19" t="e">
        <f ca="1">H19/I19</f>
        <v>#NAME?</v>
      </c>
      <c r="K19" t="e">
        <f ca="1">TDIST(ABS(J19),$H$13,2)</f>
        <v>#NAME?</v>
      </c>
      <c r="L19" t="e">
        <f ca="1">H19-TINV(L$10,$H$13)*I19</f>
        <v>#NAME?</v>
      </c>
      <c r="M19" t="e">
        <f ca="1">H19+TINV(L$10,$H$13)*I19</f>
        <v>#NAME?</v>
      </c>
      <c r="N19" t="e">
        <f ca="1">VIF(C4:E53,2)</f>
        <v>#NAME?</v>
      </c>
      <c r="P19" t="e">
        <f ca="1">'Mult Reg 8'!I21</f>
        <v>#NAME?</v>
      </c>
      <c r="Q19" t="e">
        <f ca="1">'Mult Reg 8'!K21</f>
        <v>#NAME?</v>
      </c>
    </row>
    <row r="20" spans="1:17">
      <c r="A20" s="44" t="s">
        <v>90</v>
      </c>
      <c r="B20" s="47">
        <v>17.3</v>
      </c>
      <c r="C20" s="48">
        <v>7.5</v>
      </c>
      <c r="D20" s="49">
        <v>89.904327345935869</v>
      </c>
      <c r="E20" s="50">
        <v>295</v>
      </c>
      <c r="G20" s="380" t="str">
        <v>Crime</v>
      </c>
      <c r="H20" s="380" t="e">
        <f ca="1"/>
        <v>#NAME?</v>
      </c>
      <c r="I20" s="380" t="e">
        <f ca="1"/>
        <v>#NAME?</v>
      </c>
      <c r="J20" s="380" t="e">
        <f ca="1">H20/I20</f>
        <v>#NAME?</v>
      </c>
      <c r="K20" s="380" t="e">
        <f ca="1">TDIST(ABS(J20),$H$13,2)</f>
        <v>#NAME?</v>
      </c>
      <c r="L20" s="380" t="e">
        <f ca="1">H20-TINV(L$10,$H$13)*I20</f>
        <v>#NAME?</v>
      </c>
      <c r="M20" s="380" t="e">
        <f ca="1">H20+TINV(L$10,$H$13)*I20</f>
        <v>#NAME?</v>
      </c>
      <c r="N20" s="380" t="e">
        <f ca="1">VIF(C4:E53,3)</f>
        <v>#NAME?</v>
      </c>
      <c r="P20" s="380" t="e">
        <f ca="1">'Mult Reg 8'!I22</f>
        <v>#NAME?</v>
      </c>
      <c r="Q20" s="380" t="e">
        <f ca="1">'Mult Reg 8'!K22</f>
        <v>#NAME?</v>
      </c>
    </row>
    <row r="21" spans="1:17">
      <c r="A21" s="44" t="s">
        <v>91</v>
      </c>
      <c r="B21" s="47">
        <v>17.3</v>
      </c>
      <c r="C21" s="48">
        <v>9.9</v>
      </c>
      <c r="D21" s="49">
        <v>64.839543701408999</v>
      </c>
      <c r="E21" s="50">
        <v>729.5</v>
      </c>
    </row>
    <row r="22" spans="1:17">
      <c r="A22" s="44" t="s">
        <v>92</v>
      </c>
      <c r="B22" s="47">
        <v>12.3</v>
      </c>
      <c r="C22" s="48">
        <v>6.3</v>
      </c>
      <c r="D22" s="49">
        <v>96.389852756187835</v>
      </c>
      <c r="E22" s="50">
        <v>118</v>
      </c>
    </row>
    <row r="23" spans="1:17">
      <c r="A23" s="44" t="s">
        <v>93</v>
      </c>
      <c r="B23" s="47">
        <v>8.1</v>
      </c>
      <c r="C23" s="48">
        <v>8</v>
      </c>
      <c r="D23" s="49">
        <v>63.398020838196281</v>
      </c>
      <c r="E23" s="50">
        <v>641.9</v>
      </c>
    </row>
    <row r="24" spans="1:17">
      <c r="A24" s="44" t="s">
        <v>94</v>
      </c>
      <c r="B24" s="56">
        <v>10</v>
      </c>
      <c r="C24" s="48">
        <v>4.8</v>
      </c>
      <c r="D24" s="49">
        <v>86.203669547721617</v>
      </c>
      <c r="E24" s="50">
        <v>431.5</v>
      </c>
    </row>
    <row r="25" spans="1:17">
      <c r="A25" s="44" t="s">
        <v>95</v>
      </c>
      <c r="B25" s="47">
        <v>14.4</v>
      </c>
      <c r="C25" s="48">
        <v>7.4</v>
      </c>
      <c r="D25" s="49">
        <v>81.183409037427396</v>
      </c>
      <c r="E25" s="50">
        <v>536</v>
      </c>
    </row>
    <row r="26" spans="1:17">
      <c r="A26" s="44" t="s">
        <v>96</v>
      </c>
      <c r="B26" s="47">
        <v>9.6</v>
      </c>
      <c r="C26" s="48">
        <v>5.2</v>
      </c>
      <c r="D26" s="49">
        <v>89.045556531854984</v>
      </c>
      <c r="E26" s="50">
        <v>288.7</v>
      </c>
    </row>
    <row r="27" spans="1:17">
      <c r="A27" s="44" t="s">
        <v>97</v>
      </c>
      <c r="B27" s="47">
        <v>21.2</v>
      </c>
      <c r="C27" s="48">
        <v>10.6</v>
      </c>
      <c r="D27" s="49">
        <v>60.598179144073846</v>
      </c>
      <c r="E27" s="50">
        <v>291.3</v>
      </c>
    </row>
    <row r="28" spans="1:17">
      <c r="A28" s="44" t="s">
        <v>98</v>
      </c>
      <c r="B28" s="47">
        <v>13.4</v>
      </c>
      <c r="C28" s="48">
        <v>7.4</v>
      </c>
      <c r="D28" s="49">
        <v>85.028888093842554</v>
      </c>
      <c r="E28" s="50">
        <v>504.9</v>
      </c>
    </row>
    <row r="29" spans="1:17">
      <c r="A29" s="44" t="s">
        <v>99</v>
      </c>
      <c r="B29" s="47">
        <v>14.8</v>
      </c>
      <c r="C29" s="48">
        <v>5.8</v>
      </c>
      <c r="D29" s="49">
        <v>90.467729264863962</v>
      </c>
      <c r="E29" s="50">
        <v>287.5</v>
      </c>
    </row>
    <row r="30" spans="1:17">
      <c r="A30" s="44" t="s">
        <v>100</v>
      </c>
      <c r="B30" s="47">
        <v>10.8</v>
      </c>
      <c r="C30" s="48">
        <v>5.6</v>
      </c>
      <c r="D30" s="49">
        <v>91.372477335833381</v>
      </c>
      <c r="E30" s="50">
        <v>302.39999999999998</v>
      </c>
    </row>
    <row r="31" spans="1:17">
      <c r="A31" s="44" t="s">
        <v>101</v>
      </c>
      <c r="B31" s="47">
        <v>11.3</v>
      </c>
      <c r="C31" s="48">
        <v>6.4</v>
      </c>
      <c r="D31" s="49">
        <v>80.891227371165002</v>
      </c>
      <c r="E31" s="50">
        <v>750.6</v>
      </c>
    </row>
    <row r="32" spans="1:17">
      <c r="A32" s="44" t="s">
        <v>102</v>
      </c>
      <c r="B32" s="47">
        <v>7.6</v>
      </c>
      <c r="C32" s="48">
        <v>6.1</v>
      </c>
      <c r="D32" s="49">
        <v>95.487186970145373</v>
      </c>
      <c r="E32" s="50">
        <v>137.30000000000001</v>
      </c>
    </row>
    <row r="33" spans="1:5">
      <c r="A33" s="44" t="s">
        <v>103</v>
      </c>
      <c r="B33" s="47">
        <v>8.6999999999999993</v>
      </c>
      <c r="C33" s="48">
        <v>5.5</v>
      </c>
      <c r="D33" s="49">
        <v>76.032117342828414</v>
      </c>
      <c r="E33" s="50">
        <v>329.3</v>
      </c>
    </row>
    <row r="34" spans="1:5">
      <c r="A34" s="44" t="s">
        <v>104</v>
      </c>
      <c r="B34" s="47">
        <v>17.100000000000001</v>
      </c>
      <c r="C34" s="48">
        <v>5.8</v>
      </c>
      <c r="D34" s="49">
        <v>83.996520785584835</v>
      </c>
      <c r="E34" s="50">
        <v>664.2</v>
      </c>
    </row>
    <row r="35" spans="1:5">
      <c r="A35" s="44" t="s">
        <v>105</v>
      </c>
      <c r="B35" s="47">
        <v>13.6</v>
      </c>
      <c r="C35" s="48">
        <v>5.6</v>
      </c>
      <c r="D35" s="49">
        <v>73.422529169257928</v>
      </c>
      <c r="E35" s="50">
        <v>414.1</v>
      </c>
    </row>
    <row r="36" spans="1:5">
      <c r="A36" s="44" t="s">
        <v>106</v>
      </c>
      <c r="B36" s="47">
        <v>14.6</v>
      </c>
      <c r="C36" s="48">
        <v>8.1</v>
      </c>
      <c r="D36" s="49">
        <v>73.937344387272134</v>
      </c>
      <c r="E36" s="50">
        <v>466.4</v>
      </c>
    </row>
    <row r="37" spans="1:5">
      <c r="A37" s="44" t="s">
        <v>107</v>
      </c>
      <c r="B37" s="57">
        <v>12</v>
      </c>
      <c r="C37" s="48">
        <v>5.8</v>
      </c>
      <c r="D37" s="49">
        <v>91.393509706444945</v>
      </c>
      <c r="E37" s="50">
        <v>142.4</v>
      </c>
    </row>
    <row r="38" spans="1:5">
      <c r="A38" s="44" t="s">
        <v>108</v>
      </c>
      <c r="B38" s="47">
        <v>13.4</v>
      </c>
      <c r="C38" s="48">
        <v>7.8</v>
      </c>
      <c r="D38" s="49">
        <v>84.764237226305966</v>
      </c>
      <c r="E38" s="50">
        <v>343.2</v>
      </c>
    </row>
    <row r="39" spans="1:5">
      <c r="A39" s="44" t="s">
        <v>109</v>
      </c>
      <c r="B39" s="47">
        <v>15.9</v>
      </c>
      <c r="C39" s="48">
        <v>8</v>
      </c>
      <c r="D39" s="49">
        <v>78.141238608693655</v>
      </c>
      <c r="E39" s="50">
        <v>499.6</v>
      </c>
    </row>
    <row r="40" spans="1:5">
      <c r="A40" s="44" t="s">
        <v>110</v>
      </c>
      <c r="B40" s="47">
        <v>13.6</v>
      </c>
      <c r="C40" s="48">
        <v>5.5</v>
      </c>
      <c r="D40" s="49">
        <v>90.140446325387984</v>
      </c>
      <c r="E40" s="50">
        <v>287.60000000000002</v>
      </c>
    </row>
    <row r="41" spans="1:5">
      <c r="A41" s="44" t="s">
        <v>111</v>
      </c>
      <c r="B41" s="47">
        <v>12.1</v>
      </c>
      <c r="C41" s="48">
        <v>7.6</v>
      </c>
      <c r="D41" s="49">
        <v>85.424563507935517</v>
      </c>
      <c r="E41" s="50">
        <v>416.5</v>
      </c>
    </row>
    <row r="42" spans="1:5">
      <c r="A42" s="44" t="s">
        <v>112</v>
      </c>
      <c r="B42" s="47">
        <v>11.7</v>
      </c>
      <c r="C42" s="48">
        <v>6.1</v>
      </c>
      <c r="D42" s="49">
        <v>88.483880668602993</v>
      </c>
      <c r="E42" s="50">
        <v>227.3</v>
      </c>
    </row>
    <row r="43" spans="1:5">
      <c r="A43" s="44" t="s">
        <v>113</v>
      </c>
      <c r="B43" s="47">
        <v>15.7</v>
      </c>
      <c r="C43" s="48">
        <v>8.4</v>
      </c>
      <c r="D43" s="49">
        <v>68.748136077503446</v>
      </c>
      <c r="E43" s="50">
        <v>788.3</v>
      </c>
    </row>
    <row r="44" spans="1:5">
      <c r="A44" s="44" t="s">
        <v>114</v>
      </c>
      <c r="B44" s="47">
        <v>12.5</v>
      </c>
      <c r="C44" s="48">
        <v>6.9</v>
      </c>
      <c r="D44" s="49">
        <v>88.189790025789804</v>
      </c>
      <c r="E44" s="50">
        <v>169.2</v>
      </c>
    </row>
    <row r="45" spans="1:5">
      <c r="A45" s="44" t="s">
        <v>115</v>
      </c>
      <c r="B45" s="47">
        <v>15.5</v>
      </c>
      <c r="C45" s="48">
        <v>8.6999999999999993</v>
      </c>
      <c r="D45" s="49">
        <v>80.371971305033981</v>
      </c>
      <c r="E45" s="50">
        <v>753.3</v>
      </c>
    </row>
    <row r="46" spans="1:5">
      <c r="A46" s="44" t="s">
        <v>116</v>
      </c>
      <c r="B46" s="47">
        <v>15.8</v>
      </c>
      <c r="C46" s="48">
        <v>6.2</v>
      </c>
      <c r="D46" s="49">
        <v>82.402677784750395</v>
      </c>
      <c r="E46" s="50">
        <v>510.6</v>
      </c>
    </row>
    <row r="47" spans="1:5">
      <c r="A47" s="44" t="s">
        <v>117</v>
      </c>
      <c r="B47" s="47">
        <v>9.6</v>
      </c>
      <c r="C47" s="48">
        <v>5.0999999999999996</v>
      </c>
      <c r="D47" s="49">
        <v>92.915461931338129</v>
      </c>
      <c r="E47" s="50">
        <v>234.8</v>
      </c>
    </row>
    <row r="48" spans="1:5">
      <c r="A48" s="44" t="s">
        <v>118</v>
      </c>
      <c r="B48" s="47">
        <v>10.6</v>
      </c>
      <c r="C48" s="48">
        <v>5.5</v>
      </c>
      <c r="D48" s="49">
        <v>96.408807764739961</v>
      </c>
      <c r="E48" s="50">
        <v>124.3</v>
      </c>
    </row>
    <row r="49" spans="1:5">
      <c r="A49" s="44" t="s">
        <v>119</v>
      </c>
      <c r="B49" s="47">
        <v>10.199999999999999</v>
      </c>
      <c r="C49" s="48">
        <v>7.1</v>
      </c>
      <c r="D49" s="49">
        <v>73.031896017666924</v>
      </c>
      <c r="E49" s="50">
        <v>269.7</v>
      </c>
    </row>
    <row r="50" spans="1:5">
      <c r="A50" s="44" t="s">
        <v>120</v>
      </c>
      <c r="B50" s="47">
        <v>11.3</v>
      </c>
      <c r="C50" s="48">
        <v>4.7</v>
      </c>
      <c r="D50" s="49">
        <v>84.290902250404002</v>
      </c>
      <c r="E50" s="50">
        <v>333.1</v>
      </c>
    </row>
    <row r="51" spans="1:5">
      <c r="A51" s="44" t="s">
        <v>121</v>
      </c>
      <c r="B51" s="57">
        <v>17</v>
      </c>
      <c r="C51" s="48">
        <v>7.4</v>
      </c>
      <c r="D51" s="49">
        <v>94.524786328554711</v>
      </c>
      <c r="E51" s="50">
        <v>275.2</v>
      </c>
    </row>
    <row r="52" spans="1:5">
      <c r="A52" s="44" t="s">
        <v>122</v>
      </c>
      <c r="B52" s="47">
        <v>10.4</v>
      </c>
      <c r="C52" s="48">
        <v>6.4</v>
      </c>
      <c r="D52" s="49">
        <v>89.673695670212709</v>
      </c>
      <c r="E52" s="50">
        <v>290.89999999999998</v>
      </c>
    </row>
    <row r="53" spans="1:5">
      <c r="A53" s="58" t="s">
        <v>123</v>
      </c>
      <c r="B53" s="59">
        <v>9.4</v>
      </c>
      <c r="C53" s="60">
        <v>7</v>
      </c>
      <c r="D53" s="61">
        <v>93.867286940458214</v>
      </c>
      <c r="E53" s="62">
        <v>239.3</v>
      </c>
    </row>
  </sheetData>
  <pageMargins left="0.7" right="0.7" top="0.75" bottom="0.75" header="0.3" footer="0.3"/>
  <ignoredErrors>
    <ignoredError sqref="H12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27"/>
  <dimension ref="A1:AC16"/>
  <sheetViews>
    <sheetView workbookViewId="0"/>
  </sheetViews>
  <sheetFormatPr defaultRowHeight="15"/>
  <cols>
    <col min="5" max="5" width="4.42578125" customWidth="1"/>
  </cols>
  <sheetData>
    <row r="1" spans="1:29">
      <c r="A1" s="1" t="s">
        <v>778</v>
      </c>
    </row>
    <row r="2" spans="1:29">
      <c r="AB2" t="s">
        <v>781</v>
      </c>
    </row>
    <row r="3" spans="1:29">
      <c r="A3" s="112" t="s">
        <v>657</v>
      </c>
      <c r="B3" s="112" t="s">
        <v>682</v>
      </c>
      <c r="C3" s="112" t="s">
        <v>531</v>
      </c>
      <c r="D3" s="112" t="s">
        <v>395</v>
      </c>
      <c r="F3" s="403" t="s">
        <v>638</v>
      </c>
      <c r="G3" s="403" t="s">
        <v>219</v>
      </c>
      <c r="Q3" s="485" t="s">
        <v>780</v>
      </c>
      <c r="R3" s="485" t="s">
        <v>779</v>
      </c>
    </row>
    <row r="4" spans="1:29">
      <c r="A4" s="518">
        <v>2000</v>
      </c>
      <c r="B4" s="518">
        <v>30</v>
      </c>
      <c r="C4" s="518">
        <v>20</v>
      </c>
      <c r="D4" s="518">
        <v>65</v>
      </c>
      <c r="F4">
        <f t="array" ref="F4:F14">TREND(D4:D14,B4:C14)</f>
        <v>62.678719648905208</v>
      </c>
      <c r="G4">
        <f>D4-F4</f>
        <v>2.3212803510947921</v>
      </c>
      <c r="Q4">
        <f t="shared" ref="Q4:Q14" si="0">G4</f>
        <v>2.3212803510947921</v>
      </c>
      <c r="AB4" t="e">
        <f t="array" aca="1" ref="AB4:AC12" ca="1">RUNSTEST("++++-----++",TRUE,2)</f>
        <v>#NAME?</v>
      </c>
      <c r="AC4" s="506" t="e">
        <f ca="1"/>
        <v>#NAME?</v>
      </c>
    </row>
    <row r="5" spans="1:29">
      <c r="A5" s="518">
        <f>A4+1</f>
        <v>2001</v>
      </c>
      <c r="B5" s="518">
        <v>23</v>
      </c>
      <c r="C5" s="518">
        <v>27</v>
      </c>
      <c r="D5" s="518">
        <v>62</v>
      </c>
      <c r="F5">
        <v>60.68520726995181</v>
      </c>
      <c r="G5">
        <f t="shared" ref="G5:G14" si="1">D5-F5</f>
        <v>1.3147927300481896</v>
      </c>
      <c r="Q5">
        <f t="shared" si="0"/>
        <v>1.3147927300481896</v>
      </c>
      <c r="R5">
        <f>Q4</f>
        <v>2.3212803510947921</v>
      </c>
      <c r="AB5" t="e">
        <f ca="1"/>
        <v>#NAME?</v>
      </c>
      <c r="AC5" s="293" t="e">
        <f ca="1"/>
        <v>#NAME?</v>
      </c>
    </row>
    <row r="6" spans="1:29">
      <c r="A6" s="518">
        <f t="shared" ref="A6:A13" si="2">A5+1</f>
        <v>2002</v>
      </c>
      <c r="B6" s="518">
        <v>34</v>
      </c>
      <c r="C6" s="518">
        <v>28</v>
      </c>
      <c r="D6" s="518">
        <v>70</v>
      </c>
      <c r="F6">
        <v>69.596336402232495</v>
      </c>
      <c r="G6">
        <f t="shared" si="1"/>
        <v>0.40366359776750471</v>
      </c>
      <c r="Q6">
        <f t="shared" si="0"/>
        <v>0.40366359776750471</v>
      </c>
      <c r="R6">
        <f t="shared" ref="R6:R14" si="3">Q5</f>
        <v>1.3147927300481896</v>
      </c>
      <c r="AB6" t="e">
        <f ca="1"/>
        <v>#NAME?</v>
      </c>
      <c r="AC6" s="293" t="e">
        <f ca="1"/>
        <v>#NAME?</v>
      </c>
    </row>
    <row r="7" spans="1:29">
      <c r="A7" s="518">
        <f t="shared" si="2"/>
        <v>2003</v>
      </c>
      <c r="B7" s="518">
        <v>31</v>
      </c>
      <c r="C7" s="518">
        <v>21</v>
      </c>
      <c r="D7" s="518">
        <v>64</v>
      </c>
      <c r="F7">
        <v>63.926584935362293</v>
      </c>
      <c r="G7">
        <f t="shared" si="1"/>
        <v>7.3415064637707417E-2</v>
      </c>
      <c r="Q7">
        <f t="shared" si="0"/>
        <v>7.3415064637707417E-2</v>
      </c>
      <c r="R7">
        <f t="shared" si="3"/>
        <v>0.40366359776750471</v>
      </c>
      <c r="AB7" t="e">
        <f ca="1"/>
        <v>#NAME?</v>
      </c>
      <c r="AC7" s="293" t="e">
        <f ca="1"/>
        <v>#NAME?</v>
      </c>
    </row>
    <row r="8" spans="1:29">
      <c r="A8" s="518">
        <f t="shared" si="2"/>
        <v>2004</v>
      </c>
      <c r="B8" s="518">
        <v>17</v>
      </c>
      <c r="C8" s="518">
        <v>23</v>
      </c>
      <c r="D8" s="518">
        <v>52</v>
      </c>
      <c r="F8">
        <v>54.16109335495873</v>
      </c>
      <c r="G8">
        <f t="shared" si="1"/>
        <v>-2.1610933549587301</v>
      </c>
      <c r="Q8">
        <f t="shared" si="0"/>
        <v>-2.1610933549587301</v>
      </c>
      <c r="R8">
        <f t="shared" si="3"/>
        <v>7.3415064637707417E-2</v>
      </c>
      <c r="AB8" t="e">
        <f ca="1"/>
        <v>#NAME?</v>
      </c>
      <c r="AC8" s="293" t="e">
        <f ca="1"/>
        <v>#NAME?</v>
      </c>
    </row>
    <row r="9" spans="1:29">
      <c r="A9" s="518">
        <f t="shared" si="2"/>
        <v>2005</v>
      </c>
      <c r="B9" s="518">
        <v>36</v>
      </c>
      <c r="C9" s="518">
        <v>24</v>
      </c>
      <c r="D9" s="518">
        <v>68</v>
      </c>
      <c r="F9">
        <v>69.202833563898281</v>
      </c>
      <c r="G9">
        <f t="shared" si="1"/>
        <v>-1.202833563898281</v>
      </c>
      <c r="Q9">
        <f t="shared" si="0"/>
        <v>-1.202833563898281</v>
      </c>
      <c r="R9">
        <f t="shared" si="3"/>
        <v>-2.1610933549587301</v>
      </c>
      <c r="AB9" t="e">
        <f ca="1"/>
        <v>#NAME?</v>
      </c>
      <c r="AC9" s="293" t="e">
        <f ca="1"/>
        <v>#NAME?</v>
      </c>
    </row>
    <row r="10" spans="1:29">
      <c r="A10" s="518">
        <f t="shared" si="2"/>
        <v>2006</v>
      </c>
      <c r="B10" s="518">
        <v>38</v>
      </c>
      <c r="C10" s="518">
        <v>20</v>
      </c>
      <c r="D10" s="518">
        <v>68</v>
      </c>
      <c r="F10">
        <v>68.809330725564081</v>
      </c>
      <c r="G10">
        <f t="shared" si="1"/>
        <v>-0.80933072556408092</v>
      </c>
      <c r="Q10">
        <f t="shared" si="0"/>
        <v>-0.80933072556408092</v>
      </c>
      <c r="R10">
        <f t="shared" si="3"/>
        <v>-1.202833563898281</v>
      </c>
      <c r="AB10" t="e">
        <f ca="1"/>
        <v>#NAME?</v>
      </c>
      <c r="AC10" s="293" t="e">
        <f ca="1"/>
        <v>#NAME?</v>
      </c>
    </row>
    <row r="11" spans="1:29">
      <c r="A11" s="518">
        <f t="shared" si="2"/>
        <v>2007</v>
      </c>
      <c r="B11" s="518">
        <v>40</v>
      </c>
      <c r="C11" s="518">
        <v>26</v>
      </c>
      <c r="D11" s="518">
        <v>72</v>
      </c>
      <c r="F11">
        <v>73.231216905977192</v>
      </c>
      <c r="G11">
        <f t="shared" si="1"/>
        <v>-1.2312169059771918</v>
      </c>
      <c r="Q11">
        <f t="shared" si="0"/>
        <v>-1.2312169059771918</v>
      </c>
      <c r="R11">
        <f t="shared" si="3"/>
        <v>-0.80933072556408092</v>
      </c>
      <c r="AB11" t="e">
        <f ca="1"/>
        <v>#NAME?</v>
      </c>
      <c r="AC11" s="293" t="e">
        <f ca="1"/>
        <v>#NAME?</v>
      </c>
    </row>
    <row r="12" spans="1:29">
      <c r="A12" s="518">
        <f t="shared" si="2"/>
        <v>2008</v>
      </c>
      <c r="B12" s="518">
        <v>37</v>
      </c>
      <c r="C12" s="518">
        <v>27</v>
      </c>
      <c r="D12" s="518">
        <v>71</v>
      </c>
      <c r="F12">
        <v>71.413776654104851</v>
      </c>
      <c r="G12">
        <f t="shared" si="1"/>
        <v>-0.41377665410485065</v>
      </c>
      <c r="Q12">
        <f t="shared" si="0"/>
        <v>-0.41377665410485065</v>
      </c>
      <c r="R12">
        <f t="shared" si="3"/>
        <v>-1.2312169059771918</v>
      </c>
      <c r="AB12" t="e">
        <f ca="1"/>
        <v>#NAME?</v>
      </c>
      <c r="AC12" s="289" t="e">
        <f ca="1"/>
        <v>#NAME?</v>
      </c>
    </row>
    <row r="13" spans="1:29">
      <c r="A13" s="518">
        <f t="shared" si="2"/>
        <v>2009</v>
      </c>
      <c r="B13" s="518">
        <v>34</v>
      </c>
      <c r="C13" s="518">
        <v>24</v>
      </c>
      <c r="D13" s="518">
        <v>69</v>
      </c>
      <c r="F13">
        <v>67.670180794733568</v>
      </c>
      <c r="G13">
        <f t="shared" si="1"/>
        <v>1.3298192052664319</v>
      </c>
      <c r="Q13">
        <f t="shared" si="0"/>
        <v>1.3298192052664319</v>
      </c>
      <c r="R13">
        <f t="shared" si="3"/>
        <v>-0.41377665410485065</v>
      </c>
    </row>
    <row r="14" spans="1:29">
      <c r="A14" s="519">
        <f>A13+1</f>
        <v>2010</v>
      </c>
      <c r="B14" s="519">
        <v>38</v>
      </c>
      <c r="C14" s="519">
        <v>30</v>
      </c>
      <c r="D14" s="519">
        <v>74</v>
      </c>
      <c r="F14" s="380">
        <v>73.624719744311392</v>
      </c>
      <c r="G14" s="380">
        <f t="shared" si="1"/>
        <v>0.37528025568860812</v>
      </c>
      <c r="Q14" s="380">
        <f t="shared" si="0"/>
        <v>0.37528025568860812</v>
      </c>
      <c r="R14" s="380">
        <f t="shared" si="3"/>
        <v>1.3298192052664319</v>
      </c>
    </row>
    <row r="16" spans="1:29">
      <c r="F16" s="518" t="s">
        <v>658</v>
      </c>
      <c r="G16" s="303">
        <f>CORREL(G4:G13,G5:G14)</f>
        <v>0.58598694595413614</v>
      </c>
      <c r="Q16" s="518" t="s">
        <v>658</v>
      </c>
      <c r="R16" s="303">
        <f>CORREL(Q5:Q14,R5:R14)</f>
        <v>0.58598694595413614</v>
      </c>
    </row>
  </sheetData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8"/>
  <dimension ref="A1:R14"/>
  <sheetViews>
    <sheetView topLeftCell="I3" workbookViewId="0">
      <selection activeCell="I3" sqref="I3"/>
    </sheetView>
  </sheetViews>
  <sheetFormatPr defaultRowHeight="15"/>
  <cols>
    <col min="5" max="5" width="3.140625" customWidth="1"/>
    <col min="11" max="11" width="3.140625" customWidth="1"/>
    <col min="12" max="12" width="32.5703125" customWidth="1"/>
  </cols>
  <sheetData>
    <row r="1" spans="1:18">
      <c r="A1" s="1" t="s">
        <v>977</v>
      </c>
    </row>
    <row r="3" spans="1:18">
      <c r="A3" s="653" t="s">
        <v>657</v>
      </c>
      <c r="B3" s="653" t="s">
        <v>682</v>
      </c>
      <c r="C3" s="653" t="s">
        <v>531</v>
      </c>
      <c r="D3" s="653" t="s">
        <v>395</v>
      </c>
      <c r="F3" s="598" t="s">
        <v>638</v>
      </c>
      <c r="G3" s="598" t="s">
        <v>219</v>
      </c>
      <c r="I3" s="658" t="s">
        <v>781</v>
      </c>
      <c r="N3" s="13" t="s">
        <v>978</v>
      </c>
      <c r="Q3" s="13" t="s">
        <v>979</v>
      </c>
    </row>
    <row r="4" spans="1:18">
      <c r="A4" s="654">
        <v>2000</v>
      </c>
      <c r="B4" s="654">
        <v>30</v>
      </c>
      <c r="C4" s="654">
        <v>20</v>
      </c>
      <c r="D4" s="654">
        <v>65</v>
      </c>
      <c r="F4">
        <f t="array" ref="F4:F14">TREND(D4:D14,B4:C14)</f>
        <v>62.678719648905208</v>
      </c>
      <c r="G4">
        <f>D4-F4</f>
        <v>2.3212803510947921</v>
      </c>
    </row>
    <row r="5" spans="1:18">
      <c r="A5" s="654">
        <f>A4+1</f>
        <v>2001</v>
      </c>
      <c r="B5" s="654">
        <v>23</v>
      </c>
      <c r="C5" s="654">
        <v>27</v>
      </c>
      <c r="D5" s="654">
        <v>62</v>
      </c>
      <c r="F5">
        <v>60.68520726995181</v>
      </c>
      <c r="G5">
        <f t="shared" ref="G5:G14" si="0">D5-F5</f>
        <v>1.3147927300481896</v>
      </c>
      <c r="I5" t="s">
        <v>980</v>
      </c>
      <c r="J5" s="506">
        <f>COUNTIF(G4:G14,"&gt;0")</f>
        <v>6</v>
      </c>
      <c r="L5" t="e">
        <f t="shared" ref="L5:L10" ca="1" si="1">FTEXT(J5)</f>
        <v>#NAME?</v>
      </c>
      <c r="N5" t="e">
        <f t="array" aca="1" ref="N5:O13" ca="1">RUNSTEST(N3,TRUE)</f>
        <v>#NAME?</v>
      </c>
      <c r="O5" t="e">
        <f ca="1"/>
        <v>#NAME?</v>
      </c>
      <c r="Q5" t="e">
        <f t="array" aca="1" ref="Q5:R13" ca="1">RUNSTEST(Q3,TRUE)</f>
        <v>#NAME?</v>
      </c>
      <c r="R5" t="e">
        <f ca="1"/>
        <v>#NAME?</v>
      </c>
    </row>
    <row r="6" spans="1:18">
      <c r="A6" s="654">
        <f t="shared" ref="A6:A13" si="2">A5+1</f>
        <v>2002</v>
      </c>
      <c r="B6" s="654">
        <v>34</v>
      </c>
      <c r="C6" s="654">
        <v>28</v>
      </c>
      <c r="D6" s="654">
        <v>70</v>
      </c>
      <c r="F6">
        <v>69.596336402232495</v>
      </c>
      <c r="G6">
        <f t="shared" si="0"/>
        <v>0.40366359776750471</v>
      </c>
      <c r="I6" t="s">
        <v>981</v>
      </c>
      <c r="J6" s="293">
        <f>COUNT(G4:G14)-J5</f>
        <v>5</v>
      </c>
      <c r="L6" t="e">
        <f t="shared" ca="1" si="1"/>
        <v>#NAME?</v>
      </c>
      <c r="N6" t="e">
        <f ca="1"/>
        <v>#NAME?</v>
      </c>
      <c r="O6" t="e">
        <f ca="1"/>
        <v>#NAME?</v>
      </c>
      <c r="Q6" t="e">
        <f ca="1"/>
        <v>#NAME?</v>
      </c>
      <c r="R6" t="e">
        <f ca="1"/>
        <v>#NAME?</v>
      </c>
    </row>
    <row r="7" spans="1:18">
      <c r="A7" s="654">
        <f t="shared" si="2"/>
        <v>2003</v>
      </c>
      <c r="B7" s="654">
        <v>31</v>
      </c>
      <c r="C7" s="654">
        <v>21</v>
      </c>
      <c r="D7" s="654">
        <v>64</v>
      </c>
      <c r="F7">
        <v>63.926584935362293</v>
      </c>
      <c r="G7">
        <f t="shared" si="0"/>
        <v>7.3415064637707417E-2</v>
      </c>
      <c r="I7" t="s">
        <v>15</v>
      </c>
      <c r="J7" s="293">
        <f>J5+J6</f>
        <v>11</v>
      </c>
      <c r="L7" t="e">
        <f t="shared" ca="1" si="1"/>
        <v>#NAME?</v>
      </c>
      <c r="N7" t="e">
        <f ca="1"/>
        <v>#NAME?</v>
      </c>
      <c r="O7" t="e">
        <f ca="1"/>
        <v>#NAME?</v>
      </c>
      <c r="Q7" t="e">
        <f ca="1"/>
        <v>#NAME?</v>
      </c>
      <c r="R7" t="e">
        <f ca="1"/>
        <v>#NAME?</v>
      </c>
    </row>
    <row r="8" spans="1:18">
      <c r="A8" s="654">
        <f t="shared" si="2"/>
        <v>2004</v>
      </c>
      <c r="B8" s="654">
        <v>17</v>
      </c>
      <c r="C8" s="654">
        <v>23</v>
      </c>
      <c r="D8" s="654">
        <v>52</v>
      </c>
      <c r="F8">
        <v>54.16109335495873</v>
      </c>
      <c r="G8">
        <f t="shared" si="0"/>
        <v>-2.1610933549587301</v>
      </c>
      <c r="I8" t="s">
        <v>5</v>
      </c>
      <c r="J8" s="293">
        <f>2*J5*J6/J7+1</f>
        <v>6.4545454545454541</v>
      </c>
      <c r="L8" t="e">
        <f t="shared" ca="1" si="1"/>
        <v>#NAME?</v>
      </c>
      <c r="N8" t="e">
        <f ca="1"/>
        <v>#NAME?</v>
      </c>
      <c r="O8" t="e">
        <f ca="1"/>
        <v>#NAME?</v>
      </c>
      <c r="Q8" t="e">
        <f ca="1"/>
        <v>#NAME?</v>
      </c>
      <c r="R8" t="e">
        <f ca="1"/>
        <v>#NAME?</v>
      </c>
    </row>
    <row r="9" spans="1:18">
      <c r="A9" s="654">
        <f t="shared" si="2"/>
        <v>2005</v>
      </c>
      <c r="B9" s="654">
        <v>36</v>
      </c>
      <c r="C9" s="654">
        <v>24</v>
      </c>
      <c r="D9" s="654">
        <v>68</v>
      </c>
      <c r="F9">
        <v>69.202833563898281</v>
      </c>
      <c r="G9">
        <f t="shared" si="0"/>
        <v>-1.202833563898281</v>
      </c>
      <c r="I9" s="28" t="s">
        <v>6</v>
      </c>
      <c r="J9" s="293">
        <f>2*J5*J6*(2*J5*J6-J7)/J7^2/(J7-1)</f>
        <v>2.4297520661157028</v>
      </c>
      <c r="L9" t="e">
        <f t="shared" ca="1" si="1"/>
        <v>#NAME?</v>
      </c>
      <c r="N9" t="e">
        <f ca="1"/>
        <v>#NAME?</v>
      </c>
      <c r="O9" t="e">
        <f ca="1"/>
        <v>#NAME?</v>
      </c>
      <c r="Q9" t="e">
        <f ca="1"/>
        <v>#NAME?</v>
      </c>
      <c r="R9" t="e">
        <f ca="1"/>
        <v>#NAME?</v>
      </c>
    </row>
    <row r="10" spans="1:18">
      <c r="A10" s="654">
        <f t="shared" si="2"/>
        <v>2006</v>
      </c>
      <c r="B10" s="654">
        <v>38</v>
      </c>
      <c r="C10" s="654">
        <v>20</v>
      </c>
      <c r="D10" s="654">
        <v>68</v>
      </c>
      <c r="F10">
        <v>68.809330725564081</v>
      </c>
      <c r="G10">
        <f t="shared" si="0"/>
        <v>-0.80933072556408092</v>
      </c>
      <c r="I10" t="s">
        <v>7</v>
      </c>
      <c r="J10" s="293">
        <f>SQRT(J9)</f>
        <v>1.5587661999529316</v>
      </c>
      <c r="L10" t="e">
        <f t="shared" ca="1" si="1"/>
        <v>#NAME?</v>
      </c>
      <c r="N10" t="e">
        <f ca="1"/>
        <v>#NAME?</v>
      </c>
      <c r="O10" t="e">
        <f ca="1"/>
        <v>#NAME?</v>
      </c>
      <c r="Q10" t="e">
        <f ca="1"/>
        <v>#NAME?</v>
      </c>
      <c r="R10" t="e">
        <f ca="1"/>
        <v>#NAME?</v>
      </c>
    </row>
    <row r="11" spans="1:18">
      <c r="A11" s="654">
        <f t="shared" si="2"/>
        <v>2007</v>
      </c>
      <c r="B11" s="654">
        <v>40</v>
      </c>
      <c r="C11" s="654">
        <v>26</v>
      </c>
      <c r="D11" s="654">
        <v>72</v>
      </c>
      <c r="F11">
        <v>73.231216905977192</v>
      </c>
      <c r="G11">
        <f t="shared" si="0"/>
        <v>-1.2312169059771918</v>
      </c>
      <c r="I11" t="s">
        <v>982</v>
      </c>
      <c r="J11" s="293">
        <f t="array" ref="J11">SUM(IF(G4:G13*G5:G14&gt;0,0,1))+1</f>
        <v>3</v>
      </c>
      <c r="L11" t="str">
        <f ca="1">_xlfn.FORMULATEXT(J11)</f>
        <v>{=SUM(IF(G4:G13*G5:G14&gt;0,0,1))+1}</v>
      </c>
      <c r="N11" t="e">
        <f ca="1"/>
        <v>#NAME?</v>
      </c>
      <c r="O11" t="e">
        <f ca="1"/>
        <v>#NAME?</v>
      </c>
      <c r="Q11" t="e">
        <f ca="1"/>
        <v>#NAME?</v>
      </c>
      <c r="R11" t="e">
        <f ca="1"/>
        <v>#NAME?</v>
      </c>
    </row>
    <row r="12" spans="1:18">
      <c r="A12" s="654">
        <f t="shared" si="2"/>
        <v>2008</v>
      </c>
      <c r="B12" s="654">
        <v>37</v>
      </c>
      <c r="C12" s="654">
        <v>27</v>
      </c>
      <c r="D12" s="654">
        <v>71</v>
      </c>
      <c r="F12">
        <v>71.413776654104851</v>
      </c>
      <c r="G12">
        <f t="shared" si="0"/>
        <v>-0.41377665410485065</v>
      </c>
      <c r="I12" t="s">
        <v>983</v>
      </c>
      <c r="J12" s="293">
        <v>2</v>
      </c>
      <c r="N12" t="e">
        <f ca="1"/>
        <v>#NAME?</v>
      </c>
      <c r="O12" t="e">
        <f ca="1"/>
        <v>#NAME?</v>
      </c>
      <c r="Q12" t="e">
        <f ca="1"/>
        <v>#NAME?</v>
      </c>
      <c r="R12" t="e">
        <f ca="1"/>
        <v>#NAME?</v>
      </c>
    </row>
    <row r="13" spans="1:18">
      <c r="A13" s="654">
        <f t="shared" si="2"/>
        <v>2009</v>
      </c>
      <c r="B13" s="654">
        <v>34</v>
      </c>
      <c r="C13" s="654">
        <v>24</v>
      </c>
      <c r="D13" s="654">
        <v>69</v>
      </c>
      <c r="F13">
        <v>67.670180794733568</v>
      </c>
      <c r="G13">
        <f t="shared" si="0"/>
        <v>1.3298192052664319</v>
      </c>
      <c r="I13" t="s">
        <v>984</v>
      </c>
      <c r="J13" s="293">
        <f>ABS(J11-J8)/J10</f>
        <v>2.2162050053752558</v>
      </c>
      <c r="L13" t="e">
        <f ca="1">FTEXT(J13)</f>
        <v>#NAME?</v>
      </c>
      <c r="N13" t="e">
        <f ca="1"/>
        <v>#NAME?</v>
      </c>
      <c r="O13" t="e">
        <f ca="1"/>
        <v>#NAME?</v>
      </c>
      <c r="Q13" t="e">
        <f ca="1"/>
        <v>#NAME?</v>
      </c>
      <c r="R13" t="e">
        <f ca="1"/>
        <v>#NAME?</v>
      </c>
    </row>
    <row r="14" spans="1:18">
      <c r="A14" s="584">
        <f>A13+1</f>
        <v>2010</v>
      </c>
      <c r="B14" s="584">
        <v>38</v>
      </c>
      <c r="C14" s="584">
        <v>30</v>
      </c>
      <c r="D14" s="584">
        <v>74</v>
      </c>
      <c r="F14" s="572">
        <v>73.624719744311392</v>
      </c>
      <c r="G14" s="572">
        <f t="shared" si="0"/>
        <v>0.37528025568860812</v>
      </c>
      <c r="I14" t="s">
        <v>30</v>
      </c>
      <c r="J14" s="289">
        <f>J12*(1-NORMSDIST(J13))</f>
        <v>2.6677465241644605E-2</v>
      </c>
      <c r="L14" s="13" t="s">
        <v>985</v>
      </c>
    </row>
  </sheetData>
  <pageMargins left="0.7" right="0.7" top="0.75" bottom="0.75" header="0.3" footer="0.3"/>
  <pageSetup paperSize="9" orientation="portrait" verticalDpi="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277"/>
  <dimension ref="A1:Q29"/>
  <sheetViews>
    <sheetView workbookViewId="0"/>
  </sheetViews>
  <sheetFormatPr defaultRowHeight="15"/>
  <cols>
    <col min="5" max="5" width="4.42578125" customWidth="1"/>
    <col min="8" max="8" width="3.85546875" customWidth="1"/>
    <col min="9" max="9" width="9.42578125" customWidth="1"/>
    <col min="11" max="11" width="2.7109375" customWidth="1"/>
    <col min="12" max="12" width="42.5703125" customWidth="1"/>
    <col min="13" max="13" width="9.7109375" customWidth="1"/>
    <col min="16" max="16" width="3.85546875" customWidth="1"/>
    <col min="17" max="17" width="36.5703125" customWidth="1"/>
  </cols>
  <sheetData>
    <row r="1" spans="1:17">
      <c r="A1" s="1" t="s">
        <v>639</v>
      </c>
      <c r="N1" t="s">
        <v>667</v>
      </c>
    </row>
    <row r="3" spans="1:17">
      <c r="A3" s="112" t="s">
        <v>657</v>
      </c>
      <c r="B3" s="112" t="s">
        <v>682</v>
      </c>
      <c r="C3" s="112" t="s">
        <v>531</v>
      </c>
      <c r="D3" s="112" t="s">
        <v>395</v>
      </c>
      <c r="F3" s="403" t="s">
        <v>638</v>
      </c>
      <c r="G3" s="403" t="s">
        <v>219</v>
      </c>
      <c r="I3" s="113" t="s">
        <v>20</v>
      </c>
      <c r="J3" s="410">
        <f>SUMXMY2(G4:G13,G5:G14)/SUMSQ(G4:G14)</f>
        <v>0.72595086575653978</v>
      </c>
      <c r="K3" s="5"/>
      <c r="L3" s="5" t="e">
        <f ca="1">FTEXT(J3)</f>
        <v>#NAME?</v>
      </c>
      <c r="M3" s="5"/>
      <c r="N3" t="s">
        <v>20</v>
      </c>
      <c r="O3" s="25" t="e">
        <f ca="1">DURBIN(G4:G14)</f>
        <v>#NAME?</v>
      </c>
      <c r="Q3" s="13" t="s">
        <v>640</v>
      </c>
    </row>
    <row r="4" spans="1:17">
      <c r="A4" s="456">
        <v>2000</v>
      </c>
      <c r="B4" s="401">
        <v>30</v>
      </c>
      <c r="C4" s="401">
        <v>20</v>
      </c>
      <c r="D4" s="401">
        <v>65</v>
      </c>
      <c r="F4">
        <f t="array" ref="F4:F14">TREND(D4:D14,B4:C14)</f>
        <v>62.678719648905208</v>
      </c>
      <c r="G4">
        <f>D4-F4</f>
        <v>2.3212803510947921</v>
      </c>
      <c r="I4" t="s">
        <v>680</v>
      </c>
      <c r="J4" s="293" t="e">
        <f ca="1">DLowerCRIT(COUNT(A4:A14),COUNTA(B3:C3))</f>
        <v>#NAME?</v>
      </c>
      <c r="L4" s="5" t="e">
        <f ca="1">FTEXT(J4)</f>
        <v>#NAME?</v>
      </c>
      <c r="N4" t="s">
        <v>20</v>
      </c>
      <c r="O4" s="289" t="e">
        <f ca="1">DURBIN(B4:C14,D4:D14)</f>
        <v>#NAME?</v>
      </c>
      <c r="Q4" s="13" t="s">
        <v>641</v>
      </c>
    </row>
    <row r="5" spans="1:17">
      <c r="A5" s="456">
        <f>A4+1</f>
        <v>2001</v>
      </c>
      <c r="B5" s="401">
        <v>23</v>
      </c>
      <c r="C5" s="401">
        <v>27</v>
      </c>
      <c r="D5" s="401">
        <v>62</v>
      </c>
      <c r="F5">
        <v>60.68520726995181</v>
      </c>
      <c r="G5">
        <f t="shared" ref="G5:G14" si="0">D5-F5</f>
        <v>1.3147927300481896</v>
      </c>
      <c r="I5" t="s">
        <v>681</v>
      </c>
      <c r="J5" s="293" t="e">
        <f ca="1">DUpperCRIT(COUNT(A4:A14),COUNTA(B3:C3))</f>
        <v>#NAME?</v>
      </c>
      <c r="L5" s="5" t="e">
        <f ca="1">FTEXT(J5)</f>
        <v>#NAME?</v>
      </c>
    </row>
    <row r="6" spans="1:17">
      <c r="A6" s="456">
        <f t="shared" ref="A6:A13" si="1">A5+1</f>
        <v>2002</v>
      </c>
      <c r="B6" s="401">
        <v>34</v>
      </c>
      <c r="C6" s="401">
        <v>28</v>
      </c>
      <c r="D6" s="401">
        <v>70</v>
      </c>
      <c r="F6">
        <v>69.596336402232495</v>
      </c>
      <c r="G6">
        <f t="shared" si="0"/>
        <v>0.40366359776750471</v>
      </c>
      <c r="I6" t="s">
        <v>374</v>
      </c>
      <c r="J6" s="287" t="e">
        <f ca="1">IF(J3&lt;J4,"yes",IF(J3&gt;J5,"no","unclear"))</f>
        <v>#NAME?</v>
      </c>
      <c r="L6" s="5" t="e">
        <f ca="1">FTEXT(J6)</f>
        <v>#NAME?</v>
      </c>
      <c r="N6" t="s">
        <v>680</v>
      </c>
      <c r="O6" s="410" t="e">
        <f ca="1">DLowerCRIT(11,2)</f>
        <v>#NAME?</v>
      </c>
      <c r="Q6" t="e">
        <f ca="1">FTEXT(O6)</f>
        <v>#NAME?</v>
      </c>
    </row>
    <row r="7" spans="1:17">
      <c r="A7" s="456">
        <f t="shared" si="1"/>
        <v>2003</v>
      </c>
      <c r="B7" s="401">
        <v>31</v>
      </c>
      <c r="C7" s="401">
        <v>21</v>
      </c>
      <c r="D7" s="401">
        <v>64</v>
      </c>
      <c r="F7">
        <v>63.926584935362293</v>
      </c>
      <c r="G7">
        <f t="shared" si="0"/>
        <v>7.3415064637707417E-2</v>
      </c>
      <c r="N7" t="s">
        <v>681</v>
      </c>
      <c r="O7" s="293" t="e">
        <f ca="1">DUpperCRIT(11,2)</f>
        <v>#NAME?</v>
      </c>
      <c r="Q7" t="e">
        <f ca="1">FTEXT(O7)</f>
        <v>#NAME?</v>
      </c>
    </row>
    <row r="8" spans="1:17">
      <c r="A8" s="456">
        <f t="shared" si="1"/>
        <v>2004</v>
      </c>
      <c r="B8" s="401">
        <v>17</v>
      </c>
      <c r="C8" s="401">
        <v>23</v>
      </c>
      <c r="D8" s="401">
        <v>52</v>
      </c>
      <c r="F8">
        <v>54.16109335495873</v>
      </c>
      <c r="G8">
        <f t="shared" si="0"/>
        <v>-2.1610933549587301</v>
      </c>
      <c r="N8" t="s">
        <v>374</v>
      </c>
      <c r="O8" s="287" t="e">
        <f ca="1">IF(J3&lt;O6,"yes",IF(J3&gt;O7,"no","unclear"))</f>
        <v>#NAME?</v>
      </c>
      <c r="Q8" t="e">
        <f ca="1">FTEXT(O8)</f>
        <v>#NAME?</v>
      </c>
    </row>
    <row r="9" spans="1:17">
      <c r="A9" s="456">
        <f t="shared" si="1"/>
        <v>2005</v>
      </c>
      <c r="B9" s="401">
        <v>36</v>
      </c>
      <c r="C9" s="401">
        <v>24</v>
      </c>
      <c r="D9" s="401">
        <v>68</v>
      </c>
      <c r="F9">
        <v>69.202833563898281</v>
      </c>
      <c r="G9">
        <f t="shared" si="0"/>
        <v>-1.202833563898281</v>
      </c>
    </row>
    <row r="10" spans="1:17">
      <c r="A10" s="456">
        <f t="shared" si="1"/>
        <v>2006</v>
      </c>
      <c r="B10" s="401">
        <v>38</v>
      </c>
      <c r="C10" s="401">
        <v>20</v>
      </c>
      <c r="D10" s="401">
        <v>68</v>
      </c>
      <c r="F10">
        <v>68.809330725564081</v>
      </c>
      <c r="G10">
        <f t="shared" si="0"/>
        <v>-0.80933072556408092</v>
      </c>
      <c r="N10" t="e">
        <f t="array" aca="1" ref="N10:O13" ca="1">DURBIN(B4:C14,D4:D14,TRUE)</f>
        <v>#NAME?</v>
      </c>
      <c r="O10" s="410" t="e">
        <f ca="1"/>
        <v>#NAME?</v>
      </c>
      <c r="Q10" t="e">
        <f ca="1">FTEXT(O10)</f>
        <v>#NAME?</v>
      </c>
    </row>
    <row r="11" spans="1:17">
      <c r="A11" s="456">
        <f t="shared" si="1"/>
        <v>2007</v>
      </c>
      <c r="B11" s="401">
        <v>40</v>
      </c>
      <c r="C11" s="401">
        <v>26</v>
      </c>
      <c r="D11" s="401">
        <v>72</v>
      </c>
      <c r="F11">
        <v>73.231216905977192</v>
      </c>
      <c r="G11">
        <f t="shared" si="0"/>
        <v>-1.2312169059771918</v>
      </c>
      <c r="N11" t="e">
        <f ca="1"/>
        <v>#NAME?</v>
      </c>
      <c r="O11" s="293" t="e">
        <f ca="1"/>
        <v>#NAME?</v>
      </c>
    </row>
    <row r="12" spans="1:17">
      <c r="A12" s="456">
        <f t="shared" si="1"/>
        <v>2008</v>
      </c>
      <c r="B12" s="401">
        <v>37</v>
      </c>
      <c r="C12" s="401">
        <v>27</v>
      </c>
      <c r="D12" s="401">
        <v>71</v>
      </c>
      <c r="F12">
        <v>71.413776654104851</v>
      </c>
      <c r="G12">
        <f t="shared" si="0"/>
        <v>-0.41377665410485065</v>
      </c>
      <c r="N12" t="e">
        <f ca="1"/>
        <v>#NAME?</v>
      </c>
      <c r="O12" s="293" t="e">
        <f ca="1"/>
        <v>#NAME?</v>
      </c>
    </row>
    <row r="13" spans="1:17">
      <c r="A13" s="456">
        <f t="shared" si="1"/>
        <v>2009</v>
      </c>
      <c r="B13" s="401">
        <v>34</v>
      </c>
      <c r="C13" s="401">
        <v>24</v>
      </c>
      <c r="D13" s="401">
        <v>69</v>
      </c>
      <c r="F13">
        <v>67.670180794733568</v>
      </c>
      <c r="G13">
        <f t="shared" si="0"/>
        <v>1.3298192052664319</v>
      </c>
      <c r="N13" t="e">
        <f ca="1"/>
        <v>#NAME?</v>
      </c>
      <c r="O13" s="287" t="e">
        <f ca="1"/>
        <v>#NAME?</v>
      </c>
    </row>
    <row r="14" spans="1:17">
      <c r="A14" s="457">
        <f>A13+1</f>
        <v>2010</v>
      </c>
      <c r="B14" s="402">
        <v>38</v>
      </c>
      <c r="C14" s="402">
        <v>30</v>
      </c>
      <c r="D14" s="402">
        <v>74</v>
      </c>
      <c r="F14" s="380">
        <v>73.624719744311392</v>
      </c>
      <c r="G14" s="380">
        <f t="shared" si="0"/>
        <v>0.37528025568860812</v>
      </c>
    </row>
    <row r="15" spans="1:17">
      <c r="N15" t="e">
        <f t="array" aca="1" ref="N15:O18" ca="1">DURBIN(G4:G14,2,TRUE)</f>
        <v>#NAME?</v>
      </c>
      <c r="O15" s="410" t="e">
        <f ca="1"/>
        <v>#NAME?</v>
      </c>
      <c r="Q15" t="e">
        <f ca="1">FTEXT(O15)</f>
        <v>#NAME?</v>
      </c>
    </row>
    <row r="16" spans="1:17">
      <c r="N16" t="e">
        <f ca="1"/>
        <v>#NAME?</v>
      </c>
      <c r="O16" s="293" t="e">
        <f ca="1"/>
        <v>#NAME?</v>
      </c>
    </row>
    <row r="17" spans="14:15">
      <c r="N17" t="e">
        <f ca="1"/>
        <v>#NAME?</v>
      </c>
      <c r="O17" s="293" t="e">
        <f ca="1"/>
        <v>#NAME?</v>
      </c>
    </row>
    <row r="18" spans="14:15">
      <c r="N18" t="e">
        <f ca="1"/>
        <v>#NAME?</v>
      </c>
      <c r="O18" s="287" t="e">
        <f ca="1"/>
        <v>#NAME?</v>
      </c>
    </row>
    <row r="20" spans="14:15">
      <c r="N20" t="s">
        <v>652</v>
      </c>
    </row>
    <row r="22" spans="14:15">
      <c r="N22" t="s">
        <v>639</v>
      </c>
    </row>
    <row r="24" spans="14:15">
      <c r="N24" t="s">
        <v>16</v>
      </c>
      <c r="O24" s="460">
        <v>0.05</v>
      </c>
    </row>
    <row r="26" spans="14:15">
      <c r="N26" t="e">
        <f t="array" aca="1" ref="N26:O29" ca="1">DURBIN(B4:C14,D4:D14,TRUE,O24)</f>
        <v>#NAME?</v>
      </c>
      <c r="O26" s="461" t="e">
        <f ca="1"/>
        <v>#NAME?</v>
      </c>
    </row>
    <row r="27" spans="14:15">
      <c r="N27" t="e">
        <f ca="1"/>
        <v>#NAME?</v>
      </c>
      <c r="O27" s="337" t="e">
        <f ca="1"/>
        <v>#NAME?</v>
      </c>
    </row>
    <row r="28" spans="14:15">
      <c r="N28" t="e">
        <f ca="1"/>
        <v>#NAME?</v>
      </c>
      <c r="O28" s="337" t="e">
        <f ca="1"/>
        <v>#NAME?</v>
      </c>
    </row>
    <row r="29" spans="14:15">
      <c r="N29" t="e">
        <f ca="1"/>
        <v>#NAME?</v>
      </c>
      <c r="O29" s="376" t="e">
        <f ca="1"/>
        <v>#NAME?</v>
      </c>
    </row>
  </sheetData>
  <pageMargins left="0.7" right="0.7" top="0.75" bottom="0.75" header="0.3" footer="0.3"/>
  <pageSetup paperSize="9" orientation="portrait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5"/>
  <dimension ref="A1:AM28"/>
  <sheetViews>
    <sheetView workbookViewId="0"/>
  </sheetViews>
  <sheetFormatPr defaultRowHeight="15"/>
  <cols>
    <col min="2" max="4" width="9.140625" style="14"/>
    <col min="5" max="5" width="3.7109375" style="14" customWidth="1"/>
    <col min="6" max="13" width="9.140625" style="14"/>
    <col min="14" max="14" width="9.140625" style="619"/>
    <col min="15" max="15" width="9.140625" style="620" customWidth="1"/>
    <col min="16" max="16" width="9.140625" customWidth="1"/>
    <col min="17" max="17" width="18.140625" style="203" customWidth="1"/>
    <col min="25" max="25" width="4.28515625" customWidth="1"/>
    <col min="32" max="32" width="17.7109375" customWidth="1"/>
  </cols>
  <sheetData>
    <row r="1" spans="1:38">
      <c r="A1" s="1" t="s">
        <v>937</v>
      </c>
    </row>
    <row r="3" spans="1:38" ht="15" customHeight="1">
      <c r="A3" s="621" t="s">
        <v>657</v>
      </c>
      <c r="B3" s="621" t="s">
        <v>938</v>
      </c>
      <c r="C3" s="621" t="s">
        <v>939</v>
      </c>
      <c r="D3" s="621" t="s">
        <v>940</v>
      </c>
      <c r="F3" s="621" t="s">
        <v>638</v>
      </c>
      <c r="G3" s="621" t="s">
        <v>941</v>
      </c>
      <c r="H3" s="622"/>
      <c r="I3" s="623" t="s">
        <v>942</v>
      </c>
      <c r="J3" s="623" t="s">
        <v>943</v>
      </c>
      <c r="K3" s="623" t="s">
        <v>944</v>
      </c>
      <c r="L3" s="623" t="s">
        <v>945</v>
      </c>
      <c r="M3" s="623" t="s">
        <v>946</v>
      </c>
      <c r="N3" s="624" t="str">
        <f t="shared" ref="N3:O23" si="0">C3</f>
        <v>GNP</v>
      </c>
      <c r="O3" s="625" t="str">
        <f t="shared" si="0"/>
        <v>Interest</v>
      </c>
      <c r="P3" s="626"/>
      <c r="Q3" s="627" t="s">
        <v>601</v>
      </c>
      <c r="AC3" t="s">
        <v>639</v>
      </c>
      <c r="AF3" t="s">
        <v>601</v>
      </c>
    </row>
    <row r="4" spans="1:38">
      <c r="A4" s="617">
        <v>1995</v>
      </c>
      <c r="B4" s="628">
        <v>112.2</v>
      </c>
      <c r="C4" s="628">
        <v>860.8</v>
      </c>
      <c r="D4" s="629">
        <v>4.62</v>
      </c>
      <c r="F4" s="14">
        <f t="array" ref="F4:F23">TREND(B4:B23,C4:D23)</f>
        <v>128.29555143282235</v>
      </c>
      <c r="G4" s="333">
        <f>B4-F4</f>
        <v>-16.095551432822347</v>
      </c>
      <c r="H4" s="333"/>
      <c r="I4" s="333">
        <f>G4</f>
        <v>-16.095551432822347</v>
      </c>
      <c r="J4" s="333">
        <v>0</v>
      </c>
      <c r="K4" s="333">
        <v>0</v>
      </c>
      <c r="L4" s="333">
        <v>0</v>
      </c>
      <c r="M4" s="333">
        <v>0</v>
      </c>
      <c r="N4" s="630">
        <f t="shared" si="0"/>
        <v>860.8</v>
      </c>
      <c r="O4" s="631">
        <f t="shared" si="0"/>
        <v>4.62</v>
      </c>
      <c r="P4" s="632"/>
      <c r="Q4" s="627"/>
      <c r="W4" t="s">
        <v>947</v>
      </c>
      <c r="Z4" t="s">
        <v>968</v>
      </c>
    </row>
    <row r="5" spans="1:38" ht="15.75" thickBot="1">
      <c r="A5" s="617">
        <f>A4+1</f>
        <v>1996</v>
      </c>
      <c r="B5" s="628">
        <v>132.4</v>
      </c>
      <c r="C5" s="628">
        <v>866.9</v>
      </c>
      <c r="D5" s="629">
        <v>4.0999999999999996</v>
      </c>
      <c r="F5" s="14">
        <v>130.07396675321831</v>
      </c>
      <c r="G5" s="333">
        <f t="shared" ref="G5:G23" si="1">B5-F5</f>
        <v>2.3260332467816909</v>
      </c>
      <c r="H5" s="333"/>
      <c r="I5" s="333">
        <f t="shared" ref="I5:I23" si="2">G5</f>
        <v>2.3260332467816909</v>
      </c>
      <c r="J5" s="333">
        <f>G4</f>
        <v>-16.095551432822347</v>
      </c>
      <c r="K5" s="333">
        <v>0</v>
      </c>
      <c r="L5" s="333">
        <v>0</v>
      </c>
      <c r="M5" s="333">
        <v>0</v>
      </c>
      <c r="N5" s="630">
        <f t="shared" si="0"/>
        <v>866.9</v>
      </c>
      <c r="O5" s="631">
        <f t="shared" si="0"/>
        <v>4.0999999999999996</v>
      </c>
      <c r="P5" s="632"/>
      <c r="Q5" s="633" t="s">
        <v>606</v>
      </c>
      <c r="R5" s="364"/>
      <c r="T5" s="364"/>
      <c r="U5" s="364"/>
      <c r="AC5" t="s">
        <v>16</v>
      </c>
      <c r="AD5" s="556">
        <v>0.05</v>
      </c>
      <c r="AF5" s="364" t="s">
        <v>606</v>
      </c>
      <c r="AG5" s="364"/>
      <c r="AI5" s="364"/>
      <c r="AJ5" s="364"/>
    </row>
    <row r="6" spans="1:38" ht="15.75" thickTop="1">
      <c r="A6" s="617">
        <f t="shared" ref="A6:A23" si="3">A5+1</f>
        <v>1997</v>
      </c>
      <c r="B6" s="628">
        <v>153.4</v>
      </c>
      <c r="C6" s="628">
        <v>919.2</v>
      </c>
      <c r="D6" s="629">
        <v>4.04</v>
      </c>
      <c r="F6" s="14">
        <v>139.25804462607576</v>
      </c>
      <c r="G6" s="333">
        <f t="shared" si="1"/>
        <v>14.141955373924247</v>
      </c>
      <c r="H6" s="333"/>
      <c r="I6" s="333">
        <f t="shared" si="2"/>
        <v>14.141955373924247</v>
      </c>
      <c r="J6" s="333">
        <f t="shared" ref="J6:J23" si="4">G5</f>
        <v>2.3260332467816909</v>
      </c>
      <c r="K6" s="333">
        <f t="shared" ref="K6:K23" si="5">G4</f>
        <v>-16.095551432822347</v>
      </c>
      <c r="L6" s="333">
        <v>0</v>
      </c>
      <c r="M6" s="333">
        <v>0</v>
      </c>
      <c r="N6" s="630">
        <f t="shared" si="0"/>
        <v>919.2</v>
      </c>
      <c r="O6" s="631">
        <f t="shared" si="0"/>
        <v>4.04</v>
      </c>
      <c r="P6" s="632"/>
      <c r="Q6" s="627" t="s">
        <v>208</v>
      </c>
      <c r="R6" t="e">
        <f ca="1">SQRT(R7)</f>
        <v>#NAME?</v>
      </c>
      <c r="T6" t="s">
        <v>498</v>
      </c>
      <c r="U6" t="e">
        <f ca="1">R10*LN(S15/R10)+2*(R14+1)</f>
        <v>#NAME?</v>
      </c>
      <c r="W6" s="27" t="s">
        <v>948</v>
      </c>
      <c r="X6" s="492" t="e">
        <f ca="1">R7*(R10-X7)</f>
        <v>#NAME?</v>
      </c>
      <c r="Y6" s="5"/>
      <c r="Z6" s="5" t="s">
        <v>52</v>
      </c>
      <c r="AA6" s="492">
        <f>COUNTA(J3:M3)</f>
        <v>4</v>
      </c>
      <c r="AF6" t="s">
        <v>208</v>
      </c>
      <c r="AG6" t="e">
        <f ca="1">SQRT(AG7)</f>
        <v>#NAME?</v>
      </c>
      <c r="AI6" t="s">
        <v>498</v>
      </c>
      <c r="AJ6" t="e">
        <f ca="1">AG10*LN(AH15/AG10)+2*(AG14+1)</f>
        <v>#NAME?</v>
      </c>
    </row>
    <row r="7" spans="1:38" ht="15" customHeight="1">
      <c r="A7" s="617">
        <f t="shared" si="3"/>
        <v>1998</v>
      </c>
      <c r="B7" s="628">
        <v>162.30000000000001</v>
      </c>
      <c r="C7" s="628">
        <v>974.6</v>
      </c>
      <c r="D7" s="629">
        <v>3.42</v>
      </c>
      <c r="F7" s="14">
        <v>149.75361583369013</v>
      </c>
      <c r="G7" s="333">
        <f t="shared" si="1"/>
        <v>12.546384166309878</v>
      </c>
      <c r="H7" s="333"/>
      <c r="I7" s="333">
        <f t="shared" si="2"/>
        <v>12.546384166309878</v>
      </c>
      <c r="J7" s="333">
        <f t="shared" si="4"/>
        <v>14.141955373924247</v>
      </c>
      <c r="K7" s="333">
        <f t="shared" si="5"/>
        <v>2.3260332467816909</v>
      </c>
      <c r="L7" s="333">
        <f t="shared" ref="L7:L23" si="6">G4</f>
        <v>-16.095551432822347</v>
      </c>
      <c r="M7" s="333">
        <v>0</v>
      </c>
      <c r="N7" s="630">
        <f t="shared" si="0"/>
        <v>974.6</v>
      </c>
      <c r="O7" s="631">
        <f t="shared" si="0"/>
        <v>3.42</v>
      </c>
      <c r="P7" s="632"/>
      <c r="Q7" s="627" t="s">
        <v>201</v>
      </c>
      <c r="R7" t="e">
        <f ca="1">S14/S16</f>
        <v>#NAME?</v>
      </c>
      <c r="T7" t="s">
        <v>499</v>
      </c>
      <c r="U7" t="e">
        <f ca="1">U6+2*(R14+2)*(R14+3)/(R10-R14-3)</f>
        <v>#NAME?</v>
      </c>
      <c r="W7" t="s">
        <v>26</v>
      </c>
      <c r="X7" s="293">
        <f>COUNTA(J3:M3)</f>
        <v>4</v>
      </c>
      <c r="Y7" s="5"/>
      <c r="Z7" s="5" t="s">
        <v>23</v>
      </c>
      <c r="AA7" s="293">
        <v>2</v>
      </c>
      <c r="AC7" t="e">
        <f t="array" aca="1" ref="AC7:AD10" ca="1">DURBIN(C4:D23,B4:B23,TRUE,AD5)</f>
        <v>#NAME?</v>
      </c>
      <c r="AD7" s="486" t="e">
        <f ca="1"/>
        <v>#NAME?</v>
      </c>
      <c r="AF7" t="s">
        <v>201</v>
      </c>
      <c r="AG7" t="e">
        <f ca="1">AH14/AH16</f>
        <v>#NAME?</v>
      </c>
      <c r="AI7" t="s">
        <v>499</v>
      </c>
      <c r="AJ7" t="e">
        <f ca="1">AJ6+2*(AG14+2)*(AG14+3)/(AG10-AG14-3)</f>
        <v>#NAME?</v>
      </c>
    </row>
    <row r="8" spans="1:38">
      <c r="A8" s="617">
        <f t="shared" si="3"/>
        <v>1999</v>
      </c>
      <c r="B8" s="628">
        <v>156.5</v>
      </c>
      <c r="C8" s="628">
        <v>1001.2</v>
      </c>
      <c r="D8" s="629">
        <v>3.3499999999999996</v>
      </c>
      <c r="F8" s="14">
        <v>154.47910936787841</v>
      </c>
      <c r="G8" s="333">
        <f t="shared" si="1"/>
        <v>2.020890632121592</v>
      </c>
      <c r="H8" s="333"/>
      <c r="I8" s="333">
        <f t="shared" si="2"/>
        <v>2.020890632121592</v>
      </c>
      <c r="J8" s="333">
        <f t="shared" si="4"/>
        <v>12.546384166309878</v>
      </c>
      <c r="K8" s="333">
        <f t="shared" si="5"/>
        <v>14.141955373924247</v>
      </c>
      <c r="L8" s="333">
        <f t="shared" si="6"/>
        <v>2.3260332467816909</v>
      </c>
      <c r="M8" s="333">
        <f t="shared" ref="M8:M23" si="7">G4</f>
        <v>-16.095551432822347</v>
      </c>
      <c r="N8" s="630">
        <f t="shared" si="0"/>
        <v>1001.2</v>
      </c>
      <c r="O8" s="631">
        <f t="shared" si="0"/>
        <v>3.3499999999999996</v>
      </c>
      <c r="P8" s="632"/>
      <c r="Q8" s="627" t="s">
        <v>209</v>
      </c>
      <c r="R8" t="e">
        <f ca="1">1-(1-R7)*(R10-1)/(R10-R14-1)</f>
        <v>#NAME?</v>
      </c>
      <c r="T8" s="380" t="s">
        <v>762</v>
      </c>
      <c r="U8" s="380" t="e">
        <f ca="1">R10*LN(S15/R10)+(R14+1)*LN(R10)</f>
        <v>#NAME?</v>
      </c>
      <c r="W8" t="s">
        <v>30</v>
      </c>
      <c r="X8" s="289" t="e">
        <f ca="1">CHIDIST(X6,X7)</f>
        <v>#NAME?</v>
      </c>
      <c r="Y8" s="5"/>
      <c r="Z8" s="28" t="s">
        <v>15</v>
      </c>
      <c r="AA8" s="293">
        <f>COUNT(A4:A23)</f>
        <v>20</v>
      </c>
      <c r="AC8" t="e">
        <f ca="1"/>
        <v>#NAME?</v>
      </c>
      <c r="AD8" s="337" t="e">
        <f ca="1"/>
        <v>#NAME?</v>
      </c>
      <c r="AF8" t="s">
        <v>209</v>
      </c>
      <c r="AG8" t="e">
        <f ca="1">1-(1-AG7)*(AG10-1)/(AG10-AG14-1)</f>
        <v>#NAME?</v>
      </c>
      <c r="AI8" s="380" t="s">
        <v>762</v>
      </c>
      <c r="AJ8" s="380" t="e">
        <f ca="1">AG10*LN(AH15/AG10)+(AG14+1)*LN(AG10)</f>
        <v>#NAME?</v>
      </c>
    </row>
    <row r="9" spans="1:38">
      <c r="A9" s="617">
        <f t="shared" si="3"/>
        <v>2000</v>
      </c>
      <c r="B9" s="628">
        <v>162.69999999999999</v>
      </c>
      <c r="C9" s="628">
        <v>1048.5</v>
      </c>
      <c r="D9" s="629">
        <v>2.9899999999999998</v>
      </c>
      <c r="F9" s="14">
        <v>163.20666081495773</v>
      </c>
      <c r="G9" s="333">
        <f t="shared" si="1"/>
        <v>-0.50666081495774051</v>
      </c>
      <c r="H9" s="333"/>
      <c r="I9" s="333">
        <f t="shared" si="2"/>
        <v>-0.50666081495774051</v>
      </c>
      <c r="J9" s="333">
        <f t="shared" si="4"/>
        <v>2.020890632121592</v>
      </c>
      <c r="K9" s="333">
        <f t="shared" si="5"/>
        <v>12.546384166309878</v>
      </c>
      <c r="L9" s="333">
        <f t="shared" si="6"/>
        <v>14.141955373924247</v>
      </c>
      <c r="M9" s="333">
        <f t="shared" si="7"/>
        <v>2.3260332467816909</v>
      </c>
      <c r="N9" s="630">
        <f t="shared" si="0"/>
        <v>1048.5</v>
      </c>
      <c r="O9" s="631">
        <f t="shared" si="0"/>
        <v>2.9899999999999998</v>
      </c>
      <c r="P9" s="632"/>
      <c r="Q9" s="627" t="s">
        <v>9</v>
      </c>
      <c r="R9" t="e">
        <f ca="1">SQRT(T15)</f>
        <v>#NAME?</v>
      </c>
      <c r="Z9" s="28" t="s">
        <v>969</v>
      </c>
      <c r="AA9" s="293" t="e">
        <f ca="1">AA11/AA10*R7/(1-R7)</f>
        <v>#NAME?</v>
      </c>
      <c r="AC9" t="e">
        <f ca="1"/>
        <v>#NAME?</v>
      </c>
      <c r="AD9" s="337" t="e">
        <f ca="1"/>
        <v>#NAME?</v>
      </c>
      <c r="AF9" t="s">
        <v>9</v>
      </c>
      <c r="AG9" t="e">
        <f ca="1">SQRT(AI15)</f>
        <v>#NAME?</v>
      </c>
    </row>
    <row r="10" spans="1:38">
      <c r="A10" s="617">
        <f t="shared" si="3"/>
        <v>2001</v>
      </c>
      <c r="B10" s="628">
        <v>166.2</v>
      </c>
      <c r="C10" s="628">
        <v>1077</v>
      </c>
      <c r="D10" s="629">
        <v>2.8099999999999996</v>
      </c>
      <c r="F10" s="14">
        <v>168.41444419921717</v>
      </c>
      <c r="G10" s="333">
        <f t="shared" si="1"/>
        <v>-2.2144441992171835</v>
      </c>
      <c r="H10" s="333"/>
      <c r="I10" s="333">
        <f t="shared" si="2"/>
        <v>-2.2144441992171835</v>
      </c>
      <c r="J10" s="333">
        <f t="shared" si="4"/>
        <v>-0.50666081495774051</v>
      </c>
      <c r="K10" s="333">
        <f t="shared" si="5"/>
        <v>2.020890632121592</v>
      </c>
      <c r="L10" s="333">
        <f t="shared" si="6"/>
        <v>12.546384166309878</v>
      </c>
      <c r="M10" s="333">
        <f t="shared" si="7"/>
        <v>14.141955373924247</v>
      </c>
      <c r="N10" s="630">
        <f t="shared" si="0"/>
        <v>1077</v>
      </c>
      <c r="O10" s="631">
        <f t="shared" si="0"/>
        <v>2.8099999999999996</v>
      </c>
      <c r="P10" s="632"/>
      <c r="Q10" s="634" t="s">
        <v>42</v>
      </c>
      <c r="R10" s="380">
        <f>COUNT(I4:I23)</f>
        <v>20</v>
      </c>
      <c r="Z10" s="28" t="s">
        <v>333</v>
      </c>
      <c r="AA10" s="293">
        <f>AA6</f>
        <v>4</v>
      </c>
      <c r="AC10" t="e">
        <f ca="1"/>
        <v>#NAME?</v>
      </c>
      <c r="AD10" s="376" t="e">
        <f ca="1"/>
        <v>#NAME?</v>
      </c>
      <c r="AF10" s="380" t="s">
        <v>42</v>
      </c>
      <c r="AG10" s="380">
        <f>COUNT(B4:B23)</f>
        <v>20</v>
      </c>
    </row>
    <row r="11" spans="1:38">
      <c r="A11" s="617">
        <f t="shared" si="3"/>
        <v>2002</v>
      </c>
      <c r="B11" s="628">
        <v>158.5</v>
      </c>
      <c r="C11" s="628">
        <v>1075.2</v>
      </c>
      <c r="D11" s="629">
        <v>2.7600000000000002</v>
      </c>
      <c r="F11" s="14">
        <v>168.17013500343717</v>
      </c>
      <c r="G11" s="333">
        <f t="shared" si="1"/>
        <v>-9.6701350034371671</v>
      </c>
      <c r="H11" s="333"/>
      <c r="I11" s="333">
        <f t="shared" si="2"/>
        <v>-9.6701350034371671</v>
      </c>
      <c r="J11" s="333">
        <f t="shared" si="4"/>
        <v>-2.2144441992171835</v>
      </c>
      <c r="K11" s="333">
        <f t="shared" si="5"/>
        <v>-0.50666081495774051</v>
      </c>
      <c r="L11" s="333">
        <f t="shared" si="6"/>
        <v>2.020890632121592</v>
      </c>
      <c r="M11" s="333">
        <f t="shared" si="7"/>
        <v>12.546384166309878</v>
      </c>
      <c r="N11" s="630">
        <f t="shared" si="0"/>
        <v>1075.2</v>
      </c>
      <c r="O11" s="631">
        <f t="shared" si="0"/>
        <v>2.7600000000000002</v>
      </c>
      <c r="P11" s="632"/>
      <c r="Q11" s="627"/>
      <c r="Z11" s="28" t="s">
        <v>334</v>
      </c>
      <c r="AA11" s="293">
        <f>AA8-AA7-AA6-1</f>
        <v>13</v>
      </c>
    </row>
    <row r="12" spans="1:38" ht="15.75" thickBot="1">
      <c r="A12" s="617">
        <f t="shared" si="3"/>
        <v>2003</v>
      </c>
      <c r="B12" s="628">
        <v>174.1</v>
      </c>
      <c r="C12" s="628">
        <v>1112.5</v>
      </c>
      <c r="D12" s="629">
        <v>2.06</v>
      </c>
      <c r="F12" s="14">
        <v>175.62619364292624</v>
      </c>
      <c r="G12" s="333">
        <f t="shared" si="1"/>
        <v>-1.5261936429262448</v>
      </c>
      <c r="H12" s="333"/>
      <c r="I12" s="333">
        <f t="shared" si="2"/>
        <v>-1.5261936429262448</v>
      </c>
      <c r="J12" s="333">
        <f t="shared" si="4"/>
        <v>-9.6701350034371671</v>
      </c>
      <c r="K12" s="333">
        <f t="shared" si="5"/>
        <v>-2.2144441992171835</v>
      </c>
      <c r="L12" s="333">
        <f t="shared" si="6"/>
        <v>-0.50666081495774051</v>
      </c>
      <c r="M12" s="333">
        <f t="shared" si="7"/>
        <v>2.020890632121592</v>
      </c>
      <c r="N12" s="630">
        <f t="shared" si="0"/>
        <v>1112.5</v>
      </c>
      <c r="O12" s="631">
        <f t="shared" si="0"/>
        <v>2.06</v>
      </c>
      <c r="P12" s="632"/>
      <c r="Q12" s="627" t="s">
        <v>210</v>
      </c>
      <c r="U12" s="617" t="s">
        <v>16</v>
      </c>
      <c r="V12" s="617">
        <v>0.05</v>
      </c>
      <c r="Z12" s="28" t="s">
        <v>30</v>
      </c>
      <c r="AA12" s="289" t="e">
        <f ca="1">FDIST(AA9,AA10,AA11)</f>
        <v>#NAME?</v>
      </c>
      <c r="AC12" t="s">
        <v>937</v>
      </c>
      <c r="AF12" t="s">
        <v>210</v>
      </c>
      <c r="AJ12" s="617" t="s">
        <v>16</v>
      </c>
      <c r="AK12" s="617">
        <v>0.05</v>
      </c>
    </row>
    <row r="13" spans="1:38" ht="15.75" thickTop="1">
      <c r="A13" s="617">
        <f t="shared" si="3"/>
        <v>2004</v>
      </c>
      <c r="B13" s="628">
        <v>197.9</v>
      </c>
      <c r="C13" s="628">
        <v>1175.9000000000001</v>
      </c>
      <c r="D13" s="629">
        <v>2.44</v>
      </c>
      <c r="F13" s="14">
        <v>186.13532721971757</v>
      </c>
      <c r="G13" s="333">
        <f t="shared" si="1"/>
        <v>11.764672780282439</v>
      </c>
      <c r="H13" s="333"/>
      <c r="I13" s="333">
        <f t="shared" si="2"/>
        <v>11.764672780282439</v>
      </c>
      <c r="J13" s="333">
        <f t="shared" si="4"/>
        <v>-1.5261936429262448</v>
      </c>
      <c r="K13" s="333">
        <f t="shared" si="5"/>
        <v>-9.6701350034371671</v>
      </c>
      <c r="L13" s="333">
        <f t="shared" si="6"/>
        <v>-2.2144441992171835</v>
      </c>
      <c r="M13" s="333">
        <f t="shared" si="7"/>
        <v>-0.50666081495774051</v>
      </c>
      <c r="N13" s="630">
        <f t="shared" si="0"/>
        <v>1175.9000000000001</v>
      </c>
      <c r="O13" s="631">
        <f t="shared" si="0"/>
        <v>2.44</v>
      </c>
      <c r="P13" s="632"/>
      <c r="Q13" s="635"/>
      <c r="R13" s="398" t="s">
        <v>26</v>
      </c>
      <c r="S13" s="398" t="s">
        <v>137</v>
      </c>
      <c r="T13" s="398" t="s">
        <v>156</v>
      </c>
      <c r="U13" s="398" t="s">
        <v>63</v>
      </c>
      <c r="V13" s="398" t="s">
        <v>30</v>
      </c>
      <c r="W13" s="398" t="s">
        <v>374</v>
      </c>
      <c r="AF13" s="398"/>
      <c r="AG13" s="398" t="s">
        <v>26</v>
      </c>
      <c r="AH13" s="398" t="s">
        <v>137</v>
      </c>
      <c r="AI13" s="398" t="s">
        <v>156</v>
      </c>
      <c r="AJ13" s="398" t="s">
        <v>63</v>
      </c>
      <c r="AK13" s="398" t="s">
        <v>30</v>
      </c>
      <c r="AL13" s="398" t="s">
        <v>374</v>
      </c>
    </row>
    <row r="14" spans="1:38">
      <c r="A14" s="617">
        <f t="shared" si="3"/>
        <v>2005</v>
      </c>
      <c r="B14" s="628">
        <v>217.6</v>
      </c>
      <c r="C14" s="628">
        <v>1244.0999999999999</v>
      </c>
      <c r="D14" s="629">
        <v>2.86</v>
      </c>
      <c r="F14" s="14">
        <v>197.42462273870368</v>
      </c>
      <c r="G14" s="333">
        <f t="shared" si="1"/>
        <v>20.175377261296319</v>
      </c>
      <c r="H14" s="333"/>
      <c r="I14" s="333">
        <f t="shared" si="2"/>
        <v>20.175377261296319</v>
      </c>
      <c r="J14" s="333">
        <f t="shared" si="4"/>
        <v>11.764672780282439</v>
      </c>
      <c r="K14" s="333">
        <f t="shared" si="5"/>
        <v>-1.5261936429262448</v>
      </c>
      <c r="L14" s="333">
        <f t="shared" si="6"/>
        <v>-9.6701350034371671</v>
      </c>
      <c r="M14" s="333">
        <f t="shared" si="7"/>
        <v>-2.2144441992171835</v>
      </c>
      <c r="N14" s="630">
        <f t="shared" si="0"/>
        <v>1244.0999999999999</v>
      </c>
      <c r="O14" s="631">
        <f t="shared" si="0"/>
        <v>2.86</v>
      </c>
      <c r="P14" s="632"/>
      <c r="Q14" s="627" t="s">
        <v>138</v>
      </c>
      <c r="R14">
        <f>COUNT(J4:O4)</f>
        <v>6</v>
      </c>
      <c r="S14" t="e">
        <f ca="1">DEVSQ(MMULT(DESIGN(J4:O23),R19:R25))</f>
        <v>#NAME?</v>
      </c>
      <c r="T14" t="e">
        <f ca="1">S14/R14</f>
        <v>#NAME?</v>
      </c>
      <c r="U14" t="e">
        <f ca="1">T14/T15</f>
        <v>#NAME?</v>
      </c>
      <c r="V14" t="e">
        <f ca="1">FDIST(U14,R14,R15)</f>
        <v>#NAME?</v>
      </c>
      <c r="W14" s="617" t="e">
        <f ca="1">IF(V14&lt;V12,"yes","no")</f>
        <v>#NAME?</v>
      </c>
      <c r="AC14" s="616" t="s">
        <v>52</v>
      </c>
      <c r="AD14" s="616" t="s">
        <v>30</v>
      </c>
      <c r="AF14" t="s">
        <v>138</v>
      </c>
      <c r="AG14">
        <f>COUNT(C4:D4)</f>
        <v>2</v>
      </c>
      <c r="AH14" t="e">
        <f ca="1">DEVSQ(MMULT(DESIGN(C4:D23),AG19:AG21))</f>
        <v>#NAME?</v>
      </c>
      <c r="AI14" t="e">
        <f ca="1">AH14/AG14</f>
        <v>#NAME?</v>
      </c>
      <c r="AJ14" t="e">
        <f ca="1">AI14/AI15</f>
        <v>#NAME?</v>
      </c>
      <c r="AK14" t="e">
        <f ca="1">FDIST(AJ14,AG14,AG15)</f>
        <v>#NAME?</v>
      </c>
      <c r="AL14" s="617" t="e">
        <f ca="1">IF(AK14&lt;AK12,"yes","no")</f>
        <v>#NAME?</v>
      </c>
    </row>
    <row r="15" spans="1:38">
      <c r="A15" s="617">
        <f t="shared" si="3"/>
        <v>2006</v>
      </c>
      <c r="B15" s="628">
        <v>198.3</v>
      </c>
      <c r="C15" s="628">
        <v>1236.8</v>
      </c>
      <c r="D15" s="629">
        <v>1.1200000000000001</v>
      </c>
      <c r="F15" s="14">
        <v>198.55305116766874</v>
      </c>
      <c r="G15" s="333">
        <f t="shared" si="1"/>
        <v>-0.2530511676687297</v>
      </c>
      <c r="H15" s="333"/>
      <c r="I15" s="333">
        <f t="shared" si="2"/>
        <v>-0.2530511676687297</v>
      </c>
      <c r="J15" s="333">
        <f t="shared" si="4"/>
        <v>20.175377261296319</v>
      </c>
      <c r="K15" s="333">
        <f t="shared" si="5"/>
        <v>11.764672780282439</v>
      </c>
      <c r="L15" s="333">
        <f t="shared" si="6"/>
        <v>-1.5261936429262448</v>
      </c>
      <c r="M15" s="333">
        <f t="shared" si="7"/>
        <v>-9.6701350034371671</v>
      </c>
      <c r="N15" s="630">
        <f t="shared" si="0"/>
        <v>1236.8</v>
      </c>
      <c r="O15" s="631">
        <f t="shared" si="0"/>
        <v>1.1200000000000001</v>
      </c>
      <c r="P15" s="632"/>
      <c r="Q15" s="627" t="s">
        <v>211</v>
      </c>
      <c r="R15">
        <f>R16-R14</f>
        <v>13</v>
      </c>
      <c r="S15" t="e">
        <f ca="1">S16-S14</f>
        <v>#NAME?</v>
      </c>
      <c r="T15" t="e">
        <f ca="1">S15/R15</f>
        <v>#NAME?</v>
      </c>
      <c r="AC15" s="617">
        <v>5</v>
      </c>
      <c r="AD15" t="e">
        <f ca="1">BGTEST($C$4:$D$23,$B$4:$B$23,AC15)</f>
        <v>#NAME?</v>
      </c>
      <c r="AF15" t="s">
        <v>211</v>
      </c>
      <c r="AG15">
        <f>AG16-AG14</f>
        <v>17</v>
      </c>
      <c r="AH15" t="e">
        <f ca="1">AH16-AH14</f>
        <v>#NAME?</v>
      </c>
      <c r="AI15" t="e">
        <f ca="1">AH15/AG15</f>
        <v>#NAME?</v>
      </c>
    </row>
    <row r="16" spans="1:38">
      <c r="A16" s="617">
        <f t="shared" si="3"/>
        <v>2007</v>
      </c>
      <c r="B16" s="628">
        <v>162.4</v>
      </c>
      <c r="C16" s="628">
        <v>1218.3</v>
      </c>
      <c r="D16" s="629">
        <v>0.36</v>
      </c>
      <c r="F16" s="14">
        <v>196.38138806685936</v>
      </c>
      <c r="G16" s="333">
        <f t="shared" si="1"/>
        <v>-33.981388066859353</v>
      </c>
      <c r="H16" s="333"/>
      <c r="I16" s="333">
        <f t="shared" si="2"/>
        <v>-33.981388066859353</v>
      </c>
      <c r="J16" s="333">
        <f t="shared" si="4"/>
        <v>-0.2530511676687297</v>
      </c>
      <c r="K16" s="333">
        <f t="shared" si="5"/>
        <v>20.175377261296319</v>
      </c>
      <c r="L16" s="333">
        <f t="shared" si="6"/>
        <v>11.764672780282439</v>
      </c>
      <c r="M16" s="333">
        <f t="shared" si="7"/>
        <v>-1.5261936429262448</v>
      </c>
      <c r="N16" s="630">
        <f t="shared" si="0"/>
        <v>1218.3</v>
      </c>
      <c r="O16" s="631">
        <f t="shared" si="0"/>
        <v>0.36</v>
      </c>
      <c r="P16" s="632"/>
      <c r="Q16" s="634" t="s">
        <v>1</v>
      </c>
      <c r="R16" s="380">
        <f>R10-1</f>
        <v>19</v>
      </c>
      <c r="S16" s="380">
        <f>DEVSQ(I4:I23)</f>
        <v>5043.8991509983143</v>
      </c>
      <c r="T16" s="380"/>
      <c r="U16" s="380"/>
      <c r="V16" s="380"/>
      <c r="W16" s="380"/>
      <c r="AC16" s="617">
        <f>AC15-1</f>
        <v>4</v>
      </c>
      <c r="AD16" t="e">
        <f ca="1">BGTEST($C$4:$D$23,$B$4:$B$23,AC16)</f>
        <v>#NAME?</v>
      </c>
      <c r="AF16" s="380" t="s">
        <v>1</v>
      </c>
      <c r="AG16" s="380">
        <f>AG10-1</f>
        <v>19</v>
      </c>
      <c r="AH16" s="380">
        <f>DEVSQ(B4:B23)</f>
        <v>31060.649499999996</v>
      </c>
      <c r="AI16" s="380"/>
      <c r="AJ16" s="380"/>
      <c r="AK16" s="380"/>
      <c r="AL16" s="380"/>
    </row>
    <row r="17" spans="1:39" ht="15.75" thickBot="1">
      <c r="A17" s="617">
        <f t="shared" si="3"/>
        <v>2008</v>
      </c>
      <c r="B17" s="628">
        <v>194.8</v>
      </c>
      <c r="C17" s="628">
        <v>1288.5</v>
      </c>
      <c r="D17" s="629">
        <v>2.4</v>
      </c>
      <c r="F17" s="14">
        <v>205.78537133288356</v>
      </c>
      <c r="G17" s="333">
        <f t="shared" si="1"/>
        <v>-10.985371332883545</v>
      </c>
      <c r="H17" s="333"/>
      <c r="I17" s="333">
        <f t="shared" si="2"/>
        <v>-10.985371332883545</v>
      </c>
      <c r="J17" s="333">
        <f t="shared" si="4"/>
        <v>-33.981388066859353</v>
      </c>
      <c r="K17" s="333">
        <f t="shared" si="5"/>
        <v>-0.2530511676687297</v>
      </c>
      <c r="L17" s="333">
        <f t="shared" si="6"/>
        <v>20.175377261296319</v>
      </c>
      <c r="M17" s="333">
        <f t="shared" si="7"/>
        <v>11.764672780282439</v>
      </c>
      <c r="N17" s="630">
        <f t="shared" si="0"/>
        <v>1288.5</v>
      </c>
      <c r="O17" s="631">
        <f t="shared" si="0"/>
        <v>2.4</v>
      </c>
      <c r="P17" s="632"/>
      <c r="Q17" s="627"/>
      <c r="AC17" s="617">
        <f t="shared" ref="AC17:AC19" si="8">AC16-1</f>
        <v>3</v>
      </c>
      <c r="AD17" t="e">
        <f ca="1">BGTEST($C$4:$D$23,$B$4:$B$23,AC17)</f>
        <v>#NAME?</v>
      </c>
    </row>
    <row r="18" spans="1:39" ht="15.75" thickTop="1">
      <c r="A18" s="617">
        <f t="shared" si="3"/>
        <v>2009</v>
      </c>
      <c r="B18" s="628">
        <v>221.1</v>
      </c>
      <c r="C18" s="628">
        <v>1359.6</v>
      </c>
      <c r="D18" s="629">
        <v>1.79</v>
      </c>
      <c r="F18" s="14">
        <v>218.99930489830157</v>
      </c>
      <c r="G18" s="333">
        <f t="shared" si="1"/>
        <v>2.1006951016984203</v>
      </c>
      <c r="H18" s="333"/>
      <c r="I18" s="333">
        <f t="shared" si="2"/>
        <v>2.1006951016984203</v>
      </c>
      <c r="J18" s="333">
        <f t="shared" si="4"/>
        <v>-10.985371332883545</v>
      </c>
      <c r="K18" s="333">
        <f t="shared" si="5"/>
        <v>-33.981388066859353</v>
      </c>
      <c r="L18" s="333">
        <f t="shared" si="6"/>
        <v>-0.2530511676687297</v>
      </c>
      <c r="M18" s="333">
        <f t="shared" si="7"/>
        <v>20.175377261296319</v>
      </c>
      <c r="N18" s="630">
        <f t="shared" si="0"/>
        <v>1359.6</v>
      </c>
      <c r="O18" s="631">
        <f t="shared" si="0"/>
        <v>1.79</v>
      </c>
      <c r="P18" s="632"/>
      <c r="Q18" s="635"/>
      <c r="R18" s="398" t="s">
        <v>600</v>
      </c>
      <c r="S18" s="398" t="s">
        <v>503</v>
      </c>
      <c r="T18" s="398" t="s">
        <v>27</v>
      </c>
      <c r="U18" s="398" t="s">
        <v>30</v>
      </c>
      <c r="V18" s="398" t="s">
        <v>13</v>
      </c>
      <c r="W18" s="398" t="s">
        <v>14</v>
      </c>
      <c r="X18" s="398" t="s">
        <v>750</v>
      </c>
      <c r="Y18" s="180"/>
      <c r="Z18" s="180"/>
      <c r="AA18" s="180"/>
      <c r="AC18" s="617">
        <f t="shared" si="8"/>
        <v>2</v>
      </c>
      <c r="AD18" t="e">
        <f ca="1">BGTEST($C$4:$D$23,$B$4:$B$23,AC18)</f>
        <v>#NAME?</v>
      </c>
      <c r="AF18" s="398"/>
      <c r="AG18" s="398" t="s">
        <v>600</v>
      </c>
      <c r="AH18" s="398" t="s">
        <v>503</v>
      </c>
      <c r="AI18" s="398" t="s">
        <v>27</v>
      </c>
      <c r="AJ18" s="398" t="s">
        <v>30</v>
      </c>
      <c r="AK18" s="398" t="s">
        <v>13</v>
      </c>
      <c r="AL18" s="398" t="s">
        <v>14</v>
      </c>
      <c r="AM18" s="398" t="s">
        <v>750</v>
      </c>
    </row>
    <row r="19" spans="1:39">
      <c r="A19" s="617">
        <f t="shared" si="3"/>
        <v>2010</v>
      </c>
      <c r="B19" s="628">
        <v>257.39999999999998</v>
      </c>
      <c r="C19" s="628">
        <v>1428</v>
      </c>
      <c r="D19" s="629">
        <v>2.27</v>
      </c>
      <c r="F19" s="14">
        <v>230.24068794397411</v>
      </c>
      <c r="G19" s="333">
        <f t="shared" si="1"/>
        <v>27.159312056025868</v>
      </c>
      <c r="H19" s="333"/>
      <c r="I19" s="333">
        <f t="shared" si="2"/>
        <v>27.159312056025868</v>
      </c>
      <c r="J19" s="333">
        <f t="shared" si="4"/>
        <v>2.1006951016984203</v>
      </c>
      <c r="K19" s="333">
        <f t="shared" si="5"/>
        <v>-10.985371332883545</v>
      </c>
      <c r="L19" s="333">
        <f t="shared" si="6"/>
        <v>-33.981388066859353</v>
      </c>
      <c r="M19" s="333">
        <f t="shared" si="7"/>
        <v>-0.2530511676687297</v>
      </c>
      <c r="N19" s="630">
        <f t="shared" si="0"/>
        <v>1428</v>
      </c>
      <c r="O19" s="631">
        <f t="shared" si="0"/>
        <v>2.27</v>
      </c>
      <c r="P19" s="632"/>
      <c r="Q19" s="627" t="s">
        <v>212</v>
      </c>
      <c r="R19" t="e">
        <f t="array" aca="1" ref="R19:S25" ca="1">RegCoeff(J4:O23,I4:I23)</f>
        <v>#NAME?</v>
      </c>
      <c r="S19" t="e">
        <f ca="1"/>
        <v>#NAME?</v>
      </c>
      <c r="T19" t="e">
        <f ca="1">R19/S19</f>
        <v>#NAME?</v>
      </c>
      <c r="U19" t="e">
        <f ca="1">TDIST(ABS(T19),$R$15,2)</f>
        <v>#NAME?</v>
      </c>
      <c r="V19" t="e">
        <f ca="1">R19-TINV(V$12,$R$15)*S19</f>
        <v>#NAME?</v>
      </c>
      <c r="W19" t="e">
        <f ca="1">R19+TINV(V$12,$R$15)*S19</f>
        <v>#NAME?</v>
      </c>
      <c r="AC19" s="618">
        <f t="shared" si="8"/>
        <v>1</v>
      </c>
      <c r="AD19" s="380" t="e">
        <f ca="1">BGTEST($C$4:$D$23,$B$4:$B$23,AC19)</f>
        <v>#NAME?</v>
      </c>
      <c r="AF19" t="s">
        <v>212</v>
      </c>
      <c r="AG19" t="e">
        <f t="array" aca="1" ref="AG19:AH21" ca="1">RegCoeff(C4:D23,B4:B23)</f>
        <v>#NAME?</v>
      </c>
      <c r="AH19" t="e">
        <f ca="1"/>
        <v>#NAME?</v>
      </c>
      <c r="AI19" t="e">
        <f ca="1">AG19/AH19</f>
        <v>#NAME?</v>
      </c>
      <c r="AJ19" t="e">
        <f ca="1">TDIST(ABS(AI19),$AG$15,2)</f>
        <v>#NAME?</v>
      </c>
      <c r="AK19" t="e">
        <f ca="1">AG19-TINV(AK$12,$AG$15)*AH19</f>
        <v>#NAME?</v>
      </c>
      <c r="AL19" t="e">
        <f ca="1">AG19+TINV(AK$12,$AG$15)*AH19</f>
        <v>#NAME?</v>
      </c>
    </row>
    <row r="20" spans="1:39">
      <c r="A20" s="617">
        <f t="shared" si="3"/>
        <v>2011</v>
      </c>
      <c r="B20" s="628">
        <v>258.5</v>
      </c>
      <c r="C20" s="628">
        <v>1469.8</v>
      </c>
      <c r="D20" s="629">
        <v>3.73</v>
      </c>
      <c r="F20" s="14">
        <v>235.50203760933928</v>
      </c>
      <c r="G20" s="333">
        <f t="shared" si="1"/>
        <v>22.997962390660717</v>
      </c>
      <c r="H20" s="333"/>
      <c r="I20" s="333">
        <f t="shared" si="2"/>
        <v>22.997962390660717</v>
      </c>
      <c r="J20" s="333">
        <f t="shared" si="4"/>
        <v>27.159312056025868</v>
      </c>
      <c r="K20" s="333">
        <f t="shared" si="5"/>
        <v>2.1006951016984203</v>
      </c>
      <c r="L20" s="333">
        <f t="shared" si="6"/>
        <v>-10.985371332883545</v>
      </c>
      <c r="M20" s="333">
        <f t="shared" si="7"/>
        <v>-33.981388066859353</v>
      </c>
      <c r="N20" s="630">
        <f t="shared" si="0"/>
        <v>1469.8</v>
      </c>
      <c r="O20" s="631">
        <f t="shared" si="0"/>
        <v>3.73</v>
      </c>
      <c r="P20" s="632"/>
      <c r="Q20" s="627" t="str">
        <f t="array" ref="Q20:Q25">TRANSPOSE(J3:O3)</f>
        <v>εi-1</v>
      </c>
      <c r="R20" t="e">
        <f ca="1"/>
        <v>#NAME?</v>
      </c>
      <c r="S20" t="e">
        <f ca="1"/>
        <v>#NAME?</v>
      </c>
      <c r="T20" t="e">
        <f t="shared" ref="T20:T25" ca="1" si="9">R20/S20</f>
        <v>#NAME?</v>
      </c>
      <c r="U20" t="e">
        <f t="shared" ref="U20:U25" ca="1" si="10">TDIST(ABS(T20),$R$15,2)</f>
        <v>#NAME?</v>
      </c>
      <c r="V20" t="e">
        <f t="shared" ref="V20:V25" ca="1" si="11">R20-TINV(V$12,$R$15)*S20</f>
        <v>#NAME?</v>
      </c>
      <c r="W20" t="e">
        <f t="shared" ref="W20:W25" ca="1" si="12">R20+TINV(V$12,$R$15)*S20</f>
        <v>#NAME?</v>
      </c>
      <c r="X20" t="e">
        <f ca="1">VIF(J4:O23,1)</f>
        <v>#NAME?</v>
      </c>
      <c r="AF20" t="str">
        <f t="array" ref="AF20:AF21">TRANSPOSE(C3:D3)</f>
        <v>GNP</v>
      </c>
      <c r="AG20" t="e">
        <f ca="1"/>
        <v>#NAME?</v>
      </c>
      <c r="AH20" t="e">
        <f ca="1"/>
        <v>#NAME?</v>
      </c>
      <c r="AI20" t="e">
        <f t="shared" ref="AI20:AI21" ca="1" si="13">AG20/AH20</f>
        <v>#NAME?</v>
      </c>
      <c r="AJ20" t="e">
        <f ca="1">TDIST(ABS(AI20),$AG$15,2)</f>
        <v>#NAME?</v>
      </c>
      <c r="AK20" t="e">
        <f ca="1">AG20-TINV(AK$12,$AG$15)*AH20</f>
        <v>#NAME?</v>
      </c>
      <c r="AL20" t="e">
        <f ca="1">AG20+TINV(AK$12,$AG$15)*AH20</f>
        <v>#NAME?</v>
      </c>
      <c r="AM20" t="e">
        <f ca="1">VIF(C4:D23,1)</f>
        <v>#NAME?</v>
      </c>
    </row>
    <row r="21" spans="1:39">
      <c r="A21" s="617">
        <f t="shared" si="3"/>
        <v>2012</v>
      </c>
      <c r="B21" s="628">
        <v>226.1</v>
      </c>
      <c r="C21" s="628">
        <v>1465.8</v>
      </c>
      <c r="D21" s="629">
        <v>4.7300000000000004</v>
      </c>
      <c r="F21" s="14">
        <v>233.42733360147764</v>
      </c>
      <c r="G21" s="333">
        <f t="shared" si="1"/>
        <v>-7.3273336014776476</v>
      </c>
      <c r="H21" s="333"/>
      <c r="I21" s="333">
        <f t="shared" si="2"/>
        <v>-7.3273336014776476</v>
      </c>
      <c r="J21" s="333">
        <f t="shared" si="4"/>
        <v>22.997962390660717</v>
      </c>
      <c r="K21" s="333">
        <f t="shared" si="5"/>
        <v>27.159312056025868</v>
      </c>
      <c r="L21" s="333">
        <f t="shared" si="6"/>
        <v>2.1006951016984203</v>
      </c>
      <c r="M21" s="333">
        <f t="shared" si="7"/>
        <v>-10.985371332883545</v>
      </c>
      <c r="N21" s="630">
        <f t="shared" si="0"/>
        <v>1465.8</v>
      </c>
      <c r="O21" s="631">
        <f t="shared" si="0"/>
        <v>4.7300000000000004</v>
      </c>
      <c r="P21" s="632"/>
      <c r="Q21" s="627" t="str">
        <v>εi-2</v>
      </c>
      <c r="R21" t="e">
        <f ca="1"/>
        <v>#NAME?</v>
      </c>
      <c r="S21" t="e">
        <f ca="1"/>
        <v>#NAME?</v>
      </c>
      <c r="T21" t="e">
        <f t="shared" ca="1" si="9"/>
        <v>#NAME?</v>
      </c>
      <c r="U21" t="e">
        <f t="shared" ca="1" si="10"/>
        <v>#NAME?</v>
      </c>
      <c r="V21" t="e">
        <f t="shared" ca="1" si="11"/>
        <v>#NAME?</v>
      </c>
      <c r="W21" t="e">
        <f t="shared" ca="1" si="12"/>
        <v>#NAME?</v>
      </c>
      <c r="X21" t="e">
        <f ca="1">VIF(J4:O23,2)</f>
        <v>#NAME?</v>
      </c>
      <c r="AC21" t="s">
        <v>970</v>
      </c>
      <c r="AF21" s="380" t="str">
        <v>Interest</v>
      </c>
      <c r="AG21" s="380" t="e">
        <f ca="1"/>
        <v>#NAME?</v>
      </c>
      <c r="AH21" s="380" t="e">
        <f ca="1"/>
        <v>#NAME?</v>
      </c>
      <c r="AI21" s="380" t="e">
        <f t="shared" ca="1" si="13"/>
        <v>#NAME?</v>
      </c>
      <c r="AJ21" s="380" t="e">
        <f ca="1">TDIST(ABS(AI21),$AG$15,2)</f>
        <v>#NAME?</v>
      </c>
      <c r="AK21" s="380" t="e">
        <f ca="1">AG21-TINV(AK$12,$AG$15)*AH21</f>
        <v>#NAME?</v>
      </c>
      <c r="AL21" s="380" t="e">
        <f ca="1">AG21+TINV(AK$12,$AG$15)*AH21</f>
        <v>#NAME?</v>
      </c>
      <c r="AM21" s="380" t="e">
        <f ca="1">VIF(C4:D23,2)</f>
        <v>#NAME?</v>
      </c>
    </row>
    <row r="22" spans="1:39">
      <c r="A22" s="617">
        <f t="shared" si="3"/>
        <v>2013</v>
      </c>
      <c r="B22" s="628">
        <v>242.1</v>
      </c>
      <c r="C22" s="628">
        <v>1502</v>
      </c>
      <c r="D22" s="629">
        <v>4.1099999999999994</v>
      </c>
      <c r="F22" s="14">
        <v>240.58167860583032</v>
      </c>
      <c r="G22" s="333">
        <f t="shared" si="1"/>
        <v>1.5183213941696749</v>
      </c>
      <c r="H22" s="333"/>
      <c r="I22" s="333">
        <f t="shared" si="2"/>
        <v>1.5183213941696749</v>
      </c>
      <c r="J22" s="333">
        <f t="shared" si="4"/>
        <v>-7.3273336014776476</v>
      </c>
      <c r="K22" s="333">
        <f t="shared" si="5"/>
        <v>22.997962390660717</v>
      </c>
      <c r="L22" s="333">
        <f t="shared" si="6"/>
        <v>27.159312056025868</v>
      </c>
      <c r="M22" s="333">
        <f t="shared" si="7"/>
        <v>2.1006951016984203</v>
      </c>
      <c r="N22" s="630">
        <f t="shared" si="0"/>
        <v>1502</v>
      </c>
      <c r="O22" s="631">
        <f t="shared" si="0"/>
        <v>4.1099999999999994</v>
      </c>
      <c r="P22" s="632"/>
      <c r="Q22" s="627" t="str">
        <v>εi-3</v>
      </c>
      <c r="R22" t="e">
        <f ca="1"/>
        <v>#NAME?</v>
      </c>
      <c r="S22" t="e">
        <f ca="1"/>
        <v>#NAME?</v>
      </c>
      <c r="T22" t="e">
        <f t="shared" ca="1" si="9"/>
        <v>#NAME?</v>
      </c>
      <c r="U22" t="e">
        <f t="shared" ca="1" si="10"/>
        <v>#NAME?</v>
      </c>
      <c r="V22" t="e">
        <f t="shared" ca="1" si="11"/>
        <v>#NAME?</v>
      </c>
      <c r="W22" t="e">
        <f t="shared" ca="1" si="12"/>
        <v>#NAME?</v>
      </c>
      <c r="X22" t="e">
        <f ca="1">VIF(J4:O23,3)</f>
        <v>#NAME?</v>
      </c>
    </row>
    <row r="23" spans="1:39">
      <c r="A23" s="618">
        <f t="shared" si="3"/>
        <v>2014</v>
      </c>
      <c r="B23" s="637">
        <v>200.4</v>
      </c>
      <c r="C23" s="637">
        <v>1475.5</v>
      </c>
      <c r="D23" s="638">
        <v>5.1099999999999994</v>
      </c>
      <c r="F23" s="639">
        <v>234.59147514102128</v>
      </c>
      <c r="G23" s="640">
        <f t="shared" si="1"/>
        <v>-34.191475141021272</v>
      </c>
      <c r="H23" s="641"/>
      <c r="I23" s="640">
        <f t="shared" si="2"/>
        <v>-34.191475141021272</v>
      </c>
      <c r="J23" s="640">
        <f t="shared" si="4"/>
        <v>1.5183213941696749</v>
      </c>
      <c r="K23" s="640">
        <f t="shared" si="5"/>
        <v>-7.3273336014776476</v>
      </c>
      <c r="L23" s="640">
        <f t="shared" si="6"/>
        <v>22.997962390660717</v>
      </c>
      <c r="M23" s="640">
        <f t="shared" si="7"/>
        <v>27.159312056025868</v>
      </c>
      <c r="N23" s="642">
        <f t="shared" si="0"/>
        <v>1475.5</v>
      </c>
      <c r="O23" s="643">
        <f t="shared" si="0"/>
        <v>5.1099999999999994</v>
      </c>
      <c r="P23" s="632"/>
      <c r="Q23" s="627" t="str">
        <v>εi-4</v>
      </c>
      <c r="R23" t="e">
        <f ca="1"/>
        <v>#NAME?</v>
      </c>
      <c r="S23" t="e">
        <f ca="1"/>
        <v>#NAME?</v>
      </c>
      <c r="T23" t="e">
        <f t="shared" ca="1" si="9"/>
        <v>#NAME?</v>
      </c>
      <c r="U23" t="e">
        <f t="shared" ca="1" si="10"/>
        <v>#NAME?</v>
      </c>
      <c r="V23" t="e">
        <f t="shared" ca="1" si="11"/>
        <v>#NAME?</v>
      </c>
      <c r="W23" t="e">
        <f t="shared" ca="1" si="12"/>
        <v>#NAME?</v>
      </c>
      <c r="X23" t="e">
        <f ca="1">VIF(J4:O23,4)</f>
        <v>#NAME?</v>
      </c>
      <c r="AC23" s="616" t="s">
        <v>52</v>
      </c>
      <c r="AD23" s="616" t="s">
        <v>30</v>
      </c>
    </row>
    <row r="24" spans="1:39">
      <c r="Q24" s="203" t="str">
        <v>GNP</v>
      </c>
      <c r="R24" t="e">
        <f ca="1"/>
        <v>#NAME?</v>
      </c>
      <c r="S24" t="e">
        <f ca="1"/>
        <v>#NAME?</v>
      </c>
      <c r="T24" t="e">
        <f t="shared" ca="1" si="9"/>
        <v>#NAME?</v>
      </c>
      <c r="U24" t="e">
        <f t="shared" ca="1" si="10"/>
        <v>#NAME?</v>
      </c>
      <c r="V24" t="e">
        <f t="shared" ca="1" si="11"/>
        <v>#NAME?</v>
      </c>
      <c r="W24" t="e">
        <f t="shared" ca="1" si="12"/>
        <v>#NAME?</v>
      </c>
      <c r="X24" t="e">
        <f ca="1">VIF(J4:O23,5)</f>
        <v>#NAME?</v>
      </c>
      <c r="AC24" s="617">
        <v>5</v>
      </c>
      <c r="AD24" t="e">
        <f ca="1">BGTEST($C$4:$D$23,$B$4:$B$23,AC24,FALSE)</f>
        <v>#NAME?</v>
      </c>
    </row>
    <row r="25" spans="1:39">
      <c r="Q25" s="636" t="str">
        <v>Interest</v>
      </c>
      <c r="R25" s="380" t="e">
        <f ca="1"/>
        <v>#NAME?</v>
      </c>
      <c r="S25" s="380" t="e">
        <f ca="1"/>
        <v>#NAME?</v>
      </c>
      <c r="T25" s="380" t="e">
        <f t="shared" ca="1" si="9"/>
        <v>#NAME?</v>
      </c>
      <c r="U25" s="380" t="e">
        <f t="shared" ca="1" si="10"/>
        <v>#NAME?</v>
      </c>
      <c r="V25" s="380" t="e">
        <f t="shared" ca="1" si="11"/>
        <v>#NAME?</v>
      </c>
      <c r="W25" s="380" t="e">
        <f t="shared" ca="1" si="12"/>
        <v>#NAME?</v>
      </c>
      <c r="X25" s="380" t="e">
        <f ca="1">VIF(J4:O23,6)</f>
        <v>#NAME?</v>
      </c>
      <c r="Y25" s="5"/>
      <c r="Z25" s="5"/>
      <c r="AA25" s="5"/>
      <c r="AC25" s="617">
        <f>AC24-1</f>
        <v>4</v>
      </c>
      <c r="AD25" t="e">
        <f ca="1">BGTEST($C$4:$D$23,$B$4:$B$23,AC25,FALSE)</f>
        <v>#NAME?</v>
      </c>
    </row>
    <row r="26" spans="1:39"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C26" s="617">
        <f t="shared" ref="AC26:AC28" si="14">AC25-1</f>
        <v>3</v>
      </c>
      <c r="AD26" t="e">
        <f ca="1">BGTEST($C$4:$D$23,$B$4:$B$23,AC26,FALSE)</f>
        <v>#NAME?</v>
      </c>
    </row>
    <row r="27" spans="1:39"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C27" s="617">
        <f t="shared" si="14"/>
        <v>2</v>
      </c>
      <c r="AD27" t="e">
        <f ca="1">BGTEST($C$4:$D$23,$B$4:$B$23,AC27,FALSE)</f>
        <v>#NAME?</v>
      </c>
    </row>
    <row r="28" spans="1:39"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C28" s="618">
        <f t="shared" si="14"/>
        <v>1</v>
      </c>
      <c r="AD28" s="380" t="e">
        <f ca="1">BGTEST($C$4:$D$23,$B$4:$B$23,AC28,FALSE)</f>
        <v>#NAME?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7"/>
  <dimension ref="A1:CX29"/>
  <sheetViews>
    <sheetView workbookViewId="0">
      <selection activeCell="C21" sqref="C21"/>
    </sheetView>
  </sheetViews>
  <sheetFormatPr defaultRowHeight="15"/>
  <cols>
    <col min="1" max="1" width="6.85546875" customWidth="1"/>
    <col min="2" max="4" width="7.7109375" customWidth="1"/>
    <col min="5" max="5" width="3.28515625" customWidth="1"/>
    <col min="8" max="8" width="2.7109375" customWidth="1"/>
    <col min="12" max="12" width="2.7109375" customWidth="1"/>
    <col min="15" max="15" width="2.7109375" customWidth="1"/>
    <col min="19" max="19" width="2.7109375" customWidth="1"/>
    <col min="22" max="22" width="2.7109375" customWidth="1"/>
    <col min="26" max="26" width="2.7109375" customWidth="1"/>
    <col min="29" max="29" width="2.7109375" customWidth="1"/>
    <col min="33" max="33" width="2.7109375" customWidth="1"/>
    <col min="36" max="36" width="2.7109375" customWidth="1"/>
    <col min="40" max="40" width="2.7109375" customWidth="1"/>
    <col min="43" max="43" width="2.7109375" customWidth="1"/>
    <col min="47" max="47" width="2.7109375" customWidth="1"/>
    <col min="50" max="50" width="2.7109375" customWidth="1"/>
    <col min="54" max="54" width="2.7109375" customWidth="1"/>
    <col min="57" max="57" width="2.7109375" customWidth="1"/>
    <col min="61" max="61" width="2.7109375" customWidth="1"/>
    <col min="64" max="64" width="2.7109375" customWidth="1"/>
    <col min="68" max="68" width="2.7109375" customWidth="1"/>
    <col min="71" max="71" width="2.7109375" customWidth="1"/>
    <col min="75" max="75" width="2.7109375" customWidth="1"/>
    <col min="78" max="78" width="2.7109375" customWidth="1"/>
    <col min="82" max="82" width="2.7109375" customWidth="1"/>
    <col min="85" max="85" width="2.7109375" customWidth="1"/>
    <col min="89" max="89" width="2.7109375" customWidth="1"/>
    <col min="92" max="92" width="2.7109375" customWidth="1"/>
    <col min="96" max="96" width="2.7109375" customWidth="1"/>
    <col min="99" max="99" width="2.7109375" customWidth="1"/>
  </cols>
  <sheetData>
    <row r="1" spans="1:102">
      <c r="A1" s="1" t="s">
        <v>971</v>
      </c>
    </row>
    <row r="3" spans="1:102" ht="18">
      <c r="A3" s="583" t="s">
        <v>657</v>
      </c>
      <c r="B3" s="583" t="s">
        <v>682</v>
      </c>
      <c r="C3" s="583" t="s">
        <v>531</v>
      </c>
      <c r="D3" s="583" t="s">
        <v>395</v>
      </c>
      <c r="E3" s="655"/>
      <c r="F3" s="656" t="s">
        <v>638</v>
      </c>
      <c r="G3" s="656" t="s">
        <v>972</v>
      </c>
      <c r="I3" s="657" t="s">
        <v>973</v>
      </c>
      <c r="J3" s="303" t="e">
        <f ca="1">RegCoeff(G4:G13,G5:G14,FALSE)</f>
        <v>#NAME?</v>
      </c>
      <c r="M3" s="656" t="s">
        <v>638</v>
      </c>
      <c r="N3" s="656" t="s">
        <v>972</v>
      </c>
      <c r="P3" s="657" t="s">
        <v>973</v>
      </c>
      <c r="Q3" s="303" t="e">
        <f ca="1">RegCoeff(N4:N13,N5:N14,FALSE)</f>
        <v>#NAME?</v>
      </c>
      <c r="T3" s="656" t="s">
        <v>638</v>
      </c>
      <c r="U3" s="656" t="s">
        <v>972</v>
      </c>
      <c r="W3" s="657" t="s">
        <v>973</v>
      </c>
      <c r="X3" s="303" t="e">
        <f ca="1">RegCoeff(U4:U13,U5:U14,FALSE)</f>
        <v>#NAME?</v>
      </c>
      <c r="AA3" s="656" t="s">
        <v>638</v>
      </c>
      <c r="AB3" s="656" t="s">
        <v>972</v>
      </c>
      <c r="AD3" s="657" t="s">
        <v>973</v>
      </c>
      <c r="AE3" s="303" t="e">
        <f ca="1">RegCoeff(AB4:AB13,AB5:AB14,FALSE)</f>
        <v>#NAME?</v>
      </c>
      <c r="AH3" s="656" t="s">
        <v>638</v>
      </c>
      <c r="AI3" s="656" t="s">
        <v>972</v>
      </c>
      <c r="AK3" s="657" t="s">
        <v>973</v>
      </c>
      <c r="AL3" s="303" t="e">
        <f ca="1">RegCoeff(AI4:AI13,AI5:AI14,FALSE)</f>
        <v>#NAME?</v>
      </c>
      <c r="AO3" s="656" t="s">
        <v>638</v>
      </c>
      <c r="AP3" s="656" t="s">
        <v>972</v>
      </c>
      <c r="AR3" s="657" t="s">
        <v>973</v>
      </c>
      <c r="AS3" s="303" t="e">
        <f ca="1">RegCoeff(AP4:AP13,AP5:AP14,FALSE)</f>
        <v>#NAME?</v>
      </c>
      <c r="AV3" s="656" t="s">
        <v>638</v>
      </c>
      <c r="AW3" s="656" t="s">
        <v>972</v>
      </c>
      <c r="AY3" s="657" t="s">
        <v>973</v>
      </c>
      <c r="AZ3" s="303" t="e">
        <f ca="1">RegCoeff(AW4:AW13,AW5:AW14,FALSE)</f>
        <v>#NAME?</v>
      </c>
      <c r="BC3" s="656" t="s">
        <v>638</v>
      </c>
      <c r="BD3" s="656" t="s">
        <v>972</v>
      </c>
      <c r="BF3" s="657" t="s">
        <v>973</v>
      </c>
      <c r="BG3" s="303" t="e">
        <f ca="1">RegCoeff(BD4:BD13,BD5:BD14,FALSE)</f>
        <v>#NAME?</v>
      </c>
      <c r="BJ3" s="656" t="s">
        <v>638</v>
      </c>
      <c r="BK3" s="656" t="s">
        <v>972</v>
      </c>
      <c r="BM3" s="657" t="s">
        <v>973</v>
      </c>
      <c r="BN3" s="303" t="e">
        <f ca="1">RegCoeff(BK4:BK13,BK5:BK14,FALSE)</f>
        <v>#NAME?</v>
      </c>
      <c r="BQ3" s="656" t="s">
        <v>638</v>
      </c>
      <c r="BR3" s="656" t="s">
        <v>972</v>
      </c>
      <c r="BT3" s="657" t="s">
        <v>973</v>
      </c>
      <c r="BU3" s="303" t="e">
        <f ca="1">RegCoeff(BR4:BR13,BR5:BR14,FALSE)</f>
        <v>#NAME?</v>
      </c>
      <c r="BX3" s="656" t="s">
        <v>638</v>
      </c>
      <c r="BY3" s="656" t="s">
        <v>972</v>
      </c>
      <c r="CA3" s="657" t="s">
        <v>973</v>
      </c>
      <c r="CB3" s="303" t="e">
        <f ca="1">RegCoeff(BY4:BY13,BY5:BY14,FALSE)</f>
        <v>#NAME?</v>
      </c>
      <c r="CE3" s="656" t="s">
        <v>638</v>
      </c>
      <c r="CF3" s="656" t="s">
        <v>972</v>
      </c>
      <c r="CH3" s="657" t="s">
        <v>973</v>
      </c>
      <c r="CI3" s="303" t="e">
        <f ca="1">RegCoeff(CF4:CF13,CF5:CF14,FALSE)</f>
        <v>#NAME?</v>
      </c>
      <c r="CL3" s="656" t="s">
        <v>638</v>
      </c>
      <c r="CM3" s="656" t="s">
        <v>972</v>
      </c>
      <c r="CO3" s="657" t="s">
        <v>973</v>
      </c>
      <c r="CP3" s="303" t="e">
        <f ca="1">RegCoeff(CM4:CM13,CM5:CM14,FALSE)</f>
        <v>#NAME?</v>
      </c>
      <c r="CS3" s="656" t="s">
        <v>638</v>
      </c>
      <c r="CT3" s="656" t="s">
        <v>972</v>
      </c>
      <c r="CV3" s="657" t="s">
        <v>973</v>
      </c>
      <c r="CW3" s="303" t="e">
        <f ca="1">RegCoeff(CT4:CT13,CT5:CT14,FALSE)</f>
        <v>#NAME?</v>
      </c>
    </row>
    <row r="4" spans="1:102" ht="15.75" thickBot="1">
      <c r="A4" s="617">
        <v>2000</v>
      </c>
      <c r="B4" s="617">
        <v>30</v>
      </c>
      <c r="C4" s="617">
        <v>20</v>
      </c>
      <c r="D4" s="617">
        <v>65</v>
      </c>
      <c r="F4">
        <f t="array" ref="F4:F14">TREND(D4:D14,B4:C14)</f>
        <v>62.678719648905208</v>
      </c>
      <c r="G4">
        <f>D4-F4</f>
        <v>2.3212803510947921</v>
      </c>
      <c r="M4" t="e">
        <f t="array" aca="1" ref="M4:M14" ca="1">MMULT($B4:$C14,J8:J9)+J6</f>
        <v>#NAME?</v>
      </c>
      <c r="N4" t="e">
        <f ca="1">$D4-M4</f>
        <v>#NAME?</v>
      </c>
      <c r="T4" t="e">
        <f t="array" aca="1" ref="T4:T14" ca="1">MMULT($B4:$C14,Q8:Q9)+Q6</f>
        <v>#NAME?</v>
      </c>
      <c r="U4" t="e">
        <f ca="1">$D4-T4</f>
        <v>#NAME?</v>
      </c>
      <c r="AA4" t="e">
        <f t="array" aca="1" ref="AA4:AA14" ca="1">MMULT($B4:$C14,X8:X9)+X6</f>
        <v>#NAME?</v>
      </c>
      <c r="AB4" t="e">
        <f ca="1">$D4-AA4</f>
        <v>#NAME?</v>
      </c>
      <c r="AH4" t="e">
        <f t="array" aca="1" ref="AH4:AH14" ca="1">MMULT($B4:$C14,AE8:AE9)+AE6</f>
        <v>#NAME?</v>
      </c>
      <c r="AI4" t="e">
        <f ca="1">$D4-AH4</f>
        <v>#NAME?</v>
      </c>
      <c r="AO4" t="e">
        <f t="array" aca="1" ref="AO4:AO14" ca="1">MMULT($B4:$C14,AL8:AL9)+AL6</f>
        <v>#NAME?</v>
      </c>
      <c r="AP4" t="e">
        <f ca="1">$D4-AO4</f>
        <v>#NAME?</v>
      </c>
      <c r="AV4" t="e">
        <f t="array" aca="1" ref="AV4:AV14" ca="1">MMULT($B4:$C14,AS8:AS9)+AS6</f>
        <v>#NAME?</v>
      </c>
      <c r="AW4" t="e">
        <f ca="1">$D4-AV4</f>
        <v>#NAME?</v>
      </c>
      <c r="BC4" t="e">
        <f t="array" aca="1" ref="BC4:BC14" ca="1">MMULT($B4:$C14,AZ8:AZ9)+AZ6</f>
        <v>#NAME?</v>
      </c>
      <c r="BD4" t="e">
        <f ca="1">$D4-BC4</f>
        <v>#NAME?</v>
      </c>
      <c r="BJ4" t="e">
        <f t="array" aca="1" ref="BJ4:BJ14" ca="1">MMULT($B4:$C14,BG8:BG9)+BG6</f>
        <v>#NAME?</v>
      </c>
      <c r="BK4" t="e">
        <f ca="1">$D4-BJ4</f>
        <v>#NAME?</v>
      </c>
      <c r="BQ4" t="e">
        <f t="array" aca="1" ref="BQ4:BQ14" ca="1">MMULT($B4:$C14,BN8:BN9)+BN6</f>
        <v>#NAME?</v>
      </c>
      <c r="BR4" t="e">
        <f ca="1">$D4-BQ4</f>
        <v>#NAME?</v>
      </c>
      <c r="BX4" t="e">
        <f t="array" aca="1" ref="BX4:BX14" ca="1">MMULT($B4:$C14,BU8:BU9)+BU6</f>
        <v>#NAME?</v>
      </c>
      <c r="BY4" t="e">
        <f ca="1">$D4-BX4</f>
        <v>#NAME?</v>
      </c>
      <c r="CE4" t="e">
        <f t="array" aca="1" ref="CE4:CE14" ca="1">MMULT($B4:$C14,CB8:CB9)+CB6</f>
        <v>#NAME?</v>
      </c>
      <c r="CF4" t="e">
        <f ca="1">$D4-CE4</f>
        <v>#NAME?</v>
      </c>
      <c r="CL4" t="e">
        <f t="array" aca="1" ref="CL4:CL14" ca="1">MMULT($B4:$C14,CI8:CI9)+CI6</f>
        <v>#NAME?</v>
      </c>
      <c r="CM4" t="e">
        <f ca="1">$D4-CL4</f>
        <v>#NAME?</v>
      </c>
      <c r="CS4" t="e">
        <f t="array" aca="1" ref="CS4:CS14" ca="1">MMULT($B4:$C14,CP8:CP9)+CP6</f>
        <v>#NAME?</v>
      </c>
      <c r="CT4" t="e">
        <f ca="1">$D4-CS4</f>
        <v>#NAME?</v>
      </c>
    </row>
    <row r="5" spans="1:102" ht="15.75" thickTop="1">
      <c r="A5" s="617">
        <f>A4+1</f>
        <v>2001</v>
      </c>
      <c r="B5" s="617">
        <v>23</v>
      </c>
      <c r="C5" s="617">
        <v>27</v>
      </c>
      <c r="D5" s="617">
        <v>62</v>
      </c>
      <c r="F5">
        <v>60.68520726995181</v>
      </c>
      <c r="G5">
        <f t="shared" ref="G5:G14" si="0">D5-F5</f>
        <v>1.3147927300481896</v>
      </c>
      <c r="I5" s="398"/>
      <c r="J5" s="398" t="s">
        <v>600</v>
      </c>
      <c r="K5" s="398" t="s">
        <v>503</v>
      </c>
      <c r="M5" t="e">
        <f ca="1"/>
        <v>#NAME?</v>
      </c>
      <c r="N5" t="e">
        <f t="shared" ref="N5:N14" ca="1" si="1">$D5-M5</f>
        <v>#NAME?</v>
      </c>
      <c r="P5" s="398"/>
      <c r="Q5" s="398" t="s">
        <v>600</v>
      </c>
      <c r="R5" s="398" t="s">
        <v>503</v>
      </c>
      <c r="T5" t="e">
        <f ca="1"/>
        <v>#NAME?</v>
      </c>
      <c r="U5" t="e">
        <f t="shared" ref="U5:U14" ca="1" si="2">$D5-T5</f>
        <v>#NAME?</v>
      </c>
      <c r="W5" s="398"/>
      <c r="X5" s="398" t="s">
        <v>600</v>
      </c>
      <c r="Y5" s="398" t="s">
        <v>503</v>
      </c>
      <c r="AA5" t="e">
        <f ca="1"/>
        <v>#NAME?</v>
      </c>
      <c r="AB5" t="e">
        <f t="shared" ref="AB5:AB14" ca="1" si="3">$D5-AA5</f>
        <v>#NAME?</v>
      </c>
      <c r="AD5" s="398"/>
      <c r="AE5" s="398" t="s">
        <v>600</v>
      </c>
      <c r="AF5" s="398" t="s">
        <v>503</v>
      </c>
      <c r="AH5" t="e">
        <f ca="1"/>
        <v>#NAME?</v>
      </c>
      <c r="AI5" t="e">
        <f t="shared" ref="AI5:AI14" ca="1" si="4">$D5-AH5</f>
        <v>#NAME?</v>
      </c>
      <c r="AK5" s="398"/>
      <c r="AL5" s="398" t="s">
        <v>600</v>
      </c>
      <c r="AM5" s="398" t="s">
        <v>503</v>
      </c>
      <c r="AO5" t="e">
        <f ca="1"/>
        <v>#NAME?</v>
      </c>
      <c r="AP5" t="e">
        <f t="shared" ref="AP5:AP14" ca="1" si="5">$D5-AO5</f>
        <v>#NAME?</v>
      </c>
      <c r="AR5" s="398"/>
      <c r="AS5" s="398" t="s">
        <v>600</v>
      </c>
      <c r="AT5" s="398" t="s">
        <v>503</v>
      </c>
      <c r="AV5" t="e">
        <f ca="1"/>
        <v>#NAME?</v>
      </c>
      <c r="AW5" t="e">
        <f t="shared" ref="AW5:AW14" ca="1" si="6">$D5-AV5</f>
        <v>#NAME?</v>
      </c>
      <c r="AY5" s="398"/>
      <c r="AZ5" s="398" t="s">
        <v>600</v>
      </c>
      <c r="BA5" s="398" t="s">
        <v>503</v>
      </c>
      <c r="BC5" t="e">
        <f ca="1"/>
        <v>#NAME?</v>
      </c>
      <c r="BD5" t="e">
        <f t="shared" ref="BD5:BD14" ca="1" si="7">$D5-BC5</f>
        <v>#NAME?</v>
      </c>
      <c r="BF5" s="398"/>
      <c r="BG5" s="398" t="s">
        <v>600</v>
      </c>
      <c r="BH5" s="398" t="s">
        <v>503</v>
      </c>
      <c r="BJ5" t="e">
        <f ca="1"/>
        <v>#NAME?</v>
      </c>
      <c r="BK5" t="e">
        <f t="shared" ref="BK5:BK14" ca="1" si="8">$D5-BJ5</f>
        <v>#NAME?</v>
      </c>
      <c r="BM5" s="398"/>
      <c r="BN5" s="398" t="s">
        <v>600</v>
      </c>
      <c r="BO5" s="398" t="s">
        <v>503</v>
      </c>
      <c r="BQ5" t="e">
        <f ca="1"/>
        <v>#NAME?</v>
      </c>
      <c r="BR5" t="e">
        <f t="shared" ref="BR5:BR14" ca="1" si="9">$D5-BQ5</f>
        <v>#NAME?</v>
      </c>
      <c r="BT5" s="398"/>
      <c r="BU5" s="398" t="s">
        <v>600</v>
      </c>
      <c r="BV5" s="398" t="s">
        <v>503</v>
      </c>
      <c r="BX5" t="e">
        <f ca="1"/>
        <v>#NAME?</v>
      </c>
      <c r="BY5" t="e">
        <f t="shared" ref="BY5:BY14" ca="1" si="10">$D5-BX5</f>
        <v>#NAME?</v>
      </c>
      <c r="CA5" s="398"/>
      <c r="CB5" s="398" t="s">
        <v>600</v>
      </c>
      <c r="CC5" s="398" t="s">
        <v>503</v>
      </c>
      <c r="CE5" t="e">
        <f ca="1"/>
        <v>#NAME?</v>
      </c>
      <c r="CF5" t="e">
        <f t="shared" ref="CF5:CF14" ca="1" si="11">$D5-CE5</f>
        <v>#NAME?</v>
      </c>
      <c r="CH5" s="398"/>
      <c r="CI5" s="398" t="s">
        <v>600</v>
      </c>
      <c r="CJ5" s="398" t="s">
        <v>503</v>
      </c>
      <c r="CL5" t="e">
        <f ca="1"/>
        <v>#NAME?</v>
      </c>
      <c r="CM5" t="e">
        <f t="shared" ref="CM5:CM14" ca="1" si="12">$D5-CL5</f>
        <v>#NAME?</v>
      </c>
      <c r="CO5" s="398"/>
      <c r="CP5" s="398" t="s">
        <v>600</v>
      </c>
      <c r="CQ5" s="398" t="s">
        <v>503</v>
      </c>
      <c r="CS5" t="e">
        <f ca="1"/>
        <v>#NAME?</v>
      </c>
      <c r="CT5" t="e">
        <f t="shared" ref="CT5:CT14" ca="1" si="13">$D5-CS5</f>
        <v>#NAME?</v>
      </c>
      <c r="CV5" s="398"/>
      <c r="CW5" s="398" t="s">
        <v>600</v>
      </c>
      <c r="CX5" s="398" t="s">
        <v>503</v>
      </c>
    </row>
    <row r="6" spans="1:102">
      <c r="A6" s="617">
        <f t="shared" ref="A6:A13" si="14">A5+1</f>
        <v>2002</v>
      </c>
      <c r="B6" s="617">
        <v>34</v>
      </c>
      <c r="C6" s="617">
        <v>28</v>
      </c>
      <c r="D6" s="617">
        <v>70</v>
      </c>
      <c r="F6">
        <v>69.596336402232495</v>
      </c>
      <c r="G6">
        <f t="shared" si="0"/>
        <v>0.40366359776750471</v>
      </c>
      <c r="I6" t="s">
        <v>212</v>
      </c>
      <c r="J6" t="e">
        <f ca="1">J7/(1-J3)</f>
        <v>#NAME?</v>
      </c>
      <c r="K6" t="e">
        <f ca="1">K7/(1-J3)</f>
        <v>#NAME?</v>
      </c>
      <c r="M6" t="e">
        <f ca="1"/>
        <v>#NAME?</v>
      </c>
      <c r="N6" t="e">
        <f t="shared" ca="1" si="1"/>
        <v>#NAME?</v>
      </c>
      <c r="P6" t="s">
        <v>212</v>
      </c>
      <c r="Q6" t="e">
        <f ca="1">Q7/(1-Q3)</f>
        <v>#NAME?</v>
      </c>
      <c r="R6" t="e">
        <f ca="1">R7/(1-Q3)</f>
        <v>#NAME?</v>
      </c>
      <c r="T6" t="e">
        <f ca="1"/>
        <v>#NAME?</v>
      </c>
      <c r="U6" t="e">
        <f t="shared" ca="1" si="2"/>
        <v>#NAME?</v>
      </c>
      <c r="W6" t="s">
        <v>212</v>
      </c>
      <c r="X6" t="e">
        <f ca="1">X7/(1-X3)</f>
        <v>#NAME?</v>
      </c>
      <c r="Y6" t="e">
        <f ca="1">Y7/(1-X3)</f>
        <v>#NAME?</v>
      </c>
      <c r="AA6" t="e">
        <f ca="1"/>
        <v>#NAME?</v>
      </c>
      <c r="AB6" t="e">
        <f t="shared" ca="1" si="3"/>
        <v>#NAME?</v>
      </c>
      <c r="AD6" t="s">
        <v>212</v>
      </c>
      <c r="AE6" t="e">
        <f ca="1">AE7/(1-AE3)</f>
        <v>#NAME?</v>
      </c>
      <c r="AF6" t="e">
        <f ca="1">AF7/(1-AE3)</f>
        <v>#NAME?</v>
      </c>
      <c r="AH6" t="e">
        <f ca="1"/>
        <v>#NAME?</v>
      </c>
      <c r="AI6" t="e">
        <f t="shared" ca="1" si="4"/>
        <v>#NAME?</v>
      </c>
      <c r="AK6" t="s">
        <v>212</v>
      </c>
      <c r="AL6" t="e">
        <f ca="1">AL7/(1-AL3)</f>
        <v>#NAME?</v>
      </c>
      <c r="AM6" t="e">
        <f ca="1">AM7/(1-AL3)</f>
        <v>#NAME?</v>
      </c>
      <c r="AO6" t="e">
        <f ca="1"/>
        <v>#NAME?</v>
      </c>
      <c r="AP6" t="e">
        <f t="shared" ca="1" si="5"/>
        <v>#NAME?</v>
      </c>
      <c r="AR6" t="s">
        <v>212</v>
      </c>
      <c r="AS6" t="e">
        <f ca="1">AS7/(1-AS3)</f>
        <v>#NAME?</v>
      </c>
      <c r="AT6" t="e">
        <f ca="1">AT7/(1-AS3)</f>
        <v>#NAME?</v>
      </c>
      <c r="AV6" t="e">
        <f ca="1"/>
        <v>#NAME?</v>
      </c>
      <c r="AW6" t="e">
        <f t="shared" ca="1" si="6"/>
        <v>#NAME?</v>
      </c>
      <c r="AY6" t="s">
        <v>212</v>
      </c>
      <c r="AZ6" t="e">
        <f ca="1">AZ7/(1-AZ3)</f>
        <v>#NAME?</v>
      </c>
      <c r="BA6" t="e">
        <f ca="1">BA7/(1-AZ3)</f>
        <v>#NAME?</v>
      </c>
      <c r="BC6" t="e">
        <f ca="1"/>
        <v>#NAME?</v>
      </c>
      <c r="BD6" t="e">
        <f t="shared" ca="1" si="7"/>
        <v>#NAME?</v>
      </c>
      <c r="BF6" t="s">
        <v>212</v>
      </c>
      <c r="BG6" t="e">
        <f ca="1">BG7/(1-BG3)</f>
        <v>#NAME?</v>
      </c>
      <c r="BH6" t="e">
        <f ca="1">BH7/(1-BG3)</f>
        <v>#NAME?</v>
      </c>
      <c r="BJ6" t="e">
        <f ca="1"/>
        <v>#NAME?</v>
      </c>
      <c r="BK6" t="e">
        <f t="shared" ca="1" si="8"/>
        <v>#NAME?</v>
      </c>
      <c r="BM6" t="s">
        <v>212</v>
      </c>
      <c r="BN6" t="e">
        <f ca="1">BN7/(1-BN3)</f>
        <v>#NAME?</v>
      </c>
      <c r="BO6" t="e">
        <f ca="1">BO7/(1-BN3)</f>
        <v>#NAME?</v>
      </c>
      <c r="BQ6" t="e">
        <f ca="1"/>
        <v>#NAME?</v>
      </c>
      <c r="BR6" t="e">
        <f t="shared" ca="1" si="9"/>
        <v>#NAME?</v>
      </c>
      <c r="BT6" t="s">
        <v>212</v>
      </c>
      <c r="BU6" t="e">
        <f ca="1">BU7/(1-BU3)</f>
        <v>#NAME?</v>
      </c>
      <c r="BV6" t="e">
        <f ca="1">BV7/(1-BU3)</f>
        <v>#NAME?</v>
      </c>
      <c r="BX6" t="e">
        <f ca="1"/>
        <v>#NAME?</v>
      </c>
      <c r="BY6" t="e">
        <f t="shared" ca="1" si="10"/>
        <v>#NAME?</v>
      </c>
      <c r="CA6" t="s">
        <v>212</v>
      </c>
      <c r="CB6" t="e">
        <f ca="1">CB7/(1-CB3)</f>
        <v>#NAME?</v>
      </c>
      <c r="CC6" t="e">
        <f ca="1">CC7/(1-CB3)</f>
        <v>#NAME?</v>
      </c>
      <c r="CE6" t="e">
        <f ca="1"/>
        <v>#NAME?</v>
      </c>
      <c r="CF6" t="e">
        <f t="shared" ca="1" si="11"/>
        <v>#NAME?</v>
      </c>
      <c r="CH6" t="s">
        <v>212</v>
      </c>
      <c r="CI6" t="e">
        <f ca="1">CI7/(1-CI3)</f>
        <v>#NAME?</v>
      </c>
      <c r="CJ6" t="e">
        <f ca="1">CJ7/(1-CI3)</f>
        <v>#NAME?</v>
      </c>
      <c r="CL6" t="e">
        <f ca="1"/>
        <v>#NAME?</v>
      </c>
      <c r="CM6" t="e">
        <f t="shared" ca="1" si="12"/>
        <v>#NAME?</v>
      </c>
      <c r="CO6" t="s">
        <v>212</v>
      </c>
      <c r="CP6" t="e">
        <f ca="1">CP7/(1-CP3)</f>
        <v>#NAME?</v>
      </c>
      <c r="CQ6" t="e">
        <f ca="1">CQ7/(1-CP3)</f>
        <v>#NAME?</v>
      </c>
      <c r="CS6" t="e">
        <f ca="1"/>
        <v>#NAME?</v>
      </c>
      <c r="CT6" t="e">
        <f t="shared" ca="1" si="13"/>
        <v>#NAME?</v>
      </c>
      <c r="CV6" t="s">
        <v>212</v>
      </c>
      <c r="CW6" t="e">
        <f ca="1">CW7/(1-CW3)</f>
        <v>#NAME?</v>
      </c>
      <c r="CX6" t="e">
        <f ca="1">CX7/(1-CW3)</f>
        <v>#NAME?</v>
      </c>
    </row>
    <row r="7" spans="1:102">
      <c r="A7" s="617">
        <f t="shared" si="14"/>
        <v>2003</v>
      </c>
      <c r="B7" s="617">
        <v>31</v>
      </c>
      <c r="C7" s="617">
        <v>21</v>
      </c>
      <c r="D7" s="617">
        <v>64</v>
      </c>
      <c r="F7">
        <v>63.926584935362293</v>
      </c>
      <c r="G7">
        <f t="shared" si="0"/>
        <v>7.3415064637707417E-2</v>
      </c>
      <c r="I7" t="s">
        <v>974</v>
      </c>
      <c r="J7" t="e">
        <f t="array" aca="1" ref="J7:K9" ca="1">RegCoeff($B5:$C14-J3*$B4:$C13,$D5:$D14-J3*$D4:$D13)</f>
        <v>#NAME?</v>
      </c>
      <c r="K7" t="e">
        <f ca="1"/>
        <v>#NAME?</v>
      </c>
      <c r="M7" t="e">
        <f ca="1"/>
        <v>#NAME?</v>
      </c>
      <c r="N7" t="e">
        <f t="shared" ca="1" si="1"/>
        <v>#NAME?</v>
      </c>
      <c r="P7" t="s">
        <v>974</v>
      </c>
      <c r="Q7" t="e">
        <f t="array" aca="1" ref="Q7:R9" ca="1">RegCoeff($B5:$C14-Q3*$B4:$C13,$D5:$D14-Q3*$D4:$D13)</f>
        <v>#NAME?</v>
      </c>
      <c r="R7" t="e">
        <f ca="1"/>
        <v>#NAME?</v>
      </c>
      <c r="T7" t="e">
        <f ca="1"/>
        <v>#NAME?</v>
      </c>
      <c r="U7" t="e">
        <f t="shared" ca="1" si="2"/>
        <v>#NAME?</v>
      </c>
      <c r="W7" t="s">
        <v>974</v>
      </c>
      <c r="X7" t="e">
        <f t="array" aca="1" ref="X7:Y9" ca="1">RegCoeff($B5:$C14-X3*$B4:$C13,$D5:$D14-X3*$D4:$D13)</f>
        <v>#NAME?</v>
      </c>
      <c r="Y7" t="e">
        <f ca="1"/>
        <v>#NAME?</v>
      </c>
      <c r="AA7" t="e">
        <f ca="1"/>
        <v>#NAME?</v>
      </c>
      <c r="AB7" t="e">
        <f t="shared" ca="1" si="3"/>
        <v>#NAME?</v>
      </c>
      <c r="AD7" t="s">
        <v>974</v>
      </c>
      <c r="AE7" t="e">
        <f t="array" aca="1" ref="AE7:AF9" ca="1">RegCoeff($B5:$C14-AE3*$B4:$C13,$D5:$D14-AE3*$D4:$D13)</f>
        <v>#NAME?</v>
      </c>
      <c r="AF7" t="e">
        <f ca="1"/>
        <v>#NAME?</v>
      </c>
      <c r="AH7" t="e">
        <f ca="1"/>
        <v>#NAME?</v>
      </c>
      <c r="AI7" t="e">
        <f t="shared" ca="1" si="4"/>
        <v>#NAME?</v>
      </c>
      <c r="AK7" t="s">
        <v>974</v>
      </c>
      <c r="AL7" t="e">
        <f t="array" aca="1" ref="AL7:AM9" ca="1">RegCoeff($B5:$C14-AL3*$B4:$C13,$D5:$D14-AL3*$D4:$D13)</f>
        <v>#NAME?</v>
      </c>
      <c r="AM7" t="e">
        <f ca="1"/>
        <v>#NAME?</v>
      </c>
      <c r="AO7" t="e">
        <f ca="1"/>
        <v>#NAME?</v>
      </c>
      <c r="AP7" t="e">
        <f t="shared" ca="1" si="5"/>
        <v>#NAME?</v>
      </c>
      <c r="AR7" t="s">
        <v>974</v>
      </c>
      <c r="AS7" t="e">
        <f t="array" aca="1" ref="AS7:AT9" ca="1">RegCoeff($B5:$C14-AS3*$B4:$C13,$D5:$D14-AS3*$D4:$D13)</f>
        <v>#NAME?</v>
      </c>
      <c r="AT7" t="e">
        <f ca="1"/>
        <v>#NAME?</v>
      </c>
      <c r="AV7" t="e">
        <f ca="1"/>
        <v>#NAME?</v>
      </c>
      <c r="AW7" t="e">
        <f t="shared" ca="1" si="6"/>
        <v>#NAME?</v>
      </c>
      <c r="AY7" t="s">
        <v>974</v>
      </c>
      <c r="AZ7" t="e">
        <f t="array" aca="1" ref="AZ7:BA9" ca="1">RegCoeff($B5:$C14-AZ3*$B4:$C13,$D5:$D14-AZ3*$D4:$D13)</f>
        <v>#NAME?</v>
      </c>
      <c r="BA7" t="e">
        <f ca="1"/>
        <v>#NAME?</v>
      </c>
      <c r="BC7" t="e">
        <f ca="1"/>
        <v>#NAME?</v>
      </c>
      <c r="BD7" t="e">
        <f t="shared" ca="1" si="7"/>
        <v>#NAME?</v>
      </c>
      <c r="BF7" t="s">
        <v>974</v>
      </c>
      <c r="BG7" t="e">
        <f t="array" aca="1" ref="BG7:BH9" ca="1">RegCoeff($B5:$C14-BG3*$B4:$C13,$D5:$D14-BG3*$D4:$D13)</f>
        <v>#NAME?</v>
      </c>
      <c r="BH7" t="e">
        <f ca="1"/>
        <v>#NAME?</v>
      </c>
      <c r="BJ7" t="e">
        <f ca="1"/>
        <v>#NAME?</v>
      </c>
      <c r="BK7" t="e">
        <f t="shared" ca="1" si="8"/>
        <v>#NAME?</v>
      </c>
      <c r="BM7" t="s">
        <v>974</v>
      </c>
      <c r="BN7" t="e">
        <f t="array" aca="1" ref="BN7:BO9" ca="1">RegCoeff($B5:$C14-BN3*$B4:$C13,$D5:$D14-BN3*$D4:$D13)</f>
        <v>#NAME?</v>
      </c>
      <c r="BO7" t="e">
        <f ca="1"/>
        <v>#NAME?</v>
      </c>
      <c r="BQ7" t="e">
        <f ca="1"/>
        <v>#NAME?</v>
      </c>
      <c r="BR7" t="e">
        <f t="shared" ca="1" si="9"/>
        <v>#NAME?</v>
      </c>
      <c r="BT7" t="s">
        <v>974</v>
      </c>
      <c r="BU7" t="e">
        <f t="array" aca="1" ref="BU7:BV9" ca="1">RegCoeff($B5:$C14-BU3*$B4:$C13,$D5:$D14-BU3*$D4:$D13)</f>
        <v>#NAME?</v>
      </c>
      <c r="BV7" t="e">
        <f ca="1"/>
        <v>#NAME?</v>
      </c>
      <c r="BX7" t="e">
        <f ca="1"/>
        <v>#NAME?</v>
      </c>
      <c r="BY7" t="e">
        <f t="shared" ca="1" si="10"/>
        <v>#NAME?</v>
      </c>
      <c r="CA7" t="s">
        <v>974</v>
      </c>
      <c r="CB7" t="e">
        <f t="array" aca="1" ref="CB7:CC9" ca="1">RegCoeff($B5:$C14-CB3*$B4:$C13,$D5:$D14-CB3*$D4:$D13)</f>
        <v>#NAME?</v>
      </c>
      <c r="CC7" t="e">
        <f ca="1"/>
        <v>#NAME?</v>
      </c>
      <c r="CE7" t="e">
        <f ca="1"/>
        <v>#NAME?</v>
      </c>
      <c r="CF7" t="e">
        <f t="shared" ca="1" si="11"/>
        <v>#NAME?</v>
      </c>
      <c r="CH7" t="s">
        <v>974</v>
      </c>
      <c r="CI7" t="e">
        <f t="array" aca="1" ref="CI7:CJ9" ca="1">RegCoeff($B5:$C14-CI3*$B4:$C13,$D5:$D14-CI3*$D4:$D13)</f>
        <v>#NAME?</v>
      </c>
      <c r="CJ7" t="e">
        <f ca="1"/>
        <v>#NAME?</v>
      </c>
      <c r="CL7" t="e">
        <f ca="1"/>
        <v>#NAME?</v>
      </c>
      <c r="CM7" t="e">
        <f t="shared" ca="1" si="12"/>
        <v>#NAME?</v>
      </c>
      <c r="CO7" t="s">
        <v>974</v>
      </c>
      <c r="CP7" t="e">
        <f t="array" aca="1" ref="CP7:CQ9" ca="1">RegCoeff($B5:$C14-CP3*$B4:$C13,$D5:$D14-CP3*$D4:$D13)</f>
        <v>#NAME?</v>
      </c>
      <c r="CQ7" t="e">
        <f ca="1"/>
        <v>#NAME?</v>
      </c>
      <c r="CS7" t="e">
        <f ca="1"/>
        <v>#NAME?</v>
      </c>
      <c r="CT7" t="e">
        <f t="shared" ca="1" si="13"/>
        <v>#NAME?</v>
      </c>
      <c r="CV7" t="s">
        <v>974</v>
      </c>
      <c r="CW7" t="e">
        <f t="array" aca="1" ref="CW7:CX9" ca="1">RegCoeff($B5:$C14-CW3*$B4:$C13,$D5:$D14-CW3*$D4:$D13)</f>
        <v>#NAME?</v>
      </c>
      <c r="CX7" t="e">
        <f ca="1"/>
        <v>#NAME?</v>
      </c>
    </row>
    <row r="8" spans="1:102">
      <c r="A8" s="617">
        <f t="shared" si="14"/>
        <v>2004</v>
      </c>
      <c r="B8" s="617">
        <v>17</v>
      </c>
      <c r="C8" s="617">
        <v>23</v>
      </c>
      <c r="D8" s="617">
        <v>52</v>
      </c>
      <c r="F8">
        <v>54.16109335495873</v>
      </c>
      <c r="G8">
        <f t="shared" si="0"/>
        <v>-2.1610933549587301</v>
      </c>
      <c r="I8" t="s">
        <v>682</v>
      </c>
      <c r="J8" t="e">
        <f ca="1"/>
        <v>#NAME?</v>
      </c>
      <c r="K8" t="e">
        <f ca="1"/>
        <v>#NAME?</v>
      </c>
      <c r="M8" t="e">
        <f ca="1"/>
        <v>#NAME?</v>
      </c>
      <c r="N8" t="e">
        <f t="shared" ca="1" si="1"/>
        <v>#NAME?</v>
      </c>
      <c r="P8" t="s">
        <v>682</v>
      </c>
      <c r="Q8" t="e">
        <f ca="1"/>
        <v>#NAME?</v>
      </c>
      <c r="R8" t="e">
        <f ca="1"/>
        <v>#NAME?</v>
      </c>
      <c r="T8" t="e">
        <f ca="1"/>
        <v>#NAME?</v>
      </c>
      <c r="U8" t="e">
        <f t="shared" ca="1" si="2"/>
        <v>#NAME?</v>
      </c>
      <c r="W8" t="s">
        <v>682</v>
      </c>
      <c r="X8" t="e">
        <f ca="1"/>
        <v>#NAME?</v>
      </c>
      <c r="Y8" t="e">
        <f ca="1"/>
        <v>#NAME?</v>
      </c>
      <c r="AA8" t="e">
        <f ca="1"/>
        <v>#NAME?</v>
      </c>
      <c r="AB8" t="e">
        <f t="shared" ca="1" si="3"/>
        <v>#NAME?</v>
      </c>
      <c r="AD8" t="s">
        <v>682</v>
      </c>
      <c r="AE8" t="e">
        <f ca="1"/>
        <v>#NAME?</v>
      </c>
      <c r="AF8" t="e">
        <f ca="1"/>
        <v>#NAME?</v>
      </c>
      <c r="AH8" t="e">
        <f ca="1"/>
        <v>#NAME?</v>
      </c>
      <c r="AI8" t="e">
        <f t="shared" ca="1" si="4"/>
        <v>#NAME?</v>
      </c>
      <c r="AK8" t="s">
        <v>682</v>
      </c>
      <c r="AL8" t="e">
        <f ca="1"/>
        <v>#NAME?</v>
      </c>
      <c r="AM8" t="e">
        <f ca="1"/>
        <v>#NAME?</v>
      </c>
      <c r="AO8" t="e">
        <f ca="1"/>
        <v>#NAME?</v>
      </c>
      <c r="AP8" t="e">
        <f t="shared" ca="1" si="5"/>
        <v>#NAME?</v>
      </c>
      <c r="AR8" t="s">
        <v>682</v>
      </c>
      <c r="AS8" t="e">
        <f ca="1"/>
        <v>#NAME?</v>
      </c>
      <c r="AT8" t="e">
        <f ca="1"/>
        <v>#NAME?</v>
      </c>
      <c r="AV8" t="e">
        <f ca="1"/>
        <v>#NAME?</v>
      </c>
      <c r="AW8" t="e">
        <f t="shared" ca="1" si="6"/>
        <v>#NAME?</v>
      </c>
      <c r="AY8" t="s">
        <v>682</v>
      </c>
      <c r="AZ8" t="e">
        <f ca="1"/>
        <v>#NAME?</v>
      </c>
      <c r="BA8" t="e">
        <f ca="1"/>
        <v>#NAME?</v>
      </c>
      <c r="BC8" t="e">
        <f ca="1"/>
        <v>#NAME?</v>
      </c>
      <c r="BD8" t="e">
        <f t="shared" ca="1" si="7"/>
        <v>#NAME?</v>
      </c>
      <c r="BF8" t="s">
        <v>682</v>
      </c>
      <c r="BG8" t="e">
        <f ca="1"/>
        <v>#NAME?</v>
      </c>
      <c r="BH8" t="e">
        <f ca="1"/>
        <v>#NAME?</v>
      </c>
      <c r="BJ8" t="e">
        <f ca="1"/>
        <v>#NAME?</v>
      </c>
      <c r="BK8" t="e">
        <f t="shared" ca="1" si="8"/>
        <v>#NAME?</v>
      </c>
      <c r="BM8" t="s">
        <v>682</v>
      </c>
      <c r="BN8" t="e">
        <f ca="1"/>
        <v>#NAME?</v>
      </c>
      <c r="BO8" t="e">
        <f ca="1"/>
        <v>#NAME?</v>
      </c>
      <c r="BQ8" t="e">
        <f ca="1"/>
        <v>#NAME?</v>
      </c>
      <c r="BR8" t="e">
        <f t="shared" ca="1" si="9"/>
        <v>#NAME?</v>
      </c>
      <c r="BT8" t="s">
        <v>682</v>
      </c>
      <c r="BU8" t="e">
        <f ca="1"/>
        <v>#NAME?</v>
      </c>
      <c r="BV8" t="e">
        <f ca="1"/>
        <v>#NAME?</v>
      </c>
      <c r="BX8" t="e">
        <f ca="1"/>
        <v>#NAME?</v>
      </c>
      <c r="BY8" t="e">
        <f t="shared" ca="1" si="10"/>
        <v>#NAME?</v>
      </c>
      <c r="CA8" t="s">
        <v>682</v>
      </c>
      <c r="CB8" t="e">
        <f ca="1"/>
        <v>#NAME?</v>
      </c>
      <c r="CC8" t="e">
        <f ca="1"/>
        <v>#NAME?</v>
      </c>
      <c r="CE8" t="e">
        <f ca="1"/>
        <v>#NAME?</v>
      </c>
      <c r="CF8" t="e">
        <f t="shared" ca="1" si="11"/>
        <v>#NAME?</v>
      </c>
      <c r="CH8" t="s">
        <v>682</v>
      </c>
      <c r="CI8" t="e">
        <f ca="1"/>
        <v>#NAME?</v>
      </c>
      <c r="CJ8" t="e">
        <f ca="1"/>
        <v>#NAME?</v>
      </c>
      <c r="CL8" t="e">
        <f ca="1"/>
        <v>#NAME?</v>
      </c>
      <c r="CM8" t="e">
        <f t="shared" ca="1" si="12"/>
        <v>#NAME?</v>
      </c>
      <c r="CO8" t="s">
        <v>682</v>
      </c>
      <c r="CP8" t="e">
        <f ca="1"/>
        <v>#NAME?</v>
      </c>
      <c r="CQ8" t="e">
        <f ca="1"/>
        <v>#NAME?</v>
      </c>
      <c r="CS8" t="e">
        <f ca="1"/>
        <v>#NAME?</v>
      </c>
      <c r="CT8" t="e">
        <f t="shared" ca="1" si="13"/>
        <v>#NAME?</v>
      </c>
      <c r="CV8" t="s">
        <v>682</v>
      </c>
      <c r="CW8" t="e">
        <f ca="1"/>
        <v>#NAME?</v>
      </c>
      <c r="CX8" t="e">
        <f ca="1"/>
        <v>#NAME?</v>
      </c>
    </row>
    <row r="9" spans="1:102">
      <c r="A9" s="617">
        <f t="shared" si="14"/>
        <v>2005</v>
      </c>
      <c r="B9" s="617">
        <v>36</v>
      </c>
      <c r="C9" s="617">
        <v>24</v>
      </c>
      <c r="D9" s="617">
        <v>68</v>
      </c>
      <c r="F9">
        <v>69.202833563898281</v>
      </c>
      <c r="G9">
        <f t="shared" si="0"/>
        <v>-1.202833563898281</v>
      </c>
      <c r="I9" s="380" t="s">
        <v>531</v>
      </c>
      <c r="J9" s="380" t="e">
        <f ca="1"/>
        <v>#NAME?</v>
      </c>
      <c r="K9" s="380" t="e">
        <f ca="1"/>
        <v>#NAME?</v>
      </c>
      <c r="M9" t="e">
        <f ca="1"/>
        <v>#NAME?</v>
      </c>
      <c r="N9" t="e">
        <f t="shared" ca="1" si="1"/>
        <v>#NAME?</v>
      </c>
      <c r="P9" s="380" t="s">
        <v>531</v>
      </c>
      <c r="Q9" s="380" t="e">
        <f ca="1"/>
        <v>#NAME?</v>
      </c>
      <c r="R9" s="380" t="e">
        <f ca="1"/>
        <v>#NAME?</v>
      </c>
      <c r="T9" t="e">
        <f ca="1"/>
        <v>#NAME?</v>
      </c>
      <c r="U9" t="e">
        <f t="shared" ca="1" si="2"/>
        <v>#NAME?</v>
      </c>
      <c r="W9" s="380" t="s">
        <v>531</v>
      </c>
      <c r="X9" s="380" t="e">
        <f ca="1"/>
        <v>#NAME?</v>
      </c>
      <c r="Y9" s="380" t="e">
        <f ca="1"/>
        <v>#NAME?</v>
      </c>
      <c r="AA9" t="e">
        <f ca="1"/>
        <v>#NAME?</v>
      </c>
      <c r="AB9" t="e">
        <f t="shared" ca="1" si="3"/>
        <v>#NAME?</v>
      </c>
      <c r="AD9" s="380" t="s">
        <v>531</v>
      </c>
      <c r="AE9" s="380" t="e">
        <f ca="1"/>
        <v>#NAME?</v>
      </c>
      <c r="AF9" s="380" t="e">
        <f ca="1"/>
        <v>#NAME?</v>
      </c>
      <c r="AH9" t="e">
        <f ca="1"/>
        <v>#NAME?</v>
      </c>
      <c r="AI9" t="e">
        <f t="shared" ca="1" si="4"/>
        <v>#NAME?</v>
      </c>
      <c r="AK9" s="380" t="s">
        <v>531</v>
      </c>
      <c r="AL9" s="380" t="e">
        <f ca="1"/>
        <v>#NAME?</v>
      </c>
      <c r="AM9" s="380" t="e">
        <f ca="1"/>
        <v>#NAME?</v>
      </c>
      <c r="AO9" t="e">
        <f ca="1"/>
        <v>#NAME?</v>
      </c>
      <c r="AP9" t="e">
        <f t="shared" ca="1" si="5"/>
        <v>#NAME?</v>
      </c>
      <c r="AR9" s="380" t="s">
        <v>531</v>
      </c>
      <c r="AS9" s="380" t="e">
        <f ca="1"/>
        <v>#NAME?</v>
      </c>
      <c r="AT9" s="380" t="e">
        <f ca="1"/>
        <v>#NAME?</v>
      </c>
      <c r="AV9" t="e">
        <f ca="1"/>
        <v>#NAME?</v>
      </c>
      <c r="AW9" t="e">
        <f t="shared" ca="1" si="6"/>
        <v>#NAME?</v>
      </c>
      <c r="AY9" s="380" t="s">
        <v>531</v>
      </c>
      <c r="AZ9" s="380" t="e">
        <f ca="1"/>
        <v>#NAME?</v>
      </c>
      <c r="BA9" s="380" t="e">
        <f ca="1"/>
        <v>#NAME?</v>
      </c>
      <c r="BC9" t="e">
        <f ca="1"/>
        <v>#NAME?</v>
      </c>
      <c r="BD9" t="e">
        <f t="shared" ca="1" si="7"/>
        <v>#NAME?</v>
      </c>
      <c r="BF9" s="380" t="s">
        <v>531</v>
      </c>
      <c r="BG9" s="380" t="e">
        <f ca="1"/>
        <v>#NAME?</v>
      </c>
      <c r="BH9" s="380" t="e">
        <f ca="1"/>
        <v>#NAME?</v>
      </c>
      <c r="BJ9" t="e">
        <f ca="1"/>
        <v>#NAME?</v>
      </c>
      <c r="BK9" t="e">
        <f t="shared" ca="1" si="8"/>
        <v>#NAME?</v>
      </c>
      <c r="BM9" s="380" t="s">
        <v>531</v>
      </c>
      <c r="BN9" s="380" t="e">
        <f ca="1"/>
        <v>#NAME?</v>
      </c>
      <c r="BO9" s="380" t="e">
        <f ca="1"/>
        <v>#NAME?</v>
      </c>
      <c r="BQ9" t="e">
        <f ca="1"/>
        <v>#NAME?</v>
      </c>
      <c r="BR9" t="e">
        <f t="shared" ca="1" si="9"/>
        <v>#NAME?</v>
      </c>
      <c r="BT9" s="380" t="s">
        <v>531</v>
      </c>
      <c r="BU9" s="380" t="e">
        <f ca="1"/>
        <v>#NAME?</v>
      </c>
      <c r="BV9" s="380" t="e">
        <f ca="1"/>
        <v>#NAME?</v>
      </c>
      <c r="BX9" t="e">
        <f ca="1"/>
        <v>#NAME?</v>
      </c>
      <c r="BY9" t="e">
        <f t="shared" ca="1" si="10"/>
        <v>#NAME?</v>
      </c>
      <c r="CA9" s="380" t="s">
        <v>531</v>
      </c>
      <c r="CB9" s="380" t="e">
        <f ca="1"/>
        <v>#NAME?</v>
      </c>
      <c r="CC9" s="380" t="e">
        <f ca="1"/>
        <v>#NAME?</v>
      </c>
      <c r="CE9" t="e">
        <f ca="1"/>
        <v>#NAME?</v>
      </c>
      <c r="CF9" t="e">
        <f t="shared" ca="1" si="11"/>
        <v>#NAME?</v>
      </c>
      <c r="CH9" s="380" t="s">
        <v>531</v>
      </c>
      <c r="CI9" s="380" t="e">
        <f ca="1"/>
        <v>#NAME?</v>
      </c>
      <c r="CJ9" s="380" t="e">
        <f ca="1"/>
        <v>#NAME?</v>
      </c>
      <c r="CL9" t="e">
        <f ca="1"/>
        <v>#NAME?</v>
      </c>
      <c r="CM9" t="e">
        <f t="shared" ca="1" si="12"/>
        <v>#NAME?</v>
      </c>
      <c r="CO9" s="380" t="s">
        <v>531</v>
      </c>
      <c r="CP9" s="380" t="e">
        <f ca="1"/>
        <v>#NAME?</v>
      </c>
      <c r="CQ9" s="380" t="e">
        <f ca="1"/>
        <v>#NAME?</v>
      </c>
      <c r="CS9" t="e">
        <f ca="1"/>
        <v>#NAME?</v>
      </c>
      <c r="CT9" t="e">
        <f t="shared" ca="1" si="13"/>
        <v>#NAME?</v>
      </c>
      <c r="CV9" s="380" t="s">
        <v>531</v>
      </c>
      <c r="CW9" s="380" t="e">
        <f ca="1"/>
        <v>#NAME?</v>
      </c>
      <c r="CX9" s="380" t="e">
        <f ca="1"/>
        <v>#NAME?</v>
      </c>
    </row>
    <row r="10" spans="1:102">
      <c r="A10" s="617">
        <f t="shared" si="14"/>
        <v>2006</v>
      </c>
      <c r="B10" s="617">
        <v>38</v>
      </c>
      <c r="C10" s="617">
        <v>20</v>
      </c>
      <c r="D10" s="617">
        <v>68</v>
      </c>
      <c r="F10">
        <v>68.809330725564081</v>
      </c>
      <c r="G10">
        <f t="shared" si="0"/>
        <v>-0.80933072556408092</v>
      </c>
      <c r="M10" t="e">
        <f ca="1"/>
        <v>#NAME?</v>
      </c>
      <c r="N10" t="e">
        <f t="shared" ca="1" si="1"/>
        <v>#NAME?</v>
      </c>
      <c r="T10" t="e">
        <f ca="1"/>
        <v>#NAME?</v>
      </c>
      <c r="U10" t="e">
        <f t="shared" ca="1" si="2"/>
        <v>#NAME?</v>
      </c>
      <c r="AA10" t="e">
        <f ca="1"/>
        <v>#NAME?</v>
      </c>
      <c r="AB10" t="e">
        <f t="shared" ca="1" si="3"/>
        <v>#NAME?</v>
      </c>
      <c r="AH10" t="e">
        <f ca="1"/>
        <v>#NAME?</v>
      </c>
      <c r="AI10" t="e">
        <f t="shared" ca="1" si="4"/>
        <v>#NAME?</v>
      </c>
      <c r="AO10" t="e">
        <f ca="1"/>
        <v>#NAME?</v>
      </c>
      <c r="AP10" t="e">
        <f t="shared" ca="1" si="5"/>
        <v>#NAME?</v>
      </c>
      <c r="AV10" t="e">
        <f ca="1"/>
        <v>#NAME?</v>
      </c>
      <c r="AW10" t="e">
        <f t="shared" ca="1" si="6"/>
        <v>#NAME?</v>
      </c>
      <c r="BC10" t="e">
        <f ca="1"/>
        <v>#NAME?</v>
      </c>
      <c r="BD10" t="e">
        <f t="shared" ca="1" si="7"/>
        <v>#NAME?</v>
      </c>
      <c r="BJ10" t="e">
        <f ca="1"/>
        <v>#NAME?</v>
      </c>
      <c r="BK10" t="e">
        <f t="shared" ca="1" si="8"/>
        <v>#NAME?</v>
      </c>
      <c r="BQ10" t="e">
        <f ca="1"/>
        <v>#NAME?</v>
      </c>
      <c r="BR10" t="e">
        <f t="shared" ca="1" si="9"/>
        <v>#NAME?</v>
      </c>
      <c r="BX10" t="e">
        <f ca="1"/>
        <v>#NAME?</v>
      </c>
      <c r="BY10" t="e">
        <f t="shared" ca="1" si="10"/>
        <v>#NAME?</v>
      </c>
      <c r="CE10" t="e">
        <f ca="1"/>
        <v>#NAME?</v>
      </c>
      <c r="CF10" t="e">
        <f t="shared" ca="1" si="11"/>
        <v>#NAME?</v>
      </c>
      <c r="CL10" t="e">
        <f ca="1"/>
        <v>#NAME?</v>
      </c>
      <c r="CM10" t="e">
        <f t="shared" ca="1" si="12"/>
        <v>#NAME?</v>
      </c>
      <c r="CS10" t="e">
        <f ca="1"/>
        <v>#NAME?</v>
      </c>
      <c r="CT10" t="e">
        <f t="shared" ca="1" si="13"/>
        <v>#NAME?</v>
      </c>
    </row>
    <row r="11" spans="1:102">
      <c r="A11" s="617">
        <f t="shared" si="14"/>
        <v>2007</v>
      </c>
      <c r="B11" s="617">
        <v>40</v>
      </c>
      <c r="C11" s="617">
        <v>26</v>
      </c>
      <c r="D11" s="617">
        <v>72</v>
      </c>
      <c r="F11">
        <v>73.231216905977192</v>
      </c>
      <c r="G11">
        <f t="shared" si="0"/>
        <v>-1.2312169059771918</v>
      </c>
      <c r="M11" t="e">
        <f ca="1"/>
        <v>#NAME?</v>
      </c>
      <c r="N11" t="e">
        <f t="shared" ca="1" si="1"/>
        <v>#NAME?</v>
      </c>
      <c r="T11" t="e">
        <f ca="1"/>
        <v>#NAME?</v>
      </c>
      <c r="U11" t="e">
        <f t="shared" ca="1" si="2"/>
        <v>#NAME?</v>
      </c>
      <c r="AA11" t="e">
        <f ca="1"/>
        <v>#NAME?</v>
      </c>
      <c r="AB11" t="e">
        <f t="shared" ca="1" si="3"/>
        <v>#NAME?</v>
      </c>
      <c r="AH11" t="e">
        <f ca="1"/>
        <v>#NAME?</v>
      </c>
      <c r="AI11" t="e">
        <f t="shared" ca="1" si="4"/>
        <v>#NAME?</v>
      </c>
      <c r="AO11" t="e">
        <f ca="1"/>
        <v>#NAME?</v>
      </c>
      <c r="AP11" t="e">
        <f t="shared" ca="1" si="5"/>
        <v>#NAME?</v>
      </c>
      <c r="AV11" t="e">
        <f ca="1"/>
        <v>#NAME?</v>
      </c>
      <c r="AW11" t="e">
        <f t="shared" ca="1" si="6"/>
        <v>#NAME?</v>
      </c>
      <c r="BC11" t="e">
        <f ca="1"/>
        <v>#NAME?</v>
      </c>
      <c r="BD11" t="e">
        <f t="shared" ca="1" si="7"/>
        <v>#NAME?</v>
      </c>
      <c r="BJ11" t="e">
        <f ca="1"/>
        <v>#NAME?</v>
      </c>
      <c r="BK11" t="e">
        <f t="shared" ca="1" si="8"/>
        <v>#NAME?</v>
      </c>
      <c r="BQ11" t="e">
        <f ca="1"/>
        <v>#NAME?</v>
      </c>
      <c r="BR11" t="e">
        <f t="shared" ca="1" si="9"/>
        <v>#NAME?</v>
      </c>
      <c r="BX11" t="e">
        <f ca="1"/>
        <v>#NAME?</v>
      </c>
      <c r="BY11" t="e">
        <f t="shared" ca="1" si="10"/>
        <v>#NAME?</v>
      </c>
      <c r="CE11" t="e">
        <f ca="1"/>
        <v>#NAME?</v>
      </c>
      <c r="CF11" t="e">
        <f t="shared" ca="1" si="11"/>
        <v>#NAME?</v>
      </c>
      <c r="CL11" t="e">
        <f ca="1"/>
        <v>#NAME?</v>
      </c>
      <c r="CM11" t="e">
        <f t="shared" ca="1" si="12"/>
        <v>#NAME?</v>
      </c>
      <c r="CS11" t="e">
        <f ca="1"/>
        <v>#NAME?</v>
      </c>
      <c r="CT11" t="e">
        <f t="shared" ca="1" si="13"/>
        <v>#NAME?</v>
      </c>
    </row>
    <row r="12" spans="1:102">
      <c r="A12" s="617">
        <f t="shared" si="14"/>
        <v>2008</v>
      </c>
      <c r="B12" s="617">
        <v>37</v>
      </c>
      <c r="C12" s="617">
        <v>27</v>
      </c>
      <c r="D12" s="617">
        <v>71</v>
      </c>
      <c r="F12">
        <v>71.413776654104851</v>
      </c>
      <c r="G12">
        <f t="shared" si="0"/>
        <v>-0.41377665410485065</v>
      </c>
      <c r="M12" t="e">
        <f ca="1"/>
        <v>#NAME?</v>
      </c>
      <c r="N12" t="e">
        <f t="shared" ca="1" si="1"/>
        <v>#NAME?</v>
      </c>
      <c r="T12" t="e">
        <f ca="1"/>
        <v>#NAME?</v>
      </c>
      <c r="U12" t="e">
        <f t="shared" ca="1" si="2"/>
        <v>#NAME?</v>
      </c>
      <c r="AA12" t="e">
        <f ca="1"/>
        <v>#NAME?</v>
      </c>
      <c r="AB12" t="e">
        <f t="shared" ca="1" si="3"/>
        <v>#NAME?</v>
      </c>
      <c r="AH12" t="e">
        <f ca="1"/>
        <v>#NAME?</v>
      </c>
      <c r="AI12" t="e">
        <f t="shared" ca="1" si="4"/>
        <v>#NAME?</v>
      </c>
      <c r="AO12" t="e">
        <f ca="1"/>
        <v>#NAME?</v>
      </c>
      <c r="AP12" t="e">
        <f t="shared" ca="1" si="5"/>
        <v>#NAME?</v>
      </c>
      <c r="AV12" t="e">
        <f ca="1"/>
        <v>#NAME?</v>
      </c>
      <c r="AW12" t="e">
        <f t="shared" ca="1" si="6"/>
        <v>#NAME?</v>
      </c>
      <c r="BC12" t="e">
        <f ca="1"/>
        <v>#NAME?</v>
      </c>
      <c r="BD12" t="e">
        <f t="shared" ca="1" si="7"/>
        <v>#NAME?</v>
      </c>
      <c r="BJ12" t="e">
        <f ca="1"/>
        <v>#NAME?</v>
      </c>
      <c r="BK12" t="e">
        <f t="shared" ca="1" si="8"/>
        <v>#NAME?</v>
      </c>
      <c r="BQ12" t="e">
        <f ca="1"/>
        <v>#NAME?</v>
      </c>
      <c r="BR12" t="e">
        <f t="shared" ca="1" si="9"/>
        <v>#NAME?</v>
      </c>
      <c r="BX12" t="e">
        <f ca="1"/>
        <v>#NAME?</v>
      </c>
      <c r="BY12" t="e">
        <f t="shared" ca="1" si="10"/>
        <v>#NAME?</v>
      </c>
      <c r="CE12" t="e">
        <f ca="1"/>
        <v>#NAME?</v>
      </c>
      <c r="CF12" t="e">
        <f t="shared" ca="1" si="11"/>
        <v>#NAME?</v>
      </c>
      <c r="CL12" t="e">
        <f ca="1"/>
        <v>#NAME?</v>
      </c>
      <c r="CM12" t="e">
        <f t="shared" ca="1" si="12"/>
        <v>#NAME?</v>
      </c>
      <c r="CS12" t="e">
        <f ca="1"/>
        <v>#NAME?</v>
      </c>
      <c r="CT12" t="e">
        <f t="shared" ca="1" si="13"/>
        <v>#NAME?</v>
      </c>
    </row>
    <row r="13" spans="1:102">
      <c r="A13" s="617">
        <f t="shared" si="14"/>
        <v>2009</v>
      </c>
      <c r="B13" s="617">
        <v>34</v>
      </c>
      <c r="C13" s="617">
        <v>24</v>
      </c>
      <c r="D13" s="617">
        <v>69</v>
      </c>
      <c r="F13">
        <v>67.670180794733568</v>
      </c>
      <c r="G13">
        <f t="shared" si="0"/>
        <v>1.3298192052664319</v>
      </c>
      <c r="M13" t="e">
        <f ca="1"/>
        <v>#NAME?</v>
      </c>
      <c r="N13" t="e">
        <f t="shared" ca="1" si="1"/>
        <v>#NAME?</v>
      </c>
      <c r="T13" t="e">
        <f ca="1"/>
        <v>#NAME?</v>
      </c>
      <c r="U13" t="e">
        <f t="shared" ca="1" si="2"/>
        <v>#NAME?</v>
      </c>
      <c r="AA13" t="e">
        <f ca="1"/>
        <v>#NAME?</v>
      </c>
      <c r="AB13" t="e">
        <f t="shared" ca="1" si="3"/>
        <v>#NAME?</v>
      </c>
      <c r="AH13" t="e">
        <f ca="1"/>
        <v>#NAME?</v>
      </c>
      <c r="AI13" t="e">
        <f t="shared" ca="1" si="4"/>
        <v>#NAME?</v>
      </c>
      <c r="AO13" t="e">
        <f ca="1"/>
        <v>#NAME?</v>
      </c>
      <c r="AP13" t="e">
        <f t="shared" ca="1" si="5"/>
        <v>#NAME?</v>
      </c>
      <c r="AV13" t="e">
        <f ca="1"/>
        <v>#NAME?</v>
      </c>
      <c r="AW13" t="e">
        <f t="shared" ca="1" si="6"/>
        <v>#NAME?</v>
      </c>
      <c r="BC13" t="e">
        <f ca="1"/>
        <v>#NAME?</v>
      </c>
      <c r="BD13" t="e">
        <f t="shared" ca="1" si="7"/>
        <v>#NAME?</v>
      </c>
      <c r="BJ13" t="e">
        <f ca="1"/>
        <v>#NAME?</v>
      </c>
      <c r="BK13" t="e">
        <f t="shared" ca="1" si="8"/>
        <v>#NAME?</v>
      </c>
      <c r="BQ13" t="e">
        <f ca="1"/>
        <v>#NAME?</v>
      </c>
      <c r="BR13" t="e">
        <f t="shared" ca="1" si="9"/>
        <v>#NAME?</v>
      </c>
      <c r="BX13" t="e">
        <f ca="1"/>
        <v>#NAME?</v>
      </c>
      <c r="BY13" t="e">
        <f t="shared" ca="1" si="10"/>
        <v>#NAME?</v>
      </c>
      <c r="CE13" t="e">
        <f ca="1"/>
        <v>#NAME?</v>
      </c>
      <c r="CF13" t="e">
        <f t="shared" ca="1" si="11"/>
        <v>#NAME?</v>
      </c>
      <c r="CL13" t="e">
        <f ca="1"/>
        <v>#NAME?</v>
      </c>
      <c r="CM13" t="e">
        <f t="shared" ca="1" si="12"/>
        <v>#NAME?</v>
      </c>
      <c r="CS13" t="e">
        <f ca="1"/>
        <v>#NAME?</v>
      </c>
      <c r="CT13" t="e">
        <f t="shared" ca="1" si="13"/>
        <v>#NAME?</v>
      </c>
    </row>
    <row r="14" spans="1:102">
      <c r="A14" s="618">
        <f>A13+1</f>
        <v>2010</v>
      </c>
      <c r="B14" s="618">
        <v>38</v>
      </c>
      <c r="C14" s="618">
        <v>30</v>
      </c>
      <c r="D14" s="618">
        <v>74</v>
      </c>
      <c r="F14" s="380">
        <v>73.624719744311392</v>
      </c>
      <c r="G14" s="380">
        <f t="shared" si="0"/>
        <v>0.37528025568860812</v>
      </c>
      <c r="M14" s="380" t="e">
        <f ca="1"/>
        <v>#NAME?</v>
      </c>
      <c r="N14" s="380" t="e">
        <f t="shared" ca="1" si="1"/>
        <v>#NAME?</v>
      </c>
      <c r="T14" s="380" t="e">
        <f ca="1"/>
        <v>#NAME?</v>
      </c>
      <c r="U14" s="380" t="e">
        <f t="shared" ca="1" si="2"/>
        <v>#NAME?</v>
      </c>
      <c r="AA14" s="380" t="e">
        <f ca="1"/>
        <v>#NAME?</v>
      </c>
      <c r="AB14" s="380" t="e">
        <f t="shared" ca="1" si="3"/>
        <v>#NAME?</v>
      </c>
      <c r="AH14" s="380" t="e">
        <f ca="1"/>
        <v>#NAME?</v>
      </c>
      <c r="AI14" s="380" t="e">
        <f t="shared" ca="1" si="4"/>
        <v>#NAME?</v>
      </c>
      <c r="AO14" s="380" t="e">
        <f ca="1"/>
        <v>#NAME?</v>
      </c>
      <c r="AP14" s="380" t="e">
        <f t="shared" ca="1" si="5"/>
        <v>#NAME?</v>
      </c>
      <c r="AV14" s="380" t="e">
        <f ca="1"/>
        <v>#NAME?</v>
      </c>
      <c r="AW14" s="380" t="e">
        <f t="shared" ca="1" si="6"/>
        <v>#NAME?</v>
      </c>
      <c r="BC14" s="380" t="e">
        <f ca="1"/>
        <v>#NAME?</v>
      </c>
      <c r="BD14" s="380" t="e">
        <f t="shared" ca="1" si="7"/>
        <v>#NAME?</v>
      </c>
      <c r="BJ14" s="380" t="e">
        <f ca="1"/>
        <v>#NAME?</v>
      </c>
      <c r="BK14" s="380" t="e">
        <f t="shared" ca="1" si="8"/>
        <v>#NAME?</v>
      </c>
      <c r="BQ14" s="380" t="e">
        <f ca="1"/>
        <v>#NAME?</v>
      </c>
      <c r="BR14" s="380" t="e">
        <f t="shared" ca="1" si="9"/>
        <v>#NAME?</v>
      </c>
      <c r="BX14" s="380" t="e">
        <f ca="1"/>
        <v>#NAME?</v>
      </c>
      <c r="BY14" s="380" t="e">
        <f t="shared" ca="1" si="10"/>
        <v>#NAME?</v>
      </c>
      <c r="CE14" s="380" t="e">
        <f ca="1"/>
        <v>#NAME?</v>
      </c>
      <c r="CF14" s="380" t="e">
        <f t="shared" ca="1" si="11"/>
        <v>#NAME?</v>
      </c>
      <c r="CL14" s="380" t="e">
        <f ca="1"/>
        <v>#NAME?</v>
      </c>
      <c r="CM14" s="380" t="e">
        <f t="shared" ca="1" si="12"/>
        <v>#NAME?</v>
      </c>
      <c r="CS14" s="380" t="e">
        <f ca="1"/>
        <v>#NAME?</v>
      </c>
      <c r="CT14" s="380" t="e">
        <f t="shared" ca="1" si="13"/>
        <v>#NAME?</v>
      </c>
    </row>
    <row r="17" spans="9:102">
      <c r="I17">
        <v>1</v>
      </c>
      <c r="J17" t="e">
        <f ca="1">CO_RHO($B$4:$C$14,$D$4:$D$14,I17)</f>
        <v>#NAME?</v>
      </c>
      <c r="P17">
        <f>I17+1</f>
        <v>2</v>
      </c>
      <c r="Q17" t="e">
        <f ca="1">CO_RHO($B$4:$C$14,$D$4:$D$14,P17)</f>
        <v>#NAME?</v>
      </c>
      <c r="W17">
        <f>P17+1</f>
        <v>3</v>
      </c>
      <c r="X17" t="e">
        <f ca="1">CO_RHO($B$4:$C$14,$D$4:$D$14,W17)</f>
        <v>#NAME?</v>
      </c>
      <c r="AD17">
        <f>W17+1</f>
        <v>4</v>
      </c>
      <c r="AE17" t="e">
        <f ca="1">CO_RHO($B$4:$C$14,$D$4:$D$14,AD17)</f>
        <v>#NAME?</v>
      </c>
      <c r="AK17">
        <f>AD17+1</f>
        <v>5</v>
      </c>
      <c r="AL17" t="e">
        <f ca="1">CO_RHO($B$4:$C$14,$D$4:$D$14,AK17)</f>
        <v>#NAME?</v>
      </c>
      <c r="AR17">
        <f>AK17+1</f>
        <v>6</v>
      </c>
      <c r="AS17" t="e">
        <f ca="1">CO_RHO($B$4:$C$14,$D$4:$D$14,AR17)</f>
        <v>#NAME?</v>
      </c>
      <c r="AY17">
        <f>AR17+1</f>
        <v>7</v>
      </c>
      <c r="AZ17" t="e">
        <f ca="1">CO_RHO($B$4:$C$14,$D$4:$D$14,AY17)</f>
        <v>#NAME?</v>
      </c>
      <c r="BF17">
        <f>AY17+1</f>
        <v>8</v>
      </c>
      <c r="BG17" t="e">
        <f ca="1">CO_RHO($B$4:$C$14,$D$4:$D$14,BF17)</f>
        <v>#NAME?</v>
      </c>
      <c r="BM17">
        <f>BF17+1</f>
        <v>9</v>
      </c>
      <c r="BN17" t="e">
        <f ca="1">CO_RHO($B$4:$C$14,$D$4:$D$14,BM17)</f>
        <v>#NAME?</v>
      </c>
      <c r="BT17">
        <f>BM17+1</f>
        <v>10</v>
      </c>
      <c r="BU17" t="e">
        <f ca="1">CO_RHO($B$4:$C$14,$D$4:$D$14,BT17)</f>
        <v>#NAME?</v>
      </c>
      <c r="CA17">
        <f>BT17+1</f>
        <v>11</v>
      </c>
      <c r="CB17" t="e">
        <f ca="1">CO_RHO($B$4:$C$14,$D$4:$D$14,CA17)</f>
        <v>#NAME?</v>
      </c>
      <c r="CH17">
        <f>CA17+1</f>
        <v>12</v>
      </c>
      <c r="CI17" t="e">
        <f ca="1">CO_RHO($B$4:$C$14,$D$4:$D$14,CH17)</f>
        <v>#NAME?</v>
      </c>
      <c r="CO17">
        <f>CH17+1</f>
        <v>13</v>
      </c>
      <c r="CP17" t="e">
        <f ca="1">CO_RHO($B$4:$C$14,$D$4:$D$14,CO17)</f>
        <v>#NAME?</v>
      </c>
      <c r="CV17">
        <f>CO17+1</f>
        <v>14</v>
      </c>
      <c r="CW17" t="e">
        <f ca="1">CO_RHO($B$4:$C$14,$D$4:$D$14,CV17)</f>
        <v>#NAME?</v>
      </c>
    </row>
    <row r="19" spans="9:102">
      <c r="J19" s="644" t="e">
        <f t="array" aca="1" ref="J19:K21" ca="1">COCoeff($B$4:$C$14,$D$4:$D$14,J3)</f>
        <v>#NAME?</v>
      </c>
      <c r="K19" s="602" t="e">
        <f ca="1"/>
        <v>#NAME?</v>
      </c>
      <c r="Q19" s="644" t="e">
        <f t="array" aca="1" ref="Q19:R21" ca="1">COCoeff($B$4:$C$14,$D$4:$D$14,Q3)</f>
        <v>#NAME?</v>
      </c>
      <c r="R19" s="602" t="e">
        <f ca="1"/>
        <v>#NAME?</v>
      </c>
      <c r="X19" s="644" t="e">
        <f t="array" aca="1" ref="X19:Y21" ca="1">COCoeff($B$4:$C$14,$D$4:$D$14,X3)</f>
        <v>#NAME?</v>
      </c>
      <c r="Y19" s="602" t="e">
        <f ca="1"/>
        <v>#NAME?</v>
      </c>
      <c r="AE19" s="644" t="e">
        <f t="array" aca="1" ref="AE19:AF21" ca="1">COCoeff($B$4:$C$14,$D$4:$D$14,AE3)</f>
        <v>#NAME?</v>
      </c>
      <c r="AF19" s="602" t="e">
        <f ca="1"/>
        <v>#NAME?</v>
      </c>
      <c r="AL19" s="644" t="e">
        <f t="array" aca="1" ref="AL19:AM21" ca="1">COCoeff($B$4:$C$14,$D$4:$D$14,AL3)</f>
        <v>#NAME?</v>
      </c>
      <c r="AM19" s="602" t="e">
        <f ca="1"/>
        <v>#NAME?</v>
      </c>
      <c r="AS19" s="644" t="e">
        <f t="array" aca="1" ref="AS19:AT21" ca="1">COCoeff($B$4:$C$14,$D$4:$D$14,AS3)</f>
        <v>#NAME?</v>
      </c>
      <c r="AT19" s="602" t="e">
        <f ca="1"/>
        <v>#NAME?</v>
      </c>
      <c r="AZ19" s="644" t="e">
        <f t="array" aca="1" ref="AZ19:BA21" ca="1">COCoeff($B$4:$C$14,$D$4:$D$14,AZ3)</f>
        <v>#NAME?</v>
      </c>
      <c r="BA19" s="602" t="e">
        <f ca="1"/>
        <v>#NAME?</v>
      </c>
      <c r="BG19" s="644" t="e">
        <f t="array" aca="1" ref="BG19:BH21" ca="1">COCoeff($B$4:$C$14,$D$4:$D$14,BG3)</f>
        <v>#NAME?</v>
      </c>
      <c r="BH19" s="602" t="e">
        <f ca="1"/>
        <v>#NAME?</v>
      </c>
      <c r="BN19" s="644" t="e">
        <f t="array" aca="1" ref="BN19:BO21" ca="1">COCoeff($B$4:$C$14,$D$4:$D$14,BN3)</f>
        <v>#NAME?</v>
      </c>
      <c r="BO19" s="602" t="e">
        <f ca="1"/>
        <v>#NAME?</v>
      </c>
      <c r="BU19" s="644" t="e">
        <f t="array" aca="1" ref="BU19:BV21" ca="1">COCoeff($B$4:$C$14,$D$4:$D$14,BU3)</f>
        <v>#NAME?</v>
      </c>
      <c r="BV19" s="602" t="e">
        <f ca="1"/>
        <v>#NAME?</v>
      </c>
      <c r="CB19" s="644" t="e">
        <f t="array" aca="1" ref="CB19:CC21" ca="1">COCoeff($B$4:$C$14,$D$4:$D$14,CB3)</f>
        <v>#NAME?</v>
      </c>
      <c r="CC19" s="602" t="e">
        <f ca="1"/>
        <v>#NAME?</v>
      </c>
      <c r="CI19" s="644" t="e">
        <f t="array" aca="1" ref="CI19:CJ21" ca="1">COCoeff($B$4:$C$14,$D$4:$D$14,CI3)</f>
        <v>#NAME?</v>
      </c>
      <c r="CJ19" s="602" t="e">
        <f ca="1"/>
        <v>#NAME?</v>
      </c>
      <c r="CP19" s="644" t="e">
        <f t="array" aca="1" ref="CP19:CQ21" ca="1">COCoeff($B$4:$C$14,$D$4:$D$14,CP3)</f>
        <v>#NAME?</v>
      </c>
      <c r="CQ19" s="602" t="e">
        <f ca="1"/>
        <v>#NAME?</v>
      </c>
      <c r="CW19" s="644" t="e">
        <f t="array" aca="1" ref="CW19:CX21" ca="1">COCoeff($B$4:$C$14,$D$4:$D$14,CW3)</f>
        <v>#NAME?</v>
      </c>
      <c r="CX19" s="602" t="e">
        <f ca="1"/>
        <v>#NAME?</v>
      </c>
    </row>
    <row r="20" spans="9:102">
      <c r="J20" s="294" t="e">
        <f ca="1"/>
        <v>#NAME?</v>
      </c>
      <c r="K20" s="295" t="e">
        <f ca="1"/>
        <v>#NAME?</v>
      </c>
      <c r="Q20" s="294" t="e">
        <f ca="1"/>
        <v>#NAME?</v>
      </c>
      <c r="R20" s="295" t="e">
        <f ca="1"/>
        <v>#NAME?</v>
      </c>
      <c r="X20" s="294" t="e">
        <f ca="1"/>
        <v>#NAME?</v>
      </c>
      <c r="Y20" s="295" t="e">
        <f ca="1"/>
        <v>#NAME?</v>
      </c>
      <c r="AE20" s="294" t="e">
        <f ca="1"/>
        <v>#NAME?</v>
      </c>
      <c r="AF20" s="295" t="e">
        <f ca="1"/>
        <v>#NAME?</v>
      </c>
      <c r="AL20" s="294" t="e">
        <f ca="1"/>
        <v>#NAME?</v>
      </c>
      <c r="AM20" s="295" t="e">
        <f ca="1"/>
        <v>#NAME?</v>
      </c>
      <c r="AS20" s="294" t="e">
        <f ca="1"/>
        <v>#NAME?</v>
      </c>
      <c r="AT20" s="295" t="e">
        <f ca="1"/>
        <v>#NAME?</v>
      </c>
      <c r="AZ20" s="294" t="e">
        <f ca="1"/>
        <v>#NAME?</v>
      </c>
      <c r="BA20" s="295" t="e">
        <f ca="1"/>
        <v>#NAME?</v>
      </c>
      <c r="BG20" s="294" t="e">
        <f ca="1"/>
        <v>#NAME?</v>
      </c>
      <c r="BH20" s="295" t="e">
        <f ca="1"/>
        <v>#NAME?</v>
      </c>
      <c r="BN20" s="294" t="e">
        <f ca="1"/>
        <v>#NAME?</v>
      </c>
      <c r="BO20" s="295" t="e">
        <f ca="1"/>
        <v>#NAME?</v>
      </c>
      <c r="BU20" s="294" t="e">
        <f ca="1"/>
        <v>#NAME?</v>
      </c>
      <c r="BV20" s="295" t="e">
        <f ca="1"/>
        <v>#NAME?</v>
      </c>
      <c r="CB20" s="294" t="e">
        <f ca="1"/>
        <v>#NAME?</v>
      </c>
      <c r="CC20" s="295" t="e">
        <f ca="1"/>
        <v>#NAME?</v>
      </c>
      <c r="CI20" s="294" t="e">
        <f ca="1"/>
        <v>#NAME?</v>
      </c>
      <c r="CJ20" s="295" t="e">
        <f ca="1"/>
        <v>#NAME?</v>
      </c>
      <c r="CP20" s="294" t="e">
        <f ca="1"/>
        <v>#NAME?</v>
      </c>
      <c r="CQ20" s="295" t="e">
        <f ca="1"/>
        <v>#NAME?</v>
      </c>
      <c r="CW20" s="294" t="e">
        <f ca="1"/>
        <v>#NAME?</v>
      </c>
      <c r="CX20" s="295" t="e">
        <f ca="1"/>
        <v>#NAME?</v>
      </c>
    </row>
    <row r="21" spans="9:102">
      <c r="J21" s="284" t="e">
        <f ca="1"/>
        <v>#NAME?</v>
      </c>
      <c r="K21" s="288" t="e">
        <f ca="1"/>
        <v>#NAME?</v>
      </c>
      <c r="Q21" s="284" t="e">
        <f ca="1"/>
        <v>#NAME?</v>
      </c>
      <c r="R21" s="288" t="e">
        <f ca="1"/>
        <v>#NAME?</v>
      </c>
      <c r="X21" s="284" t="e">
        <f ca="1"/>
        <v>#NAME?</v>
      </c>
      <c r="Y21" s="288" t="e">
        <f ca="1"/>
        <v>#NAME?</v>
      </c>
      <c r="AE21" s="284" t="e">
        <f ca="1"/>
        <v>#NAME?</v>
      </c>
      <c r="AF21" s="288" t="e">
        <f ca="1"/>
        <v>#NAME?</v>
      </c>
      <c r="AL21" s="284" t="e">
        <f ca="1"/>
        <v>#NAME?</v>
      </c>
      <c r="AM21" s="288" t="e">
        <f ca="1"/>
        <v>#NAME?</v>
      </c>
      <c r="AS21" s="284" t="e">
        <f ca="1"/>
        <v>#NAME?</v>
      </c>
      <c r="AT21" s="288" t="e">
        <f ca="1"/>
        <v>#NAME?</v>
      </c>
      <c r="AZ21" s="284" t="e">
        <f ca="1"/>
        <v>#NAME?</v>
      </c>
      <c r="BA21" s="288" t="e">
        <f ca="1"/>
        <v>#NAME?</v>
      </c>
      <c r="BG21" s="284" t="e">
        <f ca="1"/>
        <v>#NAME?</v>
      </c>
      <c r="BH21" s="288" t="e">
        <f ca="1"/>
        <v>#NAME?</v>
      </c>
      <c r="BN21" s="284" t="e">
        <f ca="1"/>
        <v>#NAME?</v>
      </c>
      <c r="BO21" s="288" t="e">
        <f ca="1"/>
        <v>#NAME?</v>
      </c>
      <c r="BU21" s="284" t="e">
        <f ca="1"/>
        <v>#NAME?</v>
      </c>
      <c r="BV21" s="288" t="e">
        <f ca="1"/>
        <v>#NAME?</v>
      </c>
      <c r="CB21" s="284" t="e">
        <f ca="1"/>
        <v>#NAME?</v>
      </c>
      <c r="CC21" s="288" t="e">
        <f ca="1"/>
        <v>#NAME?</v>
      </c>
      <c r="CI21" s="284" t="e">
        <f ca="1"/>
        <v>#NAME?</v>
      </c>
      <c r="CJ21" s="288" t="e">
        <f ca="1"/>
        <v>#NAME?</v>
      </c>
      <c r="CP21" s="284" t="e">
        <f ca="1"/>
        <v>#NAME?</v>
      </c>
      <c r="CQ21" s="288" t="e">
        <f ca="1"/>
        <v>#NAME?</v>
      </c>
      <c r="CW21" s="284" t="e">
        <f ca="1"/>
        <v>#NAME?</v>
      </c>
      <c r="CX21" s="288" t="e">
        <f ca="1"/>
        <v>#NAME?</v>
      </c>
    </row>
    <row r="24" spans="9:102">
      <c r="BM24" s="657" t="s">
        <v>973</v>
      </c>
      <c r="BN24" s="303" t="e">
        <f ca="1">CO_RHO($B$4:$C$14,$D$4:$D$14)</f>
        <v>#NAME?</v>
      </c>
    </row>
    <row r="25" spans="9:102" ht="15.75" thickBot="1"/>
    <row r="26" spans="9:102" ht="15.75" thickTop="1">
      <c r="BM26" s="398"/>
      <c r="BN26" s="398" t="s">
        <v>600</v>
      </c>
      <c r="BO26" s="398" t="s">
        <v>503</v>
      </c>
    </row>
    <row r="27" spans="9:102">
      <c r="BM27" t="s">
        <v>212</v>
      </c>
      <c r="BN27" t="e">
        <f t="array" aca="1" ref="BN27:BO29" ca="1">COCoeff($B$4:$C$14,$D$4:$D$14,BN3)</f>
        <v>#NAME?</v>
      </c>
      <c r="BO27" t="e">
        <f ca="1"/>
        <v>#NAME?</v>
      </c>
    </row>
    <row r="28" spans="9:102">
      <c r="BM28" t="s">
        <v>682</v>
      </c>
      <c r="BN28" t="e">
        <f ca="1"/>
        <v>#NAME?</v>
      </c>
      <c r="BO28" t="e">
        <f ca="1"/>
        <v>#NAME?</v>
      </c>
    </row>
    <row r="29" spans="9:102">
      <c r="BM29" s="380" t="s">
        <v>531</v>
      </c>
      <c r="BN29" s="380" t="e">
        <f ca="1"/>
        <v>#NAME?</v>
      </c>
      <c r="BO29" s="380" t="e">
        <f ca="1"/>
        <v>#NAME?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6"/>
  <dimension ref="A1:AF25"/>
  <sheetViews>
    <sheetView workbookViewId="0"/>
  </sheetViews>
  <sheetFormatPr defaultRowHeight="15"/>
  <cols>
    <col min="5" max="5" width="3.7109375" customWidth="1"/>
    <col min="9" max="11" width="9.140625" customWidth="1"/>
    <col min="12" max="12" width="2.7109375" customWidth="1"/>
    <col min="13" max="13" width="5" customWidth="1"/>
    <col min="15" max="15" width="2.7109375" customWidth="1"/>
    <col min="16" max="16" width="9.28515625" bestFit="1" customWidth="1"/>
    <col min="17" max="18" width="9.140625" customWidth="1"/>
    <col min="19" max="19" width="2.7109375" customWidth="1"/>
    <col min="20" max="20" width="9.28515625" bestFit="1" customWidth="1"/>
    <col min="21" max="22" width="9.140625" customWidth="1"/>
    <col min="28" max="28" width="9.140625" customWidth="1"/>
  </cols>
  <sheetData>
    <row r="1" spans="1:32">
      <c r="A1" s="1" t="s">
        <v>949</v>
      </c>
      <c r="I1" t="s">
        <v>950</v>
      </c>
      <c r="P1" t="s">
        <v>951</v>
      </c>
      <c r="Y1" t="s">
        <v>601</v>
      </c>
    </row>
    <row r="2" spans="1:32">
      <c r="I2" s="644">
        <f t="array" ref="I2:K4">MMULT(TRANSPOSE(A4:C23),A4:C23*G4:G23^2)</f>
        <v>5043.8991509983152</v>
      </c>
      <c r="J2" s="399">
        <v>6553087.8791490663</v>
      </c>
      <c r="K2" s="602">
        <v>14956.231651221304</v>
      </c>
      <c r="M2" t="s">
        <v>375</v>
      </c>
      <c r="N2" s="506">
        <v>0</v>
      </c>
      <c r="P2" s="644">
        <f t="array" ref="P2:R4">I2:K4*N4</f>
        <v>5043.8991509983152</v>
      </c>
      <c r="Q2" s="399">
        <v>6553087.8791490663</v>
      </c>
      <c r="R2" s="602">
        <v>14956.231651221304</v>
      </c>
    </row>
    <row r="3" spans="1:32" ht="15.75" thickBot="1">
      <c r="A3" s="645" t="s">
        <v>952</v>
      </c>
      <c r="B3" s="645" t="s">
        <v>939</v>
      </c>
      <c r="C3" s="645" t="s">
        <v>940</v>
      </c>
      <c r="D3" s="645" t="s">
        <v>938</v>
      </c>
      <c r="F3" s="645" t="s">
        <v>638</v>
      </c>
      <c r="G3" s="645" t="s">
        <v>953</v>
      </c>
      <c r="H3" s="626"/>
      <c r="I3" s="294">
        <v>6553087.8791490663</v>
      </c>
      <c r="J3" s="5">
        <v>8691982792.8405228</v>
      </c>
      <c r="K3" s="295">
        <v>19856622.364366218</v>
      </c>
      <c r="M3" t="s">
        <v>954</v>
      </c>
      <c r="N3" s="293">
        <v>3</v>
      </c>
      <c r="P3" s="294">
        <v>6553087.8791490663</v>
      </c>
      <c r="Q3" s="5">
        <v>8691982792.8405228</v>
      </c>
      <c r="R3" s="295">
        <v>19856622.364366218</v>
      </c>
      <c r="Y3" s="364" t="s">
        <v>606</v>
      </c>
      <c r="Z3" s="364"/>
      <c r="AB3" s="364"/>
      <c r="AC3" s="364"/>
    </row>
    <row r="4" spans="1:32" ht="15.75" thickTop="1">
      <c r="A4" s="614">
        <v>1</v>
      </c>
      <c r="B4" s="646">
        <v>860.8</v>
      </c>
      <c r="C4" s="647">
        <v>4.62</v>
      </c>
      <c r="D4" s="646">
        <v>112.2</v>
      </c>
      <c r="F4">
        <f t="array" ref="F4:F23">TREND(D4:D23,B4:C23)</f>
        <v>128.29555143282235</v>
      </c>
      <c r="G4" s="648">
        <f>D4-F4</f>
        <v>-16.095551432822347</v>
      </c>
      <c r="H4" s="24"/>
      <c r="I4" s="284">
        <v>14956.231651221304</v>
      </c>
      <c r="J4" s="380">
        <v>19856622.364366218</v>
      </c>
      <c r="K4" s="288">
        <v>59473.719486571521</v>
      </c>
      <c r="M4" t="s">
        <v>955</v>
      </c>
      <c r="N4" s="289">
        <f>1-N2/(N3+1)</f>
        <v>1</v>
      </c>
      <c r="P4" s="284">
        <v>14956.231651221304</v>
      </c>
      <c r="Q4" s="380">
        <v>19856622.364366218</v>
      </c>
      <c r="R4" s="288">
        <v>59473.719486571521</v>
      </c>
      <c r="Y4" t="s">
        <v>208</v>
      </c>
      <c r="Z4" t="e">
        <f ca="1">SQRT(Z5)</f>
        <v>#NAME?</v>
      </c>
      <c r="AB4" t="s">
        <v>498</v>
      </c>
      <c r="AC4" t="e">
        <f ca="1">Z8*LN(AA13/Z8)+2*(Z12+1)</f>
        <v>#NAME?</v>
      </c>
    </row>
    <row r="5" spans="1:32">
      <c r="A5" s="614">
        <v>1</v>
      </c>
      <c r="B5" s="646">
        <v>866.9</v>
      </c>
      <c r="C5" s="647">
        <v>4.0999999999999996</v>
      </c>
      <c r="D5" s="646">
        <v>132.4</v>
      </c>
      <c r="F5">
        <v>130.07396675321831</v>
      </c>
      <c r="G5" s="648">
        <f t="shared" ref="G5:G23" si="0">D5-F5</f>
        <v>2.3260332467816909</v>
      </c>
      <c r="H5" s="24"/>
      <c r="Y5" t="s">
        <v>201</v>
      </c>
      <c r="Z5" t="e">
        <f ca="1">AA12/AA14</f>
        <v>#NAME?</v>
      </c>
      <c r="AB5" t="s">
        <v>499</v>
      </c>
      <c r="AC5" t="e">
        <f ca="1">AC4+2*(Z12+2)*(Z12+3)/(Z8-Z12-3)</f>
        <v>#NAME?</v>
      </c>
    </row>
    <row r="6" spans="1:32">
      <c r="A6" s="614">
        <v>1</v>
      </c>
      <c r="B6" s="646">
        <v>919.2</v>
      </c>
      <c r="C6" s="647">
        <v>4.04</v>
      </c>
      <c r="D6" s="646">
        <v>153.4</v>
      </c>
      <c r="F6">
        <v>139.25804462607576</v>
      </c>
      <c r="G6" s="648">
        <f t="shared" si="0"/>
        <v>14.141955373924247</v>
      </c>
      <c r="H6" s="24"/>
      <c r="I6" t="s">
        <v>956</v>
      </c>
      <c r="P6" t="s">
        <v>957</v>
      </c>
      <c r="Y6" t="s">
        <v>209</v>
      </c>
      <c r="Z6" t="e">
        <f ca="1">1-(1-Z5)*(Z8-1)/(Z8-Z12-1)</f>
        <v>#NAME?</v>
      </c>
      <c r="AB6" s="380" t="s">
        <v>762</v>
      </c>
      <c r="AC6" s="380" t="e">
        <f ca="1">Z8*LN(AA13/Z8)+(Z12+1)*LN(Z8)</f>
        <v>#NAME?</v>
      </c>
    </row>
    <row r="7" spans="1:32">
      <c r="A7" s="614">
        <v>1</v>
      </c>
      <c r="B7" s="646">
        <v>974.6</v>
      </c>
      <c r="C7" s="647">
        <v>3.42</v>
      </c>
      <c r="D7" s="646">
        <v>162.30000000000001</v>
      </c>
      <c r="F7">
        <v>149.75361583369013</v>
      </c>
      <c r="G7" s="648">
        <f t="shared" si="0"/>
        <v>12.546384166309878</v>
      </c>
      <c r="H7" s="24"/>
      <c r="I7" s="644">
        <f t="array" ref="I7:K9">MMULT(TRANSPOSE(A4:C22),A5:C23*G4:G22*G5:G23)+MMULT(TRANSPOSE(A5:C23),A4:C22*G4:G22*G5:G23)</f>
        <v>2515.4754764873792</v>
      </c>
      <c r="J7" s="399">
        <v>3162032.6661211378</v>
      </c>
      <c r="K7" s="602">
        <v>5706.8899711301156</v>
      </c>
      <c r="M7" t="s">
        <v>375</v>
      </c>
      <c r="N7" s="506">
        <f>N2+1</f>
        <v>1</v>
      </c>
      <c r="P7" s="644">
        <f t="array" ref="P7:R9">I7:K9*N9</f>
        <v>1886.6066073655343</v>
      </c>
      <c r="Q7" s="399">
        <v>2371524.4995908532</v>
      </c>
      <c r="R7" s="602">
        <v>4280.1674783475864</v>
      </c>
      <c r="Y7" t="s">
        <v>9</v>
      </c>
      <c r="Z7" t="e">
        <f ca="1">SQRT(AB13)</f>
        <v>#NAME?</v>
      </c>
    </row>
    <row r="8" spans="1:32">
      <c r="A8" s="614">
        <v>1</v>
      </c>
      <c r="B8" s="646">
        <v>1001.2</v>
      </c>
      <c r="C8" s="647">
        <v>3.3499999999999996</v>
      </c>
      <c r="D8" s="646">
        <v>156.5</v>
      </c>
      <c r="F8">
        <v>154.47910936787841</v>
      </c>
      <c r="G8" s="648">
        <f t="shared" si="0"/>
        <v>2.020890632121592</v>
      </c>
      <c r="H8" s="24"/>
      <c r="I8" s="294">
        <v>3162032.6661211378</v>
      </c>
      <c r="J8" s="5">
        <v>4036354456.1101942</v>
      </c>
      <c r="K8" s="295">
        <v>6923388.7828721981</v>
      </c>
      <c r="M8" t="s">
        <v>954</v>
      </c>
      <c r="N8" s="293">
        <v>3</v>
      </c>
      <c r="P8" s="294">
        <v>2371524.4995908532</v>
      </c>
      <c r="Q8" s="5">
        <v>3027265842.0826454</v>
      </c>
      <c r="R8" s="295">
        <v>5192541.5871541481</v>
      </c>
      <c r="Y8" s="380" t="s">
        <v>42</v>
      </c>
      <c r="Z8" s="380">
        <f>COUNT(D4:D23)</f>
        <v>20</v>
      </c>
    </row>
    <row r="9" spans="1:32">
      <c r="A9" s="614">
        <v>1</v>
      </c>
      <c r="B9" s="646">
        <v>1048.5</v>
      </c>
      <c r="C9" s="647">
        <v>2.9899999999999998</v>
      </c>
      <c r="D9" s="646">
        <v>162.69999999999999</v>
      </c>
      <c r="F9">
        <v>163.20666081495773</v>
      </c>
      <c r="G9" s="648">
        <f t="shared" si="0"/>
        <v>-0.50666081495774051</v>
      </c>
      <c r="H9" s="24"/>
      <c r="I9" s="284">
        <v>5706.8899711301146</v>
      </c>
      <c r="J9" s="380">
        <v>6923388.7828721981</v>
      </c>
      <c r="K9" s="288">
        <v>11688.606747700602</v>
      </c>
      <c r="M9" t="s">
        <v>955</v>
      </c>
      <c r="N9" s="289">
        <f>1-N7/(N8+1)</f>
        <v>0.75</v>
      </c>
      <c r="P9" s="284">
        <v>4280.1674783475864</v>
      </c>
      <c r="Q9" s="380">
        <v>5192541.5871541481</v>
      </c>
      <c r="R9" s="288">
        <v>8766.4550607754518</v>
      </c>
    </row>
    <row r="10" spans="1:32" ht="15.75" thickBot="1">
      <c r="A10" s="614">
        <v>1</v>
      </c>
      <c r="B10" s="646">
        <v>1077</v>
      </c>
      <c r="C10" s="647">
        <v>2.8099999999999996</v>
      </c>
      <c r="D10" s="646">
        <v>166.2</v>
      </c>
      <c r="F10">
        <v>168.41444419921717</v>
      </c>
      <c r="G10" s="648">
        <f t="shared" si="0"/>
        <v>-2.2144441992171835</v>
      </c>
      <c r="H10" s="24"/>
      <c r="Y10" t="s">
        <v>210</v>
      </c>
      <c r="AC10" s="614" t="s">
        <v>16</v>
      </c>
      <c r="AD10" s="614">
        <v>0.05</v>
      </c>
    </row>
    <row r="11" spans="1:32" ht="15.75" thickTop="1">
      <c r="A11" s="614">
        <v>1</v>
      </c>
      <c r="B11" s="646">
        <v>1075.2</v>
      </c>
      <c r="C11" s="647">
        <v>2.7600000000000002</v>
      </c>
      <c r="D11" s="646">
        <v>158.5</v>
      </c>
      <c r="F11">
        <v>168.17013500343717</v>
      </c>
      <c r="G11" s="648">
        <f t="shared" si="0"/>
        <v>-9.6701350034371671</v>
      </c>
      <c r="H11" s="24"/>
      <c r="I11" t="s">
        <v>958</v>
      </c>
      <c r="P11" t="s">
        <v>959</v>
      </c>
      <c r="Y11" s="398"/>
      <c r="Z11" s="398" t="s">
        <v>26</v>
      </c>
      <c r="AA11" s="398" t="s">
        <v>137</v>
      </c>
      <c r="AB11" s="398" t="s">
        <v>156</v>
      </c>
      <c r="AC11" s="398" t="s">
        <v>63</v>
      </c>
      <c r="AD11" s="398" t="s">
        <v>30</v>
      </c>
      <c r="AE11" s="398" t="s">
        <v>374</v>
      </c>
    </row>
    <row r="12" spans="1:32">
      <c r="A12" s="614">
        <v>1</v>
      </c>
      <c r="B12" s="646">
        <v>1112.5</v>
      </c>
      <c r="C12" s="647">
        <v>2.06</v>
      </c>
      <c r="D12" s="646">
        <v>174.1</v>
      </c>
      <c r="F12">
        <v>175.62619364292624</v>
      </c>
      <c r="G12" s="648">
        <f t="shared" si="0"/>
        <v>-1.5261936429262448</v>
      </c>
      <c r="H12" s="24"/>
      <c r="I12" s="644">
        <f t="array" ref="I12:K14">MMULT(TRANSPOSE(A4:C21),A6:C23*G4:G21*G6:G23)+MMULT(TRANSPOSE(A6:C23),A4:C21*G4:G21*G6:G23)</f>
        <v>-2475.4747342321712</v>
      </c>
      <c r="J12" s="399">
        <v>-2910945.4891800084</v>
      </c>
      <c r="K12" s="602">
        <v>-4449.8704448530571</v>
      </c>
      <c r="M12" t="s">
        <v>375</v>
      </c>
      <c r="N12" s="506">
        <f>N7+1</f>
        <v>2</v>
      </c>
      <c r="P12" s="644">
        <f t="array" ref="P12:R14">I12:K14*N14</f>
        <v>-1237.7373671160856</v>
      </c>
      <c r="Q12" s="399">
        <v>-1455472.7445900042</v>
      </c>
      <c r="R12" s="602">
        <v>-2224.9352224265285</v>
      </c>
      <c r="Y12" t="s">
        <v>138</v>
      </c>
      <c r="Z12">
        <f>COUNT(B4:C4)</f>
        <v>2</v>
      </c>
      <c r="AA12" t="e">
        <f ca="1">DEVSQ(MMULT(DESIGN(B4:C23),Z17:Z19))</f>
        <v>#NAME?</v>
      </c>
      <c r="AB12" t="e">
        <f ca="1">AA12/Z12</f>
        <v>#NAME?</v>
      </c>
      <c r="AC12" t="e">
        <f ca="1">AB12/AB13</f>
        <v>#NAME?</v>
      </c>
      <c r="AD12" t="e">
        <f ca="1">FDIST(AC12,Z12,Z13)</f>
        <v>#NAME?</v>
      </c>
      <c r="AE12" s="614" t="e">
        <f ca="1">IF(AD12&lt;AD10,"yes","no")</f>
        <v>#NAME?</v>
      </c>
    </row>
    <row r="13" spans="1:32">
      <c r="A13" s="614">
        <v>1</v>
      </c>
      <c r="B13" s="646">
        <v>1175.9000000000001</v>
      </c>
      <c r="C13" s="647">
        <v>2.44</v>
      </c>
      <c r="D13" s="646">
        <v>197.9</v>
      </c>
      <c r="F13">
        <v>186.13532721971757</v>
      </c>
      <c r="G13" s="648">
        <f t="shared" si="0"/>
        <v>11.764672780282439</v>
      </c>
      <c r="H13" s="24"/>
      <c r="I13" s="294">
        <v>-2910945.4891800089</v>
      </c>
      <c r="J13" s="5">
        <v>-3449333375.8782225</v>
      </c>
      <c r="K13" s="295">
        <v>-4603058.0447748862</v>
      </c>
      <c r="M13" t="s">
        <v>954</v>
      </c>
      <c r="N13" s="293">
        <v>3</v>
      </c>
      <c r="P13" s="294">
        <v>-1455472.7445900044</v>
      </c>
      <c r="Q13" s="5">
        <v>-1724666687.9391112</v>
      </c>
      <c r="R13" s="295">
        <v>-2301529.0223874431</v>
      </c>
      <c r="Y13" t="s">
        <v>211</v>
      </c>
      <c r="Z13">
        <f>Z14-Z12</f>
        <v>17</v>
      </c>
      <c r="AA13" t="e">
        <f ca="1">AA14-AA12</f>
        <v>#NAME?</v>
      </c>
      <c r="AB13" t="e">
        <f ca="1">AA13/Z13</f>
        <v>#NAME?</v>
      </c>
    </row>
    <row r="14" spans="1:32">
      <c r="A14" s="614">
        <v>1</v>
      </c>
      <c r="B14" s="646">
        <v>1244.0999999999999</v>
      </c>
      <c r="C14" s="647">
        <v>2.86</v>
      </c>
      <c r="D14" s="646">
        <v>217.6</v>
      </c>
      <c r="F14">
        <v>197.42462273870368</v>
      </c>
      <c r="G14" s="648">
        <f t="shared" si="0"/>
        <v>20.175377261296319</v>
      </c>
      <c r="H14" s="24"/>
      <c r="I14" s="284">
        <v>-4449.8704448530571</v>
      </c>
      <c r="J14" s="380">
        <v>-4603058.0447748862</v>
      </c>
      <c r="K14" s="288">
        <v>-4097.2598786455374</v>
      </c>
      <c r="M14" t="s">
        <v>955</v>
      </c>
      <c r="N14" s="289">
        <f>1-N12/(N13+1)</f>
        <v>0.5</v>
      </c>
      <c r="P14" s="284">
        <v>-2224.9352224265285</v>
      </c>
      <c r="Q14" s="380">
        <v>-2301529.0223874431</v>
      </c>
      <c r="R14" s="288">
        <v>-2048.6299393227687</v>
      </c>
      <c r="Y14" s="380" t="s">
        <v>1</v>
      </c>
      <c r="Z14" s="380">
        <f>Z8-1</f>
        <v>19</v>
      </c>
      <c r="AA14" s="380">
        <f>DEVSQ(D4:D23)</f>
        <v>31060.649499999996</v>
      </c>
      <c r="AB14" s="380"/>
      <c r="AC14" s="380"/>
      <c r="AD14" s="380"/>
      <c r="AE14" s="380"/>
    </row>
    <row r="15" spans="1:32" ht="15.75" thickBot="1">
      <c r="A15" s="614">
        <v>1</v>
      </c>
      <c r="B15" s="646">
        <v>1236.8</v>
      </c>
      <c r="C15" s="647">
        <v>1.1200000000000001</v>
      </c>
      <c r="D15" s="646">
        <v>198.3</v>
      </c>
      <c r="F15">
        <v>198.55305116766874</v>
      </c>
      <c r="G15" s="648">
        <f t="shared" si="0"/>
        <v>-0.2530511676687297</v>
      </c>
      <c r="H15" s="24"/>
    </row>
    <row r="16" spans="1:32" ht="18" thickTop="1">
      <c r="A16" s="614">
        <v>1</v>
      </c>
      <c r="B16" s="646">
        <v>1218.3</v>
      </c>
      <c r="C16" s="647">
        <v>0.36</v>
      </c>
      <c r="D16" s="646">
        <v>162.4</v>
      </c>
      <c r="F16">
        <v>196.38138806685936</v>
      </c>
      <c r="G16" s="648">
        <f t="shared" si="0"/>
        <v>-33.981388066859353</v>
      </c>
      <c r="H16" s="24"/>
      <c r="I16" t="s">
        <v>960</v>
      </c>
      <c r="P16" t="s">
        <v>961</v>
      </c>
      <c r="T16" t="s">
        <v>962</v>
      </c>
      <c r="Y16" s="398"/>
      <c r="Z16" s="398" t="s">
        <v>600</v>
      </c>
      <c r="AA16" s="398" t="s">
        <v>503</v>
      </c>
      <c r="AB16" s="398" t="s">
        <v>27</v>
      </c>
      <c r="AC16" s="398" t="s">
        <v>30</v>
      </c>
      <c r="AD16" s="398" t="s">
        <v>13</v>
      </c>
      <c r="AE16" s="398" t="s">
        <v>14</v>
      </c>
      <c r="AF16" s="398" t="s">
        <v>750</v>
      </c>
    </row>
    <row r="17" spans="1:32">
      <c r="A17" s="614">
        <v>1</v>
      </c>
      <c r="B17" s="646">
        <v>1288.5</v>
      </c>
      <c r="C17" s="647">
        <v>2.4</v>
      </c>
      <c r="D17" s="646">
        <v>194.8</v>
      </c>
      <c r="F17">
        <v>205.78537133288356</v>
      </c>
      <c r="G17" s="648">
        <f t="shared" si="0"/>
        <v>-10.985371332883545</v>
      </c>
      <c r="H17" s="24"/>
      <c r="I17" s="644">
        <f t="array" ref="I17:K19">MMULT(TRANSPOSE(A4:C20),A7:C23*G4:G20*G7:G23)+MMULT(TRANSPOSE(A7:C23),A4:C20*G4:G20*G7:G23)</f>
        <v>-6059.4207591757113</v>
      </c>
      <c r="J17" s="399">
        <v>-7879805.2357502459</v>
      </c>
      <c r="K17" s="602">
        <v>-16210.681789570552</v>
      </c>
      <c r="M17" t="s">
        <v>375</v>
      </c>
      <c r="N17" s="506">
        <f>N12+1</f>
        <v>3</v>
      </c>
      <c r="P17" s="644">
        <f t="array" ref="P17:R19">I17:K19*N19</f>
        <v>-1514.8551897939278</v>
      </c>
      <c r="Q17" s="399">
        <v>-1969951.3089375615</v>
      </c>
      <c r="R17" s="602">
        <v>-4052.6704473926379</v>
      </c>
      <c r="T17" s="644" t="e">
        <f t="array" aca="1" ref="T17:V19" ca="1">CORE(B4:C23)</f>
        <v>#NAME?</v>
      </c>
      <c r="U17" s="399" t="e">
        <f ca="1"/>
        <v>#NAME?</v>
      </c>
      <c r="V17" s="602" t="e">
        <f ca="1"/>
        <v>#NAME?</v>
      </c>
      <c r="Y17" t="s">
        <v>212</v>
      </c>
      <c r="Z17" t="e">
        <f t="array" aca="1" ref="Z17:AA19" ca="1">RegCoeff(B4:C23,D4:D23)</f>
        <v>#NAME?</v>
      </c>
      <c r="AA17" t="e">
        <f ca="1"/>
        <v>#NAME?</v>
      </c>
      <c r="AB17" t="e">
        <f ca="1">Z17/AA17</f>
        <v>#NAME?</v>
      </c>
      <c r="AC17" t="e">
        <f ca="1">TDIST(ABS(AB17),$Z$13,2)</f>
        <v>#NAME?</v>
      </c>
      <c r="AD17" t="e">
        <f ca="1">Z17-TINV(AD$10,$Z$13)*AA17</f>
        <v>#NAME?</v>
      </c>
      <c r="AE17" t="e">
        <f ca="1">Z17+TINV(AD$10,$Z$13)*AA17</f>
        <v>#NAME?</v>
      </c>
    </row>
    <row r="18" spans="1:32">
      <c r="A18" s="614">
        <v>1</v>
      </c>
      <c r="B18" s="646">
        <v>1359.6</v>
      </c>
      <c r="C18" s="647">
        <v>1.79</v>
      </c>
      <c r="D18" s="646">
        <v>221.1</v>
      </c>
      <c r="F18">
        <v>218.99930489830157</v>
      </c>
      <c r="G18" s="648">
        <f t="shared" si="0"/>
        <v>2.1006951016984203</v>
      </c>
      <c r="H18" s="24"/>
      <c r="I18" s="294">
        <v>-7879805.2357502449</v>
      </c>
      <c r="J18" s="5">
        <v>-10351005351.271526</v>
      </c>
      <c r="K18" s="295">
        <v>-21203070.859408945</v>
      </c>
      <c r="M18" t="s">
        <v>954</v>
      </c>
      <c r="N18" s="293">
        <v>3</v>
      </c>
      <c r="P18" s="294">
        <v>-1969951.3089375612</v>
      </c>
      <c r="Q18" s="5">
        <v>-2587751337.8178816</v>
      </c>
      <c r="R18" s="295">
        <v>-5300767.7148522362</v>
      </c>
      <c r="T18" s="294" t="e">
        <f ca="1"/>
        <v>#NAME?</v>
      </c>
      <c r="U18" s="5" t="e">
        <f ca="1"/>
        <v>#NAME?</v>
      </c>
      <c r="V18" s="295" t="e">
        <f ca="1"/>
        <v>#NAME?</v>
      </c>
      <c r="Y18" t="str">
        <f t="array" ref="Y18:Y19">TRANSPOSE(B3:C3)</f>
        <v>GNP</v>
      </c>
      <c r="Z18" t="e">
        <f ca="1"/>
        <v>#NAME?</v>
      </c>
      <c r="AA18" t="e">
        <f ca="1"/>
        <v>#NAME?</v>
      </c>
      <c r="AB18" t="e">
        <f t="shared" ref="AB18:AB19" ca="1" si="1">Z18/AA18</f>
        <v>#NAME?</v>
      </c>
      <c r="AC18" t="e">
        <f t="shared" ref="AC18:AC19" ca="1" si="2">TDIST(ABS(AB18),$Z$13,2)</f>
        <v>#NAME?</v>
      </c>
      <c r="AD18" t="e">
        <f t="shared" ref="AD18:AD19" ca="1" si="3">Z18-TINV(AD$10,$Z$13)*AA18</f>
        <v>#NAME?</v>
      </c>
      <c r="AE18" t="e">
        <f t="shared" ref="AE18:AE19" ca="1" si="4">Z18+TINV(AD$10,$Z$13)*AA18</f>
        <v>#NAME?</v>
      </c>
      <c r="AF18" t="e">
        <f ca="1">VIF(B4:C23,1)</f>
        <v>#NAME?</v>
      </c>
    </row>
    <row r="19" spans="1:32">
      <c r="A19" s="614">
        <v>1</v>
      </c>
      <c r="B19" s="646">
        <v>1428</v>
      </c>
      <c r="C19" s="647">
        <v>2.27</v>
      </c>
      <c r="D19" s="646">
        <v>257.39999999999998</v>
      </c>
      <c r="F19">
        <v>230.24068794397411</v>
      </c>
      <c r="G19" s="648">
        <f t="shared" si="0"/>
        <v>27.159312056025868</v>
      </c>
      <c r="H19" s="24"/>
      <c r="I19" s="284">
        <v>-16210.68178957055</v>
      </c>
      <c r="J19" s="380">
        <v>-21203070.859408945</v>
      </c>
      <c r="K19" s="288">
        <v>-49992.338626080535</v>
      </c>
      <c r="M19" t="s">
        <v>955</v>
      </c>
      <c r="N19" s="289">
        <f>1-N17/(N18+1)</f>
        <v>0.25</v>
      </c>
      <c r="P19" s="284">
        <v>-4052.6704473926375</v>
      </c>
      <c r="Q19" s="380">
        <v>-5300767.7148522362</v>
      </c>
      <c r="R19" s="288">
        <v>-12498.084656520134</v>
      </c>
      <c r="T19" s="284" t="e">
        <f ca="1"/>
        <v>#NAME?</v>
      </c>
      <c r="U19" s="380" t="e">
        <f ca="1"/>
        <v>#NAME?</v>
      </c>
      <c r="V19" s="288" t="e">
        <f ca="1"/>
        <v>#NAME?</v>
      </c>
      <c r="Y19" s="380" t="str">
        <v>Interest</v>
      </c>
      <c r="Z19" s="380" t="e">
        <f ca="1"/>
        <v>#NAME?</v>
      </c>
      <c r="AA19" s="380" t="e">
        <f ca="1"/>
        <v>#NAME?</v>
      </c>
      <c r="AB19" s="380" t="e">
        <f t="shared" ca="1" si="1"/>
        <v>#NAME?</v>
      </c>
      <c r="AC19" s="380" t="e">
        <f t="shared" ca="1" si="2"/>
        <v>#NAME?</v>
      </c>
      <c r="AD19" s="380" t="e">
        <f t="shared" ca="1" si="3"/>
        <v>#NAME?</v>
      </c>
      <c r="AE19" s="380" t="e">
        <f t="shared" ca="1" si="4"/>
        <v>#NAME?</v>
      </c>
      <c r="AF19" s="380" t="e">
        <f ca="1">VIF(B4:C23,2)</f>
        <v>#NAME?</v>
      </c>
    </row>
    <row r="20" spans="1:32" ht="15.75" thickBot="1">
      <c r="A20" s="614">
        <v>1</v>
      </c>
      <c r="B20" s="646">
        <v>1469.8</v>
      </c>
      <c r="C20" s="647">
        <v>3.73</v>
      </c>
      <c r="D20" s="646">
        <v>258.5</v>
      </c>
      <c r="F20">
        <v>235.50203760933928</v>
      </c>
      <c r="G20" s="648">
        <f t="shared" si="0"/>
        <v>22.997962390660717</v>
      </c>
      <c r="H20" s="24"/>
    </row>
    <row r="21" spans="1:32" ht="15.75" thickTop="1">
      <c r="A21" s="614">
        <v>1</v>
      </c>
      <c r="B21" s="646">
        <v>1465.8</v>
      </c>
      <c r="C21" s="647">
        <v>4.7300000000000004</v>
      </c>
      <c r="D21" s="646">
        <v>226.1</v>
      </c>
      <c r="F21">
        <v>233.42733360147764</v>
      </c>
      <c r="G21" s="648">
        <f t="shared" si="0"/>
        <v>-7.3273336014776476</v>
      </c>
      <c r="H21" s="24"/>
      <c r="P21" t="s">
        <v>963</v>
      </c>
      <c r="T21" t="s">
        <v>964</v>
      </c>
      <c r="W21" s="614" t="s">
        <v>965</v>
      </c>
      <c r="Y21" s="398"/>
      <c r="Z21" s="398" t="s">
        <v>600</v>
      </c>
      <c r="AA21" s="398" t="s">
        <v>503</v>
      </c>
      <c r="AC21" s="398" t="s">
        <v>600</v>
      </c>
      <c r="AD21" s="398" t="s">
        <v>503</v>
      </c>
    </row>
    <row r="22" spans="1:32">
      <c r="A22" s="614">
        <v>1</v>
      </c>
      <c r="B22" s="646">
        <v>1502</v>
      </c>
      <c r="C22" s="647">
        <v>4.1099999999999994</v>
      </c>
      <c r="D22" s="646">
        <v>242.1</v>
      </c>
      <c r="F22">
        <v>240.58167860583032</v>
      </c>
      <c r="G22" s="648">
        <f t="shared" si="0"/>
        <v>1.5183213941696749</v>
      </c>
      <c r="H22" s="24"/>
      <c r="M22" t="s">
        <v>15</v>
      </c>
      <c r="N22" s="506">
        <f>COUNT(A4:A23)</f>
        <v>20</v>
      </c>
      <c r="P22" s="644">
        <f t="array" ref="P22:R24">N24*(P2:R4+P7:R9+P12:R14+P17:R19)</f>
        <v>4915.1920017103957</v>
      </c>
      <c r="Q22" s="399">
        <v>6469633.3237792403</v>
      </c>
      <c r="R22" s="602">
        <v>15245.639364411441</v>
      </c>
      <c r="T22" s="644" t="e">
        <f t="array" aca="1" ref="T22:V24" ca="1">MPROD(T17:V19,P22:R24,T17:V19)</f>
        <v>#NAME?</v>
      </c>
      <c r="U22" s="399" t="e">
        <f ca="1"/>
        <v>#NAME?</v>
      </c>
      <c r="V22" s="602" t="e">
        <f ca="1"/>
        <v>#NAME?</v>
      </c>
      <c r="W22" s="506" t="e">
        <f t="array" aca="1" ref="W22:W24" ca="1">SQRT(DIAG(T22:V24))</f>
        <v>#NAME?</v>
      </c>
      <c r="Y22" t="s">
        <v>212</v>
      </c>
      <c r="Z22" t="e">
        <f t="array" aca="1" ref="Z22:AA24" ca="1">RegCoeff(B4:C23,D4:D23)</f>
        <v>#NAME?</v>
      </c>
      <c r="AA22" t="e">
        <f ca="1"/>
        <v>#NAME?</v>
      </c>
      <c r="AB22" s="5"/>
      <c r="AC22" s="5" t="e">
        <f t="array" aca="1" ref="AC22:AD24" ca="1">HACCoeff(B4:C23,D4:D23,3)</f>
        <v>#NAME?</v>
      </c>
      <c r="AD22" s="5" t="e">
        <f ca="1"/>
        <v>#NAME?</v>
      </c>
    </row>
    <row r="23" spans="1:32">
      <c r="A23" s="615">
        <v>1</v>
      </c>
      <c r="B23" s="649">
        <v>1475.5</v>
      </c>
      <c r="C23" s="650">
        <v>5.1099999999999994</v>
      </c>
      <c r="D23" s="649">
        <v>200.4</v>
      </c>
      <c r="F23" s="380">
        <v>234.59147514102128</v>
      </c>
      <c r="G23" s="651">
        <f t="shared" si="0"/>
        <v>-34.191475141021272</v>
      </c>
      <c r="H23" s="652"/>
      <c r="M23" t="s">
        <v>23</v>
      </c>
      <c r="N23" s="293">
        <f>COUNTA(A3:C3)</f>
        <v>3</v>
      </c>
      <c r="P23" s="294">
        <v>6469633.3237792403</v>
      </c>
      <c r="Q23" s="5">
        <v>8713918363.7249126</v>
      </c>
      <c r="R23" s="295">
        <v>20525726.134447869</v>
      </c>
      <c r="T23" s="294" t="e">
        <f ca="1"/>
        <v>#NAME?</v>
      </c>
      <c r="U23" s="5" t="e">
        <f ca="1"/>
        <v>#NAME?</v>
      </c>
      <c r="V23" s="295" t="e">
        <f ca="1"/>
        <v>#NAME?</v>
      </c>
      <c r="W23" s="293" t="e">
        <f ca="1"/>
        <v>#NAME?</v>
      </c>
      <c r="Y23" t="s">
        <v>939</v>
      </c>
      <c r="Z23" t="e">
        <f ca="1"/>
        <v>#NAME?</v>
      </c>
      <c r="AA23" t="e">
        <f ca="1"/>
        <v>#NAME?</v>
      </c>
      <c r="AB23" s="5"/>
      <c r="AC23" s="5" t="e">
        <f ca="1"/>
        <v>#NAME?</v>
      </c>
      <c r="AD23" s="5" t="e">
        <f ca="1"/>
        <v>#NAME?</v>
      </c>
    </row>
    <row r="24" spans="1:32">
      <c r="M24" t="s">
        <v>955</v>
      </c>
      <c r="N24" s="289">
        <f>N22/(N22-N23)</f>
        <v>1.1764705882352942</v>
      </c>
      <c r="P24" s="284">
        <v>15245.639364411443</v>
      </c>
      <c r="Q24" s="380">
        <v>20525726.134447869</v>
      </c>
      <c r="R24" s="288">
        <v>63168.776413534208</v>
      </c>
      <c r="T24" s="284" t="e">
        <f ca="1"/>
        <v>#NAME?</v>
      </c>
      <c r="U24" s="380" t="e">
        <f ca="1"/>
        <v>#NAME?</v>
      </c>
      <c r="V24" s="288" t="e">
        <f ca="1"/>
        <v>#NAME?</v>
      </c>
      <c r="W24" s="289" t="e">
        <f ca="1"/>
        <v>#NAME?</v>
      </c>
      <c r="Y24" s="380" t="s">
        <v>940</v>
      </c>
      <c r="Z24" s="380" t="e">
        <f ca="1"/>
        <v>#NAME?</v>
      </c>
      <c r="AA24" s="380" t="e">
        <f ca="1"/>
        <v>#NAME?</v>
      </c>
      <c r="AB24" s="5"/>
      <c r="AC24" s="380" t="e">
        <f ca="1"/>
        <v>#NAME?</v>
      </c>
      <c r="AD24" s="380" t="e">
        <f ca="1"/>
        <v>#NAME?</v>
      </c>
    </row>
    <row r="25" spans="1:32">
      <c r="AB25" s="5"/>
      <c r="AC25" s="5"/>
      <c r="AD25" s="5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66"/>
  <dimension ref="A1:AA44"/>
  <sheetViews>
    <sheetView workbookViewId="0"/>
  </sheetViews>
  <sheetFormatPr defaultRowHeight="15"/>
  <cols>
    <col min="1" max="7" width="6.5703125" customWidth="1"/>
    <col min="8" max="8" width="3.5703125" customWidth="1"/>
    <col min="9" max="9" width="6.5703125" customWidth="1"/>
    <col min="15" max="15" width="17.85546875" customWidth="1"/>
    <col min="16" max="16" width="17.7109375" customWidth="1"/>
    <col min="17" max="17" width="13.7109375" customWidth="1"/>
    <col min="18" max="18" width="17.28515625" customWidth="1"/>
    <col min="20" max="20" width="13.140625" customWidth="1"/>
    <col min="21" max="21" width="11.140625" customWidth="1"/>
    <col min="23" max="23" width="12.7109375" customWidth="1"/>
    <col min="24" max="26" width="11.7109375" customWidth="1"/>
    <col min="27" max="27" width="18.85546875" customWidth="1"/>
  </cols>
  <sheetData>
    <row r="1" spans="1:26">
      <c r="A1" s="1" t="s">
        <v>358</v>
      </c>
      <c r="O1" s="1" t="s">
        <v>363</v>
      </c>
    </row>
    <row r="3" spans="1:26" ht="15" customHeight="1">
      <c r="A3" s="37" t="s">
        <v>359</v>
      </c>
      <c r="B3" s="37" t="s">
        <v>360</v>
      </c>
      <c r="C3" s="37" t="s">
        <v>292</v>
      </c>
      <c r="D3" s="76"/>
      <c r="E3" s="756" t="s">
        <v>291</v>
      </c>
      <c r="F3" s="756"/>
      <c r="G3" s="756"/>
      <c r="H3" s="167"/>
      <c r="I3" s="167" t="s">
        <v>292</v>
      </c>
      <c r="J3" s="76"/>
      <c r="K3" s="76" t="s">
        <v>60</v>
      </c>
      <c r="L3" s="76"/>
      <c r="M3" s="76"/>
      <c r="O3" t="s">
        <v>206</v>
      </c>
      <c r="W3" t="s">
        <v>217</v>
      </c>
    </row>
    <row r="4" spans="1:26" ht="15" customHeight="1" thickBot="1">
      <c r="A4" s="169">
        <v>34</v>
      </c>
      <c r="B4" s="170">
        <f>A4/2</f>
        <v>17</v>
      </c>
      <c r="C4" s="171">
        <v>4</v>
      </c>
      <c r="D4" s="76"/>
      <c r="E4" s="169">
        <v>1</v>
      </c>
      <c r="F4" s="157">
        <f>A4</f>
        <v>34</v>
      </c>
      <c r="G4" s="158">
        <f>B4</f>
        <v>17</v>
      </c>
      <c r="H4" s="76"/>
      <c r="I4" s="172">
        <f>C4</f>
        <v>4</v>
      </c>
      <c r="J4" s="76"/>
      <c r="K4" s="172" t="e">
        <f t="array" ref="K4:K6">MMULT(K9:M11,MMULT(TRANSPOSE(E4:G11),I4:I11))</f>
        <v>#NUM!</v>
      </c>
      <c r="L4" s="76"/>
      <c r="M4" s="76"/>
    </row>
    <row r="5" spans="1:26" ht="15" customHeight="1">
      <c r="A5" s="173">
        <v>45</v>
      </c>
      <c r="B5" s="174">
        <f>A5/2</f>
        <v>22.5</v>
      </c>
      <c r="C5" s="175">
        <v>7</v>
      </c>
      <c r="D5" s="76"/>
      <c r="E5" s="173">
        <v>1</v>
      </c>
      <c r="F5" s="40">
        <f t="shared" ref="F5:G11" si="0">A5</f>
        <v>45</v>
      </c>
      <c r="G5" s="30">
        <f t="shared" si="0"/>
        <v>22.5</v>
      </c>
      <c r="H5" s="76"/>
      <c r="I5" s="105">
        <f t="shared" ref="I5:I11" si="1">C5</f>
        <v>7</v>
      </c>
      <c r="J5" s="76"/>
      <c r="K5" s="105" t="e">
        <v>#NUM!</v>
      </c>
      <c r="L5" s="76"/>
      <c r="M5" s="76"/>
      <c r="O5" s="18" t="s">
        <v>207</v>
      </c>
      <c r="P5" s="18"/>
      <c r="W5" s="15" t="s">
        <v>218</v>
      </c>
      <c r="X5" s="15" t="s">
        <v>361</v>
      </c>
      <c r="Y5" s="15" t="s">
        <v>219</v>
      </c>
      <c r="Z5" s="15" t="s">
        <v>332</v>
      </c>
    </row>
    <row r="6" spans="1:26" ht="15" customHeight="1">
      <c r="A6" s="173">
        <v>89</v>
      </c>
      <c r="B6" s="174">
        <f t="shared" ref="B6:B11" si="2">A6/2</f>
        <v>44.5</v>
      </c>
      <c r="C6" s="175">
        <v>17</v>
      </c>
      <c r="D6" s="76"/>
      <c r="E6" s="173">
        <v>1</v>
      </c>
      <c r="F6" s="40">
        <f t="shared" si="0"/>
        <v>89</v>
      </c>
      <c r="G6" s="30">
        <f t="shared" si="0"/>
        <v>44.5</v>
      </c>
      <c r="H6" s="76"/>
      <c r="I6" s="105">
        <f t="shared" si="1"/>
        <v>17</v>
      </c>
      <c r="J6" s="76"/>
      <c r="K6" s="176" t="e">
        <v>#NUM!</v>
      </c>
      <c r="L6" s="76"/>
      <c r="M6" s="76"/>
      <c r="O6" s="16" t="s">
        <v>208</v>
      </c>
      <c r="P6" s="16">
        <v>0.99225902794722864</v>
      </c>
      <c r="W6" s="16">
        <v>1</v>
      </c>
      <c r="X6" s="16">
        <v>4.9030715344200448</v>
      </c>
      <c r="Y6" s="16">
        <v>-0.90307153442004484</v>
      </c>
      <c r="Z6" s="16">
        <v>-1.4197639369118109</v>
      </c>
    </row>
    <row r="7" spans="1:26" ht="15" customHeight="1">
      <c r="A7" s="173">
        <v>54</v>
      </c>
      <c r="B7" s="174">
        <f t="shared" si="2"/>
        <v>27</v>
      </c>
      <c r="C7" s="175">
        <v>10</v>
      </c>
      <c r="D7" s="76"/>
      <c r="E7" s="173">
        <v>1</v>
      </c>
      <c r="F7" s="40">
        <f t="shared" si="0"/>
        <v>54</v>
      </c>
      <c r="G7" s="30">
        <f t="shared" si="0"/>
        <v>27</v>
      </c>
      <c r="H7" s="76"/>
      <c r="I7" s="105">
        <f t="shared" si="1"/>
        <v>10</v>
      </c>
      <c r="J7" s="76"/>
      <c r="K7" s="76"/>
      <c r="L7" s="76"/>
      <c r="M7" s="76"/>
      <c r="O7" s="16" t="s">
        <v>201</v>
      </c>
      <c r="P7" s="16">
        <v>0.98457797854277918</v>
      </c>
      <c r="W7" s="16">
        <v>2</v>
      </c>
      <c r="X7" s="16">
        <v>7.4985854775697156</v>
      </c>
      <c r="Y7" s="16">
        <v>-0.49858547756971561</v>
      </c>
      <c r="Z7" s="16">
        <v>-0.78385117185210951</v>
      </c>
    </row>
    <row r="8" spans="1:26" ht="15" customHeight="1">
      <c r="A8" s="173">
        <v>65</v>
      </c>
      <c r="B8" s="174">
        <f t="shared" si="2"/>
        <v>32.5</v>
      </c>
      <c r="C8" s="175">
        <v>13</v>
      </c>
      <c r="D8" s="76"/>
      <c r="E8" s="173">
        <v>1</v>
      </c>
      <c r="F8" s="40">
        <f t="shared" si="0"/>
        <v>65</v>
      </c>
      <c r="G8" s="30">
        <f t="shared" si="0"/>
        <v>32.5</v>
      </c>
      <c r="H8" s="76"/>
      <c r="I8" s="105">
        <f t="shared" si="1"/>
        <v>13</v>
      </c>
      <c r="J8" s="76"/>
      <c r="K8" s="76"/>
      <c r="L8" s="140" t="s">
        <v>294</v>
      </c>
      <c r="M8" s="140"/>
      <c r="O8" s="16" t="s">
        <v>209</v>
      </c>
      <c r="P8" s="16">
        <v>0.81534097496657576</v>
      </c>
      <c r="W8" s="16">
        <v>3</v>
      </c>
      <c r="X8" s="16">
        <v>17.880641250168395</v>
      </c>
      <c r="Y8" s="16">
        <v>-0.88064125016839512</v>
      </c>
      <c r="Z8" s="16">
        <v>-1.3845001649276516</v>
      </c>
    </row>
    <row r="9" spans="1:26" ht="15" customHeight="1">
      <c r="A9" s="173">
        <v>24</v>
      </c>
      <c r="B9" s="174">
        <f t="shared" si="2"/>
        <v>12</v>
      </c>
      <c r="C9" s="175">
        <v>3</v>
      </c>
      <c r="D9" s="76"/>
      <c r="E9" s="173">
        <v>1</v>
      </c>
      <c r="F9" s="40">
        <f t="shared" si="0"/>
        <v>24</v>
      </c>
      <c r="G9" s="30">
        <f t="shared" si="0"/>
        <v>12</v>
      </c>
      <c r="H9" s="76"/>
      <c r="I9" s="105">
        <f t="shared" si="1"/>
        <v>3</v>
      </c>
      <c r="J9" s="76"/>
      <c r="K9" s="156" t="e">
        <f t="array" ref="K9:M11">MINVERSE(MMULT(TRANSPOSE(E4:G11),E4:G11))</f>
        <v>#NUM!</v>
      </c>
      <c r="L9" s="157" t="e">
        <v>#NUM!</v>
      </c>
      <c r="M9" s="158" t="e">
        <v>#NUM!</v>
      </c>
      <c r="O9" s="16" t="s">
        <v>9</v>
      </c>
      <c r="P9" s="16">
        <v>0.73447223153025987</v>
      </c>
      <c r="W9" s="16">
        <v>4</v>
      </c>
      <c r="X9" s="16">
        <v>9.6221877946921737</v>
      </c>
      <c r="Y9" s="16">
        <v>0.37781220530782633</v>
      </c>
      <c r="Z9" s="16">
        <v>0.5939774686461059</v>
      </c>
    </row>
    <row r="10" spans="1:26" ht="15" customHeight="1" thickBot="1">
      <c r="A10" s="173">
        <v>74</v>
      </c>
      <c r="B10" s="174">
        <f t="shared" si="2"/>
        <v>37</v>
      </c>
      <c r="C10" s="175">
        <v>15</v>
      </c>
      <c r="D10" s="76"/>
      <c r="E10" s="173">
        <v>1</v>
      </c>
      <c r="F10" s="40">
        <f t="shared" si="0"/>
        <v>74</v>
      </c>
      <c r="G10" s="30">
        <f t="shared" si="0"/>
        <v>37</v>
      </c>
      <c r="H10" s="76"/>
      <c r="I10" s="105">
        <f t="shared" si="1"/>
        <v>15</v>
      </c>
      <c r="J10" s="76"/>
      <c r="K10" s="29" t="e">
        <v>#NUM!</v>
      </c>
      <c r="L10" s="40" t="e">
        <v>#NUM!</v>
      </c>
      <c r="M10" s="30" t="e">
        <v>#NUM!</v>
      </c>
      <c r="O10" s="17" t="s">
        <v>42</v>
      </c>
      <c r="P10" s="17">
        <v>8</v>
      </c>
      <c r="W10" s="16">
        <v>5</v>
      </c>
      <c r="X10" s="16">
        <v>12.217701737841844</v>
      </c>
      <c r="Y10" s="16">
        <v>0.78229826215815557</v>
      </c>
      <c r="Z10" s="16">
        <v>1.2298902337058073</v>
      </c>
    </row>
    <row r="11" spans="1:26" ht="15" customHeight="1">
      <c r="A11" s="177">
        <v>81</v>
      </c>
      <c r="B11" s="178">
        <f t="shared" si="2"/>
        <v>40.5</v>
      </c>
      <c r="C11" s="179">
        <v>16</v>
      </c>
      <c r="D11" s="174"/>
      <c r="E11" s="177">
        <v>1</v>
      </c>
      <c r="F11" s="178">
        <f t="shared" si="0"/>
        <v>81</v>
      </c>
      <c r="G11" s="179">
        <f t="shared" si="0"/>
        <v>40.5</v>
      </c>
      <c r="H11" s="76"/>
      <c r="I11" s="176">
        <f t="shared" si="1"/>
        <v>16</v>
      </c>
      <c r="J11" s="76"/>
      <c r="K11" s="159" t="e">
        <v>#NUM!</v>
      </c>
      <c r="L11" s="140" t="e">
        <v>#NUM!</v>
      </c>
      <c r="M11" s="160" t="e">
        <v>#NUM!</v>
      </c>
      <c r="W11" s="16">
        <v>6</v>
      </c>
      <c r="X11" s="16">
        <v>2.5435134042839813</v>
      </c>
      <c r="Y11" s="16">
        <v>0.45648659571601868</v>
      </c>
      <c r="Z11" s="16">
        <v>0.7176654136235826</v>
      </c>
    </row>
    <row r="12" spans="1:26" ht="15" customHeight="1" thickBot="1">
      <c r="A12" s="168"/>
      <c r="B12" s="168"/>
      <c r="C12" s="168"/>
      <c r="D12" s="168"/>
      <c r="E12" s="168"/>
      <c r="F12" s="168"/>
      <c r="G12" s="168"/>
      <c r="O12" t="s">
        <v>210</v>
      </c>
      <c r="W12" s="16">
        <v>7</v>
      </c>
      <c r="X12" s="16">
        <v>14.341304054964302</v>
      </c>
      <c r="Y12" s="16">
        <v>0.65869594503569751</v>
      </c>
      <c r="Z12" s="16">
        <v>1.0355688475468459</v>
      </c>
    </row>
    <row r="13" spans="1:26" ht="15.75" thickBot="1">
      <c r="A13" s="168"/>
      <c r="B13" s="168"/>
      <c r="C13" s="168"/>
      <c r="D13" s="168"/>
      <c r="E13" s="168"/>
      <c r="F13" s="168"/>
      <c r="G13" s="168"/>
      <c r="O13" s="15"/>
      <c r="P13" s="15" t="s">
        <v>26</v>
      </c>
      <c r="Q13" s="15" t="s">
        <v>137</v>
      </c>
      <c r="R13" s="15" t="s">
        <v>156</v>
      </c>
      <c r="S13" s="15" t="s">
        <v>63</v>
      </c>
      <c r="T13" s="15" t="s">
        <v>213</v>
      </c>
      <c r="W13" s="17">
        <v>8</v>
      </c>
      <c r="X13" s="17">
        <v>15.992994746059546</v>
      </c>
      <c r="Y13" s="17">
        <v>7.005253940453926E-3</v>
      </c>
      <c r="Z13" s="17">
        <v>1.1013310169224931E-2</v>
      </c>
    </row>
    <row r="14" spans="1:26">
      <c r="O14" s="16" t="s">
        <v>138</v>
      </c>
      <c r="P14" s="16">
        <v>2</v>
      </c>
      <c r="Q14" s="16">
        <v>206.63830324666577</v>
      </c>
      <c r="R14" s="16">
        <v>103.31915162333289</v>
      </c>
      <c r="S14" s="16">
        <v>383.0540560226413</v>
      </c>
      <c r="T14" s="16">
        <v>3.385609237998677E-6</v>
      </c>
    </row>
    <row r="15" spans="1:26">
      <c r="O15" s="16" t="s">
        <v>211</v>
      </c>
      <c r="P15" s="16">
        <v>6</v>
      </c>
      <c r="Q15" s="16">
        <v>3.2366967533342383</v>
      </c>
      <c r="R15" s="16">
        <v>0.53944945888903972</v>
      </c>
      <c r="S15" s="16"/>
      <c r="T15" s="16"/>
    </row>
    <row r="16" spans="1:26" ht="15.75" thickBot="1">
      <c r="O16" s="17" t="s">
        <v>1</v>
      </c>
      <c r="P16" s="17">
        <v>8</v>
      </c>
      <c r="Q16" s="17">
        <v>209.875</v>
      </c>
      <c r="R16" s="17"/>
      <c r="S16" s="17"/>
      <c r="T16" s="17"/>
      <c r="W16" t="s">
        <v>624</v>
      </c>
    </row>
    <row r="17" spans="15:27" ht="15.75" thickBot="1">
      <c r="W17" s="136"/>
      <c r="X17" s="137" t="s">
        <v>302</v>
      </c>
      <c r="Y17" s="137" t="s">
        <v>301</v>
      </c>
      <c r="Z17" s="137" t="s">
        <v>314</v>
      </c>
      <c r="AA17" s="136"/>
    </row>
    <row r="18" spans="15:27">
      <c r="O18" s="15"/>
      <c r="P18" s="15" t="s">
        <v>214</v>
      </c>
      <c r="Q18" s="15" t="s">
        <v>9</v>
      </c>
      <c r="R18" s="15" t="s">
        <v>45</v>
      </c>
      <c r="S18" s="15" t="s">
        <v>56</v>
      </c>
      <c r="T18" s="15" t="s">
        <v>215</v>
      </c>
      <c r="U18" s="15" t="s">
        <v>216</v>
      </c>
      <c r="W18" s="136" t="s">
        <v>197</v>
      </c>
      <c r="X18" s="138">
        <f t="array" ref="X18:Z22">LINEST(C4:C11,A4:B11,TRUE,TRUE)</f>
        <v>0</v>
      </c>
      <c r="Y18" s="138">
        <v>0.23595581301360641</v>
      </c>
      <c r="Z18" s="138">
        <v>-3.1194261080425729</v>
      </c>
      <c r="AA18" s="136" t="s">
        <v>198</v>
      </c>
    </row>
    <row r="19" spans="15:27">
      <c r="O19" s="16" t="s">
        <v>212</v>
      </c>
      <c r="P19" s="16">
        <v>-3.1194261080425729</v>
      </c>
      <c r="Q19" s="16">
        <v>0.74873040198404328</v>
      </c>
      <c r="R19" s="16">
        <v>-4.1662874911670187</v>
      </c>
      <c r="S19" s="16">
        <v>5.9028935064076244E-3</v>
      </c>
      <c r="T19" s="16">
        <v>-4.951503401969866</v>
      </c>
      <c r="U19" s="16">
        <v>-1.2873488141152802</v>
      </c>
      <c r="W19" s="136" t="s">
        <v>317</v>
      </c>
      <c r="X19" s="138">
        <v>0</v>
      </c>
      <c r="Y19" s="138">
        <v>1.2055928078301989E-2</v>
      </c>
      <c r="Z19" s="138">
        <v>0.74873040198404328</v>
      </c>
      <c r="AA19" s="136" t="s">
        <v>318</v>
      </c>
    </row>
    <row r="20" spans="15:27">
      <c r="O20" s="16" t="s">
        <v>359</v>
      </c>
      <c r="P20" s="16">
        <v>0.23595581301360641</v>
      </c>
      <c r="Q20" s="16">
        <v>1.2055928078301989E-2</v>
      </c>
      <c r="R20" s="16">
        <v>19.571766808917417</v>
      </c>
      <c r="S20" s="16">
        <v>1.1529266812611095E-6</v>
      </c>
      <c r="T20" s="16">
        <v>0.20645601972225788</v>
      </c>
      <c r="U20" s="16">
        <v>0.26545560630495496</v>
      </c>
      <c r="W20" s="136" t="s">
        <v>201</v>
      </c>
      <c r="X20" s="138">
        <v>0.98457797854277918</v>
      </c>
      <c r="Y20" s="138">
        <v>0.73447223153025987</v>
      </c>
      <c r="Z20" s="138" t="e">
        <v>#N/A</v>
      </c>
      <c r="AA20" s="136" t="s">
        <v>319</v>
      </c>
    </row>
    <row r="21" spans="15:27" ht="15.75" thickBot="1">
      <c r="O21" s="17" t="s">
        <v>360</v>
      </c>
      <c r="P21" s="17">
        <v>0</v>
      </c>
      <c r="Q21" s="17">
        <v>0</v>
      </c>
      <c r="R21" s="17">
        <v>65535</v>
      </c>
      <c r="S21" s="17" t="e">
        <v>#NUM!</v>
      </c>
      <c r="T21" s="17">
        <v>0</v>
      </c>
      <c r="U21" s="17">
        <v>0</v>
      </c>
      <c r="W21" s="136" t="s">
        <v>63</v>
      </c>
      <c r="X21" s="138">
        <v>383.0540560226413</v>
      </c>
      <c r="Y21" s="138">
        <v>6</v>
      </c>
      <c r="Z21" s="138" t="e">
        <v>#N/A</v>
      </c>
      <c r="AA21" s="136" t="s">
        <v>320</v>
      </c>
    </row>
    <row r="22" spans="15:27">
      <c r="W22" s="136" t="s">
        <v>321</v>
      </c>
      <c r="X22" s="138">
        <v>206.63830324666577</v>
      </c>
      <c r="Y22" s="138">
        <v>3.2366967533342383</v>
      </c>
      <c r="Z22" s="138" t="e">
        <v>#N/A</v>
      </c>
      <c r="AA22" s="136" t="s">
        <v>322</v>
      </c>
    </row>
    <row r="23" spans="15:27">
      <c r="O23" s="1" t="s">
        <v>362</v>
      </c>
    </row>
    <row r="25" spans="15:27">
      <c r="O25" t="s">
        <v>206</v>
      </c>
      <c r="W25" t="s">
        <v>217</v>
      </c>
    </row>
    <row r="26" spans="15:27" ht="15.75" thickBot="1"/>
    <row r="27" spans="15:27">
      <c r="O27" s="18" t="s">
        <v>207</v>
      </c>
      <c r="P27" s="18"/>
      <c r="W27" s="15" t="s">
        <v>218</v>
      </c>
      <c r="X27" s="15" t="s">
        <v>361</v>
      </c>
      <c r="Y27" s="15" t="s">
        <v>219</v>
      </c>
      <c r="Z27" s="15" t="s">
        <v>332</v>
      </c>
    </row>
    <row r="28" spans="15:27">
      <c r="O28" s="16" t="s">
        <v>208</v>
      </c>
      <c r="P28" s="16">
        <v>0.99225902794722864</v>
      </c>
      <c r="W28" s="16">
        <v>1</v>
      </c>
      <c r="X28" s="16">
        <v>4.9030715344200448</v>
      </c>
      <c r="Y28" s="16">
        <v>-0.90307153442004484</v>
      </c>
      <c r="Z28" s="16">
        <v>-1.3280675555053323</v>
      </c>
    </row>
    <row r="29" spans="15:27">
      <c r="O29" s="16" t="s">
        <v>201</v>
      </c>
      <c r="P29" s="16">
        <v>0.98457797854277918</v>
      </c>
      <c r="W29" s="16">
        <v>2</v>
      </c>
      <c r="X29" s="16">
        <v>7.4985854775697156</v>
      </c>
      <c r="Y29" s="16">
        <v>-0.49858547756971561</v>
      </c>
      <c r="Z29" s="16">
        <v>-0.73322563182296396</v>
      </c>
    </row>
    <row r="30" spans="15:27">
      <c r="O30" s="16" t="s">
        <v>209</v>
      </c>
      <c r="P30" s="16">
        <v>0.98200764163324239</v>
      </c>
      <c r="W30" s="16">
        <v>3</v>
      </c>
      <c r="X30" s="16">
        <v>17.880641250168395</v>
      </c>
      <c r="Y30" s="16">
        <v>-0.88064125016839512</v>
      </c>
      <c r="Z30" s="16">
        <v>-1.2950813172728219</v>
      </c>
    </row>
    <row r="31" spans="15:27">
      <c r="O31" s="16" t="s">
        <v>9</v>
      </c>
      <c r="P31" s="16">
        <v>0.73447223153025987</v>
      </c>
      <c r="W31" s="16">
        <v>4</v>
      </c>
      <c r="X31" s="16">
        <v>9.6221877946921737</v>
      </c>
      <c r="Y31" s="16">
        <v>0.37781220530782633</v>
      </c>
      <c r="Z31" s="16">
        <v>0.55561504578424725</v>
      </c>
    </row>
    <row r="32" spans="15:27" ht="15.75" thickBot="1">
      <c r="O32" s="17" t="s">
        <v>42</v>
      </c>
      <c r="P32" s="17">
        <v>8</v>
      </c>
      <c r="W32" s="16">
        <v>5</v>
      </c>
      <c r="X32" s="16">
        <v>12.217701737841844</v>
      </c>
      <c r="Y32" s="16">
        <v>0.78229826215815557</v>
      </c>
      <c r="Z32" s="16">
        <v>1.1504569694666156</v>
      </c>
    </row>
    <row r="33" spans="15:26">
      <c r="W33" s="16">
        <v>6</v>
      </c>
      <c r="X33" s="16">
        <v>2.5435134042839813</v>
      </c>
      <c r="Y33" s="16">
        <v>0.45648659571601868</v>
      </c>
      <c r="Z33" s="16">
        <v>0.67131452402921343</v>
      </c>
    </row>
    <row r="34" spans="15:26" ht="15.75" thickBot="1">
      <c r="O34" t="s">
        <v>210</v>
      </c>
      <c r="W34" s="16">
        <v>7</v>
      </c>
      <c r="X34" s="16">
        <v>14.341304054964302</v>
      </c>
      <c r="Y34" s="16">
        <v>0.65869594503569751</v>
      </c>
      <c r="Z34" s="16">
        <v>0.96868595698415838</v>
      </c>
    </row>
    <row r="35" spans="15:26" ht="15.75" thickBot="1">
      <c r="O35" s="15"/>
      <c r="P35" s="15" t="s">
        <v>26</v>
      </c>
      <c r="Q35" s="15" t="s">
        <v>137</v>
      </c>
      <c r="R35" s="15" t="s">
        <v>156</v>
      </c>
      <c r="S35" s="15" t="s">
        <v>63</v>
      </c>
      <c r="T35" s="15" t="s">
        <v>213</v>
      </c>
      <c r="W35" s="17">
        <v>8</v>
      </c>
      <c r="X35" s="17">
        <v>15.992994746059546</v>
      </c>
      <c r="Y35" s="17">
        <v>7.005253940453926E-3</v>
      </c>
      <c r="Z35" s="17">
        <v>1.0302008336878258E-2</v>
      </c>
    </row>
    <row r="36" spans="15:26">
      <c r="O36" s="16" t="s">
        <v>138</v>
      </c>
      <c r="P36" s="16">
        <v>1</v>
      </c>
      <c r="Q36" s="16">
        <v>206.63830324666577</v>
      </c>
      <c r="R36" s="16">
        <v>206.63830324666577</v>
      </c>
      <c r="S36" s="16">
        <v>383.0540560226413</v>
      </c>
      <c r="T36" s="16">
        <v>1.1529266812611095E-6</v>
      </c>
    </row>
    <row r="37" spans="15:26">
      <c r="O37" s="16" t="s">
        <v>211</v>
      </c>
      <c r="P37" s="16">
        <v>6</v>
      </c>
      <c r="Q37" s="16">
        <v>3.2366967533342383</v>
      </c>
      <c r="R37" s="16">
        <v>0.53944945888903972</v>
      </c>
      <c r="S37" s="16"/>
      <c r="T37" s="16"/>
    </row>
    <row r="38" spans="15:26" ht="15.75" thickBot="1">
      <c r="O38" s="17" t="s">
        <v>1</v>
      </c>
      <c r="P38" s="17">
        <v>7</v>
      </c>
      <c r="Q38" s="17">
        <v>209.875</v>
      </c>
      <c r="R38" s="17"/>
      <c r="S38" s="17"/>
      <c r="T38" s="17"/>
      <c r="W38" t="s">
        <v>624</v>
      </c>
    </row>
    <row r="39" spans="15:26" ht="15.75" thickBot="1">
      <c r="W39" s="136"/>
      <c r="X39" s="137" t="s">
        <v>19</v>
      </c>
      <c r="Y39" s="137" t="s">
        <v>314</v>
      </c>
      <c r="Z39" s="136"/>
    </row>
    <row r="40" spans="15:26">
      <c r="O40" s="15"/>
      <c r="P40" s="15" t="s">
        <v>214</v>
      </c>
      <c r="Q40" s="15" t="s">
        <v>9</v>
      </c>
      <c r="R40" s="15" t="s">
        <v>45</v>
      </c>
      <c r="S40" s="15" t="s">
        <v>56</v>
      </c>
      <c r="T40" s="15" t="s">
        <v>215</v>
      </c>
      <c r="U40" s="15" t="s">
        <v>216</v>
      </c>
      <c r="W40" s="136" t="s">
        <v>197</v>
      </c>
      <c r="X40" s="138">
        <f t="array" ref="X40:Y44">LINEST(C4:C11,A4:A11,TRUE,TRUE)</f>
        <v>0.23595581301360641</v>
      </c>
      <c r="Y40" s="138">
        <v>-3.1194261080425729</v>
      </c>
      <c r="Z40" s="136" t="s">
        <v>198</v>
      </c>
    </row>
    <row r="41" spans="15:26">
      <c r="O41" s="16" t="s">
        <v>212</v>
      </c>
      <c r="P41" s="16">
        <v>-3.1194261080425729</v>
      </c>
      <c r="Q41" s="16">
        <v>0.74873040198404328</v>
      </c>
      <c r="R41" s="16">
        <v>-4.1662874911670187</v>
      </c>
      <c r="S41" s="16">
        <v>5.9028935064076244E-3</v>
      </c>
      <c r="T41" s="16">
        <v>-4.951503401969866</v>
      </c>
      <c r="U41" s="16">
        <v>-1.2873488141152802</v>
      </c>
      <c r="W41" s="136" t="s">
        <v>317</v>
      </c>
      <c r="X41" s="138">
        <v>1.2055928078301989E-2</v>
      </c>
      <c r="Y41" s="138">
        <v>0.74873040198404328</v>
      </c>
      <c r="Z41" s="136" t="s">
        <v>318</v>
      </c>
    </row>
    <row r="42" spans="15:26" ht="15.75" thickBot="1">
      <c r="O42" s="17" t="s">
        <v>359</v>
      </c>
      <c r="P42" s="17">
        <v>0.23595581301360641</v>
      </c>
      <c r="Q42" s="17">
        <v>1.2055928078301989E-2</v>
      </c>
      <c r="R42" s="17">
        <v>19.571766808917417</v>
      </c>
      <c r="S42" s="17">
        <v>1.1529266812611095E-6</v>
      </c>
      <c r="T42" s="17">
        <v>0.20645601972225788</v>
      </c>
      <c r="U42" s="17">
        <v>0.26545560630495496</v>
      </c>
      <c r="W42" s="136" t="s">
        <v>201</v>
      </c>
      <c r="X42" s="138">
        <v>0.98457797854277918</v>
      </c>
      <c r="Y42" s="138">
        <v>0.73447223153025987</v>
      </c>
      <c r="Z42" s="136" t="s">
        <v>319</v>
      </c>
    </row>
    <row r="43" spans="15:26">
      <c r="W43" s="136" t="s">
        <v>63</v>
      </c>
      <c r="X43" s="138">
        <v>383.0540560226413</v>
      </c>
      <c r="Y43" s="138">
        <v>6</v>
      </c>
      <c r="Z43" s="136" t="s">
        <v>320</v>
      </c>
    </row>
    <row r="44" spans="15:26">
      <c r="W44" s="136" t="s">
        <v>321</v>
      </c>
      <c r="X44" s="138">
        <v>206.63830324666577</v>
      </c>
      <c r="Y44" s="138">
        <v>3.2366967533342383</v>
      </c>
      <c r="Z44" s="136" t="s">
        <v>322</v>
      </c>
    </row>
  </sheetData>
  <mergeCells count="1">
    <mergeCell ref="E3:G3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41"/>
  <dimension ref="A1:AB28"/>
  <sheetViews>
    <sheetView workbookViewId="0"/>
  </sheetViews>
  <sheetFormatPr defaultRowHeight="15"/>
  <cols>
    <col min="1" max="1" width="13.140625" style="14" customWidth="1"/>
    <col min="2" max="8" width="11.28515625" style="14" customWidth="1"/>
    <col min="9" max="9" width="12.140625" style="14" customWidth="1"/>
    <col min="10" max="10" width="11.28515625" style="14" customWidth="1"/>
    <col min="11" max="12" width="9.140625" style="14"/>
    <col min="13" max="20" width="10.28515625" style="14" customWidth="1"/>
    <col min="21" max="21" width="9.140625" style="14"/>
    <col min="22" max="22" width="19.42578125" style="14" customWidth="1"/>
    <col min="23" max="28" width="13.140625" style="14" customWidth="1"/>
    <col min="29" max="241" width="9.140625" style="14"/>
    <col min="242" max="242" width="15" style="14" customWidth="1"/>
    <col min="243" max="251" width="11.28515625" style="14" customWidth="1"/>
    <col min="252" max="497" width="9.140625" style="14"/>
    <col min="498" max="498" width="15" style="14" customWidth="1"/>
    <col min="499" max="507" width="11.28515625" style="14" customWidth="1"/>
    <col min="508" max="753" width="9.140625" style="14"/>
    <col min="754" max="754" width="15" style="14" customWidth="1"/>
    <col min="755" max="763" width="11.28515625" style="14" customWidth="1"/>
    <col min="764" max="1009" width="9.140625" style="14"/>
    <col min="1010" max="1010" width="15" style="14" customWidth="1"/>
    <col min="1011" max="1019" width="11.28515625" style="14" customWidth="1"/>
    <col min="1020" max="1265" width="9.140625" style="14"/>
    <col min="1266" max="1266" width="15" style="14" customWidth="1"/>
    <col min="1267" max="1275" width="11.28515625" style="14" customWidth="1"/>
    <col min="1276" max="1521" width="9.140625" style="14"/>
    <col min="1522" max="1522" width="15" style="14" customWidth="1"/>
    <col min="1523" max="1531" width="11.28515625" style="14" customWidth="1"/>
    <col min="1532" max="1777" width="9.140625" style="14"/>
    <col min="1778" max="1778" width="15" style="14" customWidth="1"/>
    <col min="1779" max="1787" width="11.28515625" style="14" customWidth="1"/>
    <col min="1788" max="2033" width="9.140625" style="14"/>
    <col min="2034" max="2034" width="15" style="14" customWidth="1"/>
    <col min="2035" max="2043" width="11.28515625" style="14" customWidth="1"/>
    <col min="2044" max="2289" width="9.140625" style="14"/>
    <col min="2290" max="2290" width="15" style="14" customWidth="1"/>
    <col min="2291" max="2299" width="11.28515625" style="14" customWidth="1"/>
    <col min="2300" max="2545" width="9.140625" style="14"/>
    <col min="2546" max="2546" width="15" style="14" customWidth="1"/>
    <col min="2547" max="2555" width="11.28515625" style="14" customWidth="1"/>
    <col min="2556" max="2801" width="9.140625" style="14"/>
    <col min="2802" max="2802" width="15" style="14" customWidth="1"/>
    <col min="2803" max="2811" width="11.28515625" style="14" customWidth="1"/>
    <col min="2812" max="3057" width="9.140625" style="14"/>
    <col min="3058" max="3058" width="15" style="14" customWidth="1"/>
    <col min="3059" max="3067" width="11.28515625" style="14" customWidth="1"/>
    <col min="3068" max="3313" width="9.140625" style="14"/>
    <col min="3314" max="3314" width="15" style="14" customWidth="1"/>
    <col min="3315" max="3323" width="11.28515625" style="14" customWidth="1"/>
    <col min="3324" max="3569" width="9.140625" style="14"/>
    <col min="3570" max="3570" width="15" style="14" customWidth="1"/>
    <col min="3571" max="3579" width="11.28515625" style="14" customWidth="1"/>
    <col min="3580" max="3825" width="9.140625" style="14"/>
    <col min="3826" max="3826" width="15" style="14" customWidth="1"/>
    <col min="3827" max="3835" width="11.28515625" style="14" customWidth="1"/>
    <col min="3836" max="4081" width="9.140625" style="14"/>
    <col min="4082" max="4082" width="15" style="14" customWidth="1"/>
    <col min="4083" max="4091" width="11.28515625" style="14" customWidth="1"/>
    <col min="4092" max="4337" width="9.140625" style="14"/>
    <col min="4338" max="4338" width="15" style="14" customWidth="1"/>
    <col min="4339" max="4347" width="11.28515625" style="14" customWidth="1"/>
    <col min="4348" max="4593" width="9.140625" style="14"/>
    <col min="4594" max="4594" width="15" style="14" customWidth="1"/>
    <col min="4595" max="4603" width="11.28515625" style="14" customWidth="1"/>
    <col min="4604" max="4849" width="9.140625" style="14"/>
    <col min="4850" max="4850" width="15" style="14" customWidth="1"/>
    <col min="4851" max="4859" width="11.28515625" style="14" customWidth="1"/>
    <col min="4860" max="5105" width="9.140625" style="14"/>
    <col min="5106" max="5106" width="15" style="14" customWidth="1"/>
    <col min="5107" max="5115" width="11.28515625" style="14" customWidth="1"/>
    <col min="5116" max="5361" width="9.140625" style="14"/>
    <col min="5362" max="5362" width="15" style="14" customWidth="1"/>
    <col min="5363" max="5371" width="11.28515625" style="14" customWidth="1"/>
    <col min="5372" max="5617" width="9.140625" style="14"/>
    <col min="5618" max="5618" width="15" style="14" customWidth="1"/>
    <col min="5619" max="5627" width="11.28515625" style="14" customWidth="1"/>
    <col min="5628" max="5873" width="9.140625" style="14"/>
    <col min="5874" max="5874" width="15" style="14" customWidth="1"/>
    <col min="5875" max="5883" width="11.28515625" style="14" customWidth="1"/>
    <col min="5884" max="6129" width="9.140625" style="14"/>
    <col min="6130" max="6130" width="15" style="14" customWidth="1"/>
    <col min="6131" max="6139" width="11.28515625" style="14" customWidth="1"/>
    <col min="6140" max="6385" width="9.140625" style="14"/>
    <col min="6386" max="6386" width="15" style="14" customWidth="1"/>
    <col min="6387" max="6395" width="11.28515625" style="14" customWidth="1"/>
    <col min="6396" max="6641" width="9.140625" style="14"/>
    <col min="6642" max="6642" width="15" style="14" customWidth="1"/>
    <col min="6643" max="6651" width="11.28515625" style="14" customWidth="1"/>
    <col min="6652" max="6897" width="9.140625" style="14"/>
    <col min="6898" max="6898" width="15" style="14" customWidth="1"/>
    <col min="6899" max="6907" width="11.28515625" style="14" customWidth="1"/>
    <col min="6908" max="7153" width="9.140625" style="14"/>
    <col min="7154" max="7154" width="15" style="14" customWidth="1"/>
    <col min="7155" max="7163" width="11.28515625" style="14" customWidth="1"/>
    <col min="7164" max="7409" width="9.140625" style="14"/>
    <col min="7410" max="7410" width="15" style="14" customWidth="1"/>
    <col min="7411" max="7419" width="11.28515625" style="14" customWidth="1"/>
    <col min="7420" max="7665" width="9.140625" style="14"/>
    <col min="7666" max="7666" width="15" style="14" customWidth="1"/>
    <col min="7667" max="7675" width="11.28515625" style="14" customWidth="1"/>
    <col min="7676" max="7921" width="9.140625" style="14"/>
    <col min="7922" max="7922" width="15" style="14" customWidth="1"/>
    <col min="7923" max="7931" width="11.28515625" style="14" customWidth="1"/>
    <col min="7932" max="8177" width="9.140625" style="14"/>
    <col min="8178" max="8178" width="15" style="14" customWidth="1"/>
    <col min="8179" max="8187" width="11.28515625" style="14" customWidth="1"/>
    <col min="8188" max="8433" width="9.140625" style="14"/>
    <col min="8434" max="8434" width="15" style="14" customWidth="1"/>
    <col min="8435" max="8443" width="11.28515625" style="14" customWidth="1"/>
    <col min="8444" max="8689" width="9.140625" style="14"/>
    <col min="8690" max="8690" width="15" style="14" customWidth="1"/>
    <col min="8691" max="8699" width="11.28515625" style="14" customWidth="1"/>
    <col min="8700" max="8945" width="9.140625" style="14"/>
    <col min="8946" max="8946" width="15" style="14" customWidth="1"/>
    <col min="8947" max="8955" width="11.28515625" style="14" customWidth="1"/>
    <col min="8956" max="9201" width="9.140625" style="14"/>
    <col min="9202" max="9202" width="15" style="14" customWidth="1"/>
    <col min="9203" max="9211" width="11.28515625" style="14" customWidth="1"/>
    <col min="9212" max="9457" width="9.140625" style="14"/>
    <col min="9458" max="9458" width="15" style="14" customWidth="1"/>
    <col min="9459" max="9467" width="11.28515625" style="14" customWidth="1"/>
    <col min="9468" max="9713" width="9.140625" style="14"/>
    <col min="9714" max="9714" width="15" style="14" customWidth="1"/>
    <col min="9715" max="9723" width="11.28515625" style="14" customWidth="1"/>
    <col min="9724" max="9969" width="9.140625" style="14"/>
    <col min="9970" max="9970" width="15" style="14" customWidth="1"/>
    <col min="9971" max="9979" width="11.28515625" style="14" customWidth="1"/>
    <col min="9980" max="10225" width="9.140625" style="14"/>
    <col min="10226" max="10226" width="15" style="14" customWidth="1"/>
    <col min="10227" max="10235" width="11.28515625" style="14" customWidth="1"/>
    <col min="10236" max="10481" width="9.140625" style="14"/>
    <col min="10482" max="10482" width="15" style="14" customWidth="1"/>
    <col min="10483" max="10491" width="11.28515625" style="14" customWidth="1"/>
    <col min="10492" max="10737" width="9.140625" style="14"/>
    <col min="10738" max="10738" width="15" style="14" customWidth="1"/>
    <col min="10739" max="10747" width="11.28515625" style="14" customWidth="1"/>
    <col min="10748" max="10993" width="9.140625" style="14"/>
    <col min="10994" max="10994" width="15" style="14" customWidth="1"/>
    <col min="10995" max="11003" width="11.28515625" style="14" customWidth="1"/>
    <col min="11004" max="11249" width="9.140625" style="14"/>
    <col min="11250" max="11250" width="15" style="14" customWidth="1"/>
    <col min="11251" max="11259" width="11.28515625" style="14" customWidth="1"/>
    <col min="11260" max="11505" width="9.140625" style="14"/>
    <col min="11506" max="11506" width="15" style="14" customWidth="1"/>
    <col min="11507" max="11515" width="11.28515625" style="14" customWidth="1"/>
    <col min="11516" max="11761" width="9.140625" style="14"/>
    <col min="11762" max="11762" width="15" style="14" customWidth="1"/>
    <col min="11763" max="11771" width="11.28515625" style="14" customWidth="1"/>
    <col min="11772" max="12017" width="9.140625" style="14"/>
    <col min="12018" max="12018" width="15" style="14" customWidth="1"/>
    <col min="12019" max="12027" width="11.28515625" style="14" customWidth="1"/>
    <col min="12028" max="12273" width="9.140625" style="14"/>
    <col min="12274" max="12274" width="15" style="14" customWidth="1"/>
    <col min="12275" max="12283" width="11.28515625" style="14" customWidth="1"/>
    <col min="12284" max="12529" width="9.140625" style="14"/>
    <col min="12530" max="12530" width="15" style="14" customWidth="1"/>
    <col min="12531" max="12539" width="11.28515625" style="14" customWidth="1"/>
    <col min="12540" max="12785" width="9.140625" style="14"/>
    <col min="12786" max="12786" width="15" style="14" customWidth="1"/>
    <col min="12787" max="12795" width="11.28515625" style="14" customWidth="1"/>
    <col min="12796" max="13041" width="9.140625" style="14"/>
    <col min="13042" max="13042" width="15" style="14" customWidth="1"/>
    <col min="13043" max="13051" width="11.28515625" style="14" customWidth="1"/>
    <col min="13052" max="13297" width="9.140625" style="14"/>
    <col min="13298" max="13298" width="15" style="14" customWidth="1"/>
    <col min="13299" max="13307" width="11.28515625" style="14" customWidth="1"/>
    <col min="13308" max="13553" width="9.140625" style="14"/>
    <col min="13554" max="13554" width="15" style="14" customWidth="1"/>
    <col min="13555" max="13563" width="11.28515625" style="14" customWidth="1"/>
    <col min="13564" max="13809" width="9.140625" style="14"/>
    <col min="13810" max="13810" width="15" style="14" customWidth="1"/>
    <col min="13811" max="13819" width="11.28515625" style="14" customWidth="1"/>
    <col min="13820" max="14065" width="9.140625" style="14"/>
    <col min="14066" max="14066" width="15" style="14" customWidth="1"/>
    <col min="14067" max="14075" width="11.28515625" style="14" customWidth="1"/>
    <col min="14076" max="14321" width="9.140625" style="14"/>
    <col min="14322" max="14322" width="15" style="14" customWidth="1"/>
    <col min="14323" max="14331" width="11.28515625" style="14" customWidth="1"/>
    <col min="14332" max="14577" width="9.140625" style="14"/>
    <col min="14578" max="14578" width="15" style="14" customWidth="1"/>
    <col min="14579" max="14587" width="11.28515625" style="14" customWidth="1"/>
    <col min="14588" max="14833" width="9.140625" style="14"/>
    <col min="14834" max="14834" width="15" style="14" customWidth="1"/>
    <col min="14835" max="14843" width="11.28515625" style="14" customWidth="1"/>
    <col min="14844" max="15089" width="9.140625" style="14"/>
    <col min="15090" max="15090" width="15" style="14" customWidth="1"/>
    <col min="15091" max="15099" width="11.28515625" style="14" customWidth="1"/>
    <col min="15100" max="15345" width="9.140625" style="14"/>
    <col min="15346" max="15346" width="15" style="14" customWidth="1"/>
    <col min="15347" max="15355" width="11.28515625" style="14" customWidth="1"/>
    <col min="15356" max="15601" width="9.140625" style="14"/>
    <col min="15602" max="15602" width="15" style="14" customWidth="1"/>
    <col min="15603" max="15611" width="11.28515625" style="14" customWidth="1"/>
    <col min="15612" max="15857" width="9.140625" style="14"/>
    <col min="15858" max="15858" width="15" style="14" customWidth="1"/>
    <col min="15859" max="15867" width="11.28515625" style="14" customWidth="1"/>
    <col min="15868" max="16113" width="9.140625" style="14"/>
    <col min="16114" max="16114" width="15" style="14" customWidth="1"/>
    <col min="16115" max="16123" width="11.28515625" style="14" customWidth="1"/>
    <col min="16124" max="16384" width="9.140625" style="14"/>
  </cols>
  <sheetData>
    <row r="1" spans="1:27">
      <c r="A1" s="419" t="s">
        <v>521</v>
      </c>
      <c r="B1" s="336"/>
      <c r="C1" s="336"/>
      <c r="D1" s="336"/>
      <c r="E1" s="336"/>
      <c r="F1" s="336"/>
      <c r="G1" s="336"/>
      <c r="H1" s="336"/>
      <c r="I1" s="336"/>
      <c r="J1" s="336"/>
      <c r="M1" s="14" t="s">
        <v>526</v>
      </c>
    </row>
    <row r="2" spans="1:27">
      <c r="A2" s="336"/>
      <c r="B2" s="336"/>
      <c r="C2" s="336"/>
      <c r="D2" s="336"/>
      <c r="E2" s="336"/>
      <c r="F2" s="336"/>
      <c r="G2" s="336"/>
      <c r="H2" s="336"/>
      <c r="I2" s="336"/>
      <c r="J2" s="336"/>
    </row>
    <row r="3" spans="1:27">
      <c r="A3" s="340"/>
      <c r="B3" s="341" t="s">
        <v>66</v>
      </c>
      <c r="C3" s="341" t="s">
        <v>67</v>
      </c>
      <c r="D3" s="341" t="s">
        <v>68</v>
      </c>
      <c r="E3" s="341" t="s">
        <v>69</v>
      </c>
      <c r="F3" s="341" t="s">
        <v>70</v>
      </c>
      <c r="G3" s="341" t="s">
        <v>71</v>
      </c>
      <c r="H3" s="341" t="s">
        <v>72</v>
      </c>
      <c r="I3" s="341" t="s">
        <v>73</v>
      </c>
      <c r="J3" s="341" t="s">
        <v>3</v>
      </c>
      <c r="M3" s="341" t="s">
        <v>67</v>
      </c>
      <c r="N3" s="341" t="s">
        <v>68</v>
      </c>
      <c r="O3" s="341" t="s">
        <v>70</v>
      </c>
      <c r="P3" s="341" t="s">
        <v>71</v>
      </c>
      <c r="Q3" s="341" t="s">
        <v>72</v>
      </c>
      <c r="R3" s="341" t="s">
        <v>73</v>
      </c>
      <c r="S3" s="341" t="s">
        <v>3</v>
      </c>
      <c r="T3" s="341" t="s">
        <v>69</v>
      </c>
      <c r="V3" s="14" t="s">
        <v>206</v>
      </c>
    </row>
    <row r="4" spans="1:27" ht="15.75" thickBot="1">
      <c r="A4" s="336" t="s">
        <v>74</v>
      </c>
      <c r="B4" s="342">
        <v>15.7</v>
      </c>
      <c r="C4" s="343">
        <v>9</v>
      </c>
      <c r="D4" s="344">
        <v>71.027177760140717</v>
      </c>
      <c r="E4" s="345">
        <v>448</v>
      </c>
      <c r="F4" s="346">
        <v>218.17340830567619</v>
      </c>
      <c r="G4" s="347">
        <v>1.81</v>
      </c>
      <c r="H4" s="348">
        <v>22</v>
      </c>
      <c r="I4" s="349">
        <v>5</v>
      </c>
      <c r="J4" s="350">
        <v>42666</v>
      </c>
      <c r="M4" s="343">
        <v>9</v>
      </c>
      <c r="N4" s="344">
        <v>71.027177760140717</v>
      </c>
      <c r="O4" s="346">
        <v>218.17340830567619</v>
      </c>
      <c r="P4" s="347">
        <v>1.81</v>
      </c>
      <c r="Q4" s="348">
        <v>22</v>
      </c>
      <c r="R4" s="349">
        <v>5</v>
      </c>
      <c r="S4" s="350">
        <v>42666</v>
      </c>
      <c r="T4" s="345">
        <v>448</v>
      </c>
    </row>
    <row r="5" spans="1:27">
      <c r="A5" s="336" t="s">
        <v>75</v>
      </c>
      <c r="B5" s="342">
        <v>8.4</v>
      </c>
      <c r="C5" s="343">
        <v>6.9</v>
      </c>
      <c r="D5" s="344">
        <v>70.62318863808899</v>
      </c>
      <c r="E5" s="345">
        <v>661.2</v>
      </c>
      <c r="F5" s="346">
        <v>228.45028196578826</v>
      </c>
      <c r="G5" s="347">
        <v>1.63</v>
      </c>
      <c r="H5" s="348">
        <v>27.3</v>
      </c>
      <c r="I5" s="349">
        <v>6.7</v>
      </c>
      <c r="J5" s="350">
        <v>68460</v>
      </c>
      <c r="M5" s="343">
        <v>6.9</v>
      </c>
      <c r="N5" s="344">
        <v>70.62318863808899</v>
      </c>
      <c r="O5" s="346">
        <v>228.45028196578826</v>
      </c>
      <c r="P5" s="347">
        <v>1.63</v>
      </c>
      <c r="Q5" s="348">
        <v>27.3</v>
      </c>
      <c r="R5" s="349">
        <v>6.7</v>
      </c>
      <c r="S5" s="350">
        <v>68460</v>
      </c>
      <c r="T5" s="345">
        <v>661.2</v>
      </c>
      <c r="V5" s="18" t="s">
        <v>207</v>
      </c>
      <c r="W5" s="18"/>
    </row>
    <row r="6" spans="1:27">
      <c r="A6" s="336" t="s">
        <v>76</v>
      </c>
      <c r="B6" s="342">
        <v>14.7</v>
      </c>
      <c r="C6" s="343">
        <v>6.4</v>
      </c>
      <c r="D6" s="344">
        <v>86.505696765320337</v>
      </c>
      <c r="E6" s="345">
        <v>482.7</v>
      </c>
      <c r="F6" s="346">
        <v>209.66657175716827</v>
      </c>
      <c r="G6" s="347">
        <v>1.69</v>
      </c>
      <c r="H6" s="348">
        <v>25.1</v>
      </c>
      <c r="I6" s="349">
        <v>5.5</v>
      </c>
      <c r="J6" s="350">
        <v>50958</v>
      </c>
      <c r="M6" s="343">
        <v>6.4</v>
      </c>
      <c r="N6" s="344">
        <v>86.505696765320337</v>
      </c>
      <c r="O6" s="346">
        <v>209.66657175716827</v>
      </c>
      <c r="P6" s="347">
        <v>1.69</v>
      </c>
      <c r="Q6" s="348">
        <v>25.1</v>
      </c>
      <c r="R6" s="349">
        <v>5.5</v>
      </c>
      <c r="S6" s="350">
        <v>50958</v>
      </c>
      <c r="T6" s="345">
        <v>482.7</v>
      </c>
      <c r="V6" s="323" t="s">
        <v>208</v>
      </c>
      <c r="W6" s="323">
        <v>0.71976617776723262</v>
      </c>
    </row>
    <row r="7" spans="1:27">
      <c r="A7" s="336" t="s">
        <v>77</v>
      </c>
      <c r="B7" s="342">
        <v>17.3</v>
      </c>
      <c r="C7" s="343">
        <v>8.5</v>
      </c>
      <c r="D7" s="344">
        <v>80.783955956979611</v>
      </c>
      <c r="E7" s="345">
        <v>529.4</v>
      </c>
      <c r="F7" s="346">
        <v>203.42285988234826</v>
      </c>
      <c r="G7" s="347">
        <v>1.96</v>
      </c>
      <c r="H7" s="348">
        <v>18.8</v>
      </c>
      <c r="I7" s="349">
        <v>5.0999999999999996</v>
      </c>
      <c r="J7" s="350">
        <v>38815</v>
      </c>
      <c r="M7" s="343">
        <v>8.5</v>
      </c>
      <c r="N7" s="344">
        <v>80.783955956979611</v>
      </c>
      <c r="O7" s="346">
        <v>203.42285988234826</v>
      </c>
      <c r="P7" s="347">
        <v>1.96</v>
      </c>
      <c r="Q7" s="348">
        <v>18.8</v>
      </c>
      <c r="R7" s="349">
        <v>5.0999999999999996</v>
      </c>
      <c r="S7" s="350">
        <v>38815</v>
      </c>
      <c r="T7" s="345">
        <v>529.4</v>
      </c>
      <c r="V7" s="323" t="s">
        <v>201</v>
      </c>
      <c r="W7" s="323">
        <v>0.51806335065765152</v>
      </c>
    </row>
    <row r="8" spans="1:27">
      <c r="A8" s="336" t="s">
        <v>78</v>
      </c>
      <c r="B8" s="342">
        <v>13.3</v>
      </c>
      <c r="C8" s="343">
        <v>5</v>
      </c>
      <c r="D8" s="344">
        <v>76.640052174481781</v>
      </c>
      <c r="E8" s="345">
        <v>522.6</v>
      </c>
      <c r="F8" s="346">
        <v>268.69056049813605</v>
      </c>
      <c r="G8" s="347">
        <v>1.21</v>
      </c>
      <c r="H8" s="348">
        <v>29.6</v>
      </c>
      <c r="I8" s="349">
        <v>7.2</v>
      </c>
      <c r="J8" s="350">
        <v>61021</v>
      </c>
      <c r="M8" s="343">
        <v>5</v>
      </c>
      <c r="N8" s="344">
        <v>76.640052174481781</v>
      </c>
      <c r="O8" s="346">
        <v>268.69056049813605</v>
      </c>
      <c r="P8" s="347">
        <v>1.21</v>
      </c>
      <c r="Q8" s="348">
        <v>29.6</v>
      </c>
      <c r="R8" s="349">
        <v>7.2</v>
      </c>
      <c r="S8" s="350">
        <v>61021</v>
      </c>
      <c r="T8" s="345">
        <v>522.6</v>
      </c>
      <c r="V8" s="323" t="s">
        <v>209</v>
      </c>
      <c r="W8" s="323">
        <v>-0.32532578569145842</v>
      </c>
    </row>
    <row r="9" spans="1:27">
      <c r="A9" s="336" t="s">
        <v>79</v>
      </c>
      <c r="B9" s="342">
        <v>11.4</v>
      </c>
      <c r="C9" s="343">
        <v>5.7</v>
      </c>
      <c r="D9" s="344">
        <v>89.734092175332663</v>
      </c>
      <c r="E9" s="345">
        <v>347.8</v>
      </c>
      <c r="F9" s="346">
        <v>259.68608874672964</v>
      </c>
      <c r="G9" s="347">
        <v>1.1399999999999999</v>
      </c>
      <c r="H9" s="348">
        <v>35.6</v>
      </c>
      <c r="I9" s="349">
        <v>4.9000000000000004</v>
      </c>
      <c r="J9" s="350">
        <v>56993</v>
      </c>
      <c r="M9" s="343">
        <v>5.7</v>
      </c>
      <c r="N9" s="344">
        <v>89.734092175332663</v>
      </c>
      <c r="O9" s="346">
        <v>259.68608874672964</v>
      </c>
      <c r="P9" s="347">
        <v>1.1399999999999999</v>
      </c>
      <c r="Q9" s="348">
        <v>35.6</v>
      </c>
      <c r="R9" s="349">
        <v>4.9000000000000004</v>
      </c>
      <c r="S9" s="350">
        <v>56993</v>
      </c>
      <c r="T9" s="345">
        <v>347.8</v>
      </c>
      <c r="V9" s="323" t="s">
        <v>9</v>
      </c>
      <c r="W9" s="323">
        <v>192.83508992801839</v>
      </c>
    </row>
    <row r="10" spans="1:27" ht="15.75" thickBot="1">
      <c r="A10" s="336" t="s">
        <v>80</v>
      </c>
      <c r="B10" s="342">
        <v>9.3000000000000007</v>
      </c>
      <c r="C10" s="343">
        <v>6.2</v>
      </c>
      <c r="D10" s="344">
        <v>84.278652322083644</v>
      </c>
      <c r="E10" s="345">
        <v>256</v>
      </c>
      <c r="F10" s="346">
        <v>376.3752669155395</v>
      </c>
      <c r="G10" s="347">
        <v>0.86</v>
      </c>
      <c r="H10" s="348">
        <v>35.6</v>
      </c>
      <c r="I10" s="349">
        <v>5.7</v>
      </c>
      <c r="J10" s="350">
        <v>68595</v>
      </c>
      <c r="M10" s="343">
        <v>6.2</v>
      </c>
      <c r="N10" s="344">
        <v>84.278652322083644</v>
      </c>
      <c r="O10" s="346">
        <v>376.3752669155395</v>
      </c>
      <c r="P10" s="347">
        <v>0.86</v>
      </c>
      <c r="Q10" s="348">
        <v>35.6</v>
      </c>
      <c r="R10" s="349">
        <v>5.7</v>
      </c>
      <c r="S10" s="350">
        <v>68595</v>
      </c>
      <c r="T10" s="345">
        <v>256</v>
      </c>
      <c r="V10" s="327" t="s">
        <v>42</v>
      </c>
      <c r="W10" s="327">
        <v>12</v>
      </c>
    </row>
    <row r="11" spans="1:27">
      <c r="A11" s="336" t="s">
        <v>81</v>
      </c>
      <c r="B11" s="351">
        <v>10</v>
      </c>
      <c r="C11" s="343">
        <v>8.3000000000000007</v>
      </c>
      <c r="D11" s="344">
        <v>74.266056727126113</v>
      </c>
      <c r="E11" s="345">
        <v>689.2</v>
      </c>
      <c r="F11" s="346">
        <v>250.94175668510928</v>
      </c>
      <c r="G11" s="347">
        <v>1.23</v>
      </c>
      <c r="H11" s="348">
        <v>27.5</v>
      </c>
      <c r="I11" s="349">
        <v>4.8</v>
      </c>
      <c r="J11" s="350">
        <v>57989</v>
      </c>
      <c r="M11" s="343">
        <v>8.3000000000000007</v>
      </c>
      <c r="N11" s="344">
        <v>74.266056727126113</v>
      </c>
      <c r="O11" s="346">
        <v>250.94175668510928</v>
      </c>
      <c r="P11" s="347">
        <v>1.23</v>
      </c>
      <c r="Q11" s="348">
        <v>27.5</v>
      </c>
      <c r="R11" s="349">
        <v>4.8</v>
      </c>
      <c r="S11" s="350">
        <v>57989</v>
      </c>
      <c r="T11" s="345">
        <v>689.2</v>
      </c>
    </row>
    <row r="12" spans="1:27" ht="15.75" thickBot="1">
      <c r="A12" s="336" t="s">
        <v>82</v>
      </c>
      <c r="B12" s="342">
        <v>13.2</v>
      </c>
      <c r="C12" s="343">
        <v>7.3</v>
      </c>
      <c r="D12" s="344">
        <v>79.811068541941054</v>
      </c>
      <c r="E12" s="345">
        <v>722.6</v>
      </c>
      <c r="F12" s="346">
        <v>247.86359820579941</v>
      </c>
      <c r="G12" s="347">
        <v>1.56</v>
      </c>
      <c r="H12" s="348">
        <v>25.8</v>
      </c>
      <c r="I12" s="349">
        <v>6.2</v>
      </c>
      <c r="J12" s="350">
        <v>47778</v>
      </c>
      <c r="M12" s="343">
        <v>7.3</v>
      </c>
      <c r="N12" s="344">
        <v>79.811068541941054</v>
      </c>
      <c r="O12" s="346">
        <v>247.86359820579941</v>
      </c>
      <c r="P12" s="347">
        <v>1.56</v>
      </c>
      <c r="Q12" s="348">
        <v>25.8</v>
      </c>
      <c r="R12" s="349">
        <v>6.2</v>
      </c>
      <c r="S12" s="350">
        <v>47778</v>
      </c>
      <c r="T12" s="345">
        <v>722.6</v>
      </c>
      <c r="V12" s="14" t="s">
        <v>210</v>
      </c>
    </row>
    <row r="13" spans="1:27">
      <c r="A13" s="336" t="s">
        <v>83</v>
      </c>
      <c r="B13" s="342">
        <v>14.7</v>
      </c>
      <c r="C13" s="343">
        <v>8.1</v>
      </c>
      <c r="D13" s="344">
        <v>65.387718279566343</v>
      </c>
      <c r="E13" s="345">
        <v>493.2</v>
      </c>
      <c r="F13" s="346">
        <v>217.44570184044454</v>
      </c>
      <c r="G13" s="347">
        <v>1.46</v>
      </c>
      <c r="H13" s="348">
        <v>27.5</v>
      </c>
      <c r="I13" s="349">
        <v>6.2</v>
      </c>
      <c r="J13" s="350">
        <v>50861</v>
      </c>
      <c r="M13" s="343">
        <v>8.1</v>
      </c>
      <c r="N13" s="344">
        <v>65.387718279566343</v>
      </c>
      <c r="O13" s="346">
        <v>217.44570184044454</v>
      </c>
      <c r="P13" s="347">
        <v>1.46</v>
      </c>
      <c r="Q13" s="348">
        <v>27.5</v>
      </c>
      <c r="R13" s="349">
        <v>6.2</v>
      </c>
      <c r="S13" s="350">
        <v>50861</v>
      </c>
      <c r="T13" s="345">
        <v>493.2</v>
      </c>
      <c r="V13" s="417"/>
      <c r="W13" s="417" t="s">
        <v>26</v>
      </c>
      <c r="X13" s="417" t="s">
        <v>137</v>
      </c>
      <c r="Y13" s="417" t="s">
        <v>156</v>
      </c>
      <c r="Z13" s="417" t="s">
        <v>63</v>
      </c>
      <c r="AA13" s="417" t="s">
        <v>213</v>
      </c>
    </row>
    <row r="14" spans="1:27">
      <c r="A14" s="336" t="s">
        <v>84</v>
      </c>
      <c r="B14" s="342">
        <v>9.1</v>
      </c>
      <c r="C14" s="343">
        <v>5.6</v>
      </c>
      <c r="D14" s="344">
        <v>29.667333748383395</v>
      </c>
      <c r="E14" s="345">
        <v>272.8</v>
      </c>
      <c r="F14" s="346">
        <v>316.98289278791503</v>
      </c>
      <c r="G14" s="347">
        <v>1.33</v>
      </c>
      <c r="H14" s="348">
        <v>29.1</v>
      </c>
      <c r="I14" s="349">
        <v>3.9</v>
      </c>
      <c r="J14" s="350">
        <v>67214</v>
      </c>
      <c r="M14" s="343">
        <v>5.6</v>
      </c>
      <c r="N14" s="344">
        <v>29.667333748383395</v>
      </c>
      <c r="O14" s="346">
        <v>316.98289278791503</v>
      </c>
      <c r="P14" s="347">
        <v>1.33</v>
      </c>
      <c r="Q14" s="348">
        <v>29.1</v>
      </c>
      <c r="R14" s="349">
        <v>3.9</v>
      </c>
      <c r="S14" s="350">
        <v>67214</v>
      </c>
      <c r="T14" s="345">
        <v>272.8</v>
      </c>
      <c r="V14" s="323" t="s">
        <v>138</v>
      </c>
      <c r="W14" s="323">
        <v>7</v>
      </c>
      <c r="X14" s="323">
        <v>159891.37486981228</v>
      </c>
      <c r="Y14" s="323">
        <v>22841.624981401754</v>
      </c>
      <c r="Z14" s="323">
        <v>0.61426372279379948</v>
      </c>
      <c r="AA14" s="323">
        <v>0.73111172010500081</v>
      </c>
    </row>
    <row r="15" spans="1:27">
      <c r="A15" s="420" t="s">
        <v>85</v>
      </c>
      <c r="B15" s="421">
        <v>12.6</v>
      </c>
      <c r="C15" s="422">
        <v>6.8</v>
      </c>
      <c r="D15" s="423">
        <v>94.600660447193093</v>
      </c>
      <c r="E15" s="424">
        <v>239.4</v>
      </c>
      <c r="F15" s="425">
        <v>168.83390313104681</v>
      </c>
      <c r="G15" s="426">
        <v>1.6</v>
      </c>
      <c r="H15" s="427">
        <v>24</v>
      </c>
      <c r="I15" s="428">
        <v>4.9000000000000004</v>
      </c>
      <c r="J15" s="429">
        <v>47576</v>
      </c>
      <c r="M15" s="422">
        <v>6.8</v>
      </c>
      <c r="N15" s="423">
        <v>94.600660447193093</v>
      </c>
      <c r="O15" s="425">
        <v>168.83390313104681</v>
      </c>
      <c r="P15" s="426">
        <v>1.6</v>
      </c>
      <c r="Q15" s="427">
        <v>24</v>
      </c>
      <c r="R15" s="428">
        <v>4.9000000000000004</v>
      </c>
      <c r="S15" s="429">
        <v>47576</v>
      </c>
      <c r="T15" s="424">
        <v>239.4</v>
      </c>
      <c r="V15" s="323" t="s">
        <v>211</v>
      </c>
      <c r="W15" s="323">
        <v>4</v>
      </c>
      <c r="X15" s="323">
        <v>148741.48763018777</v>
      </c>
      <c r="Y15" s="323">
        <v>37185.371907546942</v>
      </c>
      <c r="Z15" s="323"/>
      <c r="AA15" s="323"/>
    </row>
    <row r="16" spans="1:27" ht="15.75" thickBot="1">
      <c r="A16" s="34"/>
      <c r="B16" s="342"/>
      <c r="C16" s="343"/>
      <c r="D16" s="352"/>
      <c r="E16" s="345"/>
      <c r="F16" s="346"/>
      <c r="G16" s="353"/>
      <c r="H16" s="348"/>
      <c r="I16" s="354"/>
      <c r="J16" s="355"/>
      <c r="V16" s="327" t="s">
        <v>1</v>
      </c>
      <c r="W16" s="327">
        <v>11</v>
      </c>
      <c r="X16" s="327">
        <v>308632.86250000005</v>
      </c>
      <c r="Y16" s="327"/>
      <c r="Z16" s="327"/>
      <c r="AA16" s="327"/>
    </row>
    <row r="17" spans="1:28" ht="15.75" thickBot="1">
      <c r="A17" s="336" t="s">
        <v>376</v>
      </c>
      <c r="B17" s="336"/>
      <c r="C17" s="336">
        <v>1</v>
      </c>
      <c r="D17" s="336">
        <f>C17+1</f>
        <v>2</v>
      </c>
      <c r="E17" s="336">
        <f t="shared" ref="E17:J17" si="0">D17+1</f>
        <v>3</v>
      </c>
      <c r="F17" s="336">
        <f t="shared" si="0"/>
        <v>4</v>
      </c>
      <c r="G17" s="336">
        <f t="shared" si="0"/>
        <v>5</v>
      </c>
      <c r="H17" s="336">
        <f t="shared" si="0"/>
        <v>6</v>
      </c>
      <c r="I17" s="336">
        <f t="shared" si="0"/>
        <v>7</v>
      </c>
      <c r="J17" s="336">
        <f t="shared" si="0"/>
        <v>8</v>
      </c>
    </row>
    <row r="18" spans="1:28">
      <c r="A18" s="336" t="s">
        <v>524</v>
      </c>
      <c r="B18" s="336"/>
      <c r="C18" s="430" t="str">
        <f>C3</f>
        <v>Infant Mort</v>
      </c>
      <c r="D18" s="430" t="str">
        <f t="shared" ref="D18:J18" si="1">D3</f>
        <v>White</v>
      </c>
      <c r="E18" s="430" t="str">
        <f t="shared" si="1"/>
        <v>Crime</v>
      </c>
      <c r="F18" s="430" t="str">
        <f t="shared" si="1"/>
        <v>Doctors</v>
      </c>
      <c r="G18" s="430" t="str">
        <f t="shared" si="1"/>
        <v>Traf Deaths</v>
      </c>
      <c r="H18" s="430" t="str">
        <f t="shared" si="1"/>
        <v>University</v>
      </c>
      <c r="I18" s="430" t="str">
        <f t="shared" si="1"/>
        <v>Unemployed</v>
      </c>
      <c r="J18" s="430" t="str">
        <f t="shared" si="1"/>
        <v>Income</v>
      </c>
      <c r="V18" s="417"/>
      <c r="W18" s="417" t="s">
        <v>214</v>
      </c>
      <c r="X18" s="417" t="s">
        <v>9</v>
      </c>
      <c r="Y18" s="417" t="s">
        <v>45</v>
      </c>
      <c r="Z18" s="417" t="s">
        <v>56</v>
      </c>
      <c r="AA18" s="417" t="s">
        <v>215</v>
      </c>
      <c r="AB18" s="417" t="s">
        <v>216</v>
      </c>
    </row>
    <row r="19" spans="1:28">
      <c r="A19" s="336" t="s">
        <v>522</v>
      </c>
      <c r="B19" s="336"/>
      <c r="C19" s="431" t="e">
        <f t="shared" ref="C19:J19" ca="1" si="2">TOLERANCE($C$4:$J$15,C17)</f>
        <v>#NAME?</v>
      </c>
      <c r="D19" s="432" t="e">
        <f t="shared" ca="1" si="2"/>
        <v>#NAME?</v>
      </c>
      <c r="E19" s="432" t="e">
        <f t="shared" ca="1" si="2"/>
        <v>#NAME?</v>
      </c>
      <c r="F19" s="432" t="e">
        <f t="shared" ca="1" si="2"/>
        <v>#NAME?</v>
      </c>
      <c r="G19" s="432" t="e">
        <f t="shared" ca="1" si="2"/>
        <v>#NAME?</v>
      </c>
      <c r="H19" s="432" t="e">
        <f t="shared" ca="1" si="2"/>
        <v>#NAME?</v>
      </c>
      <c r="I19" s="432" t="e">
        <f t="shared" ca="1" si="2"/>
        <v>#NAME?</v>
      </c>
      <c r="J19" s="433" t="e">
        <f t="shared" ca="1" si="2"/>
        <v>#NAME?</v>
      </c>
      <c r="V19" s="323" t="s">
        <v>212</v>
      </c>
      <c r="W19" s="323">
        <v>-374.55491616671168</v>
      </c>
      <c r="X19" s="323">
        <v>2180.1320240232571</v>
      </c>
      <c r="Y19" s="323">
        <v>-0.17180377703709013</v>
      </c>
      <c r="Z19" s="323">
        <v>0.87193342814591435</v>
      </c>
      <c r="AA19" s="323">
        <v>-6427.5718029510417</v>
      </c>
      <c r="AB19" s="323">
        <v>5678.461970617619</v>
      </c>
    </row>
    <row r="20" spans="1:28">
      <c r="A20" s="336" t="s">
        <v>523</v>
      </c>
      <c r="B20" s="336"/>
      <c r="C20" s="434" t="e">
        <f t="shared" ref="C20:J20" ca="1" si="3">VIF($C$4:$J$15,C17)</f>
        <v>#NAME?</v>
      </c>
      <c r="D20" s="420" t="e">
        <f t="shared" ca="1" si="3"/>
        <v>#NAME?</v>
      </c>
      <c r="E20" s="420" t="e">
        <f t="shared" ca="1" si="3"/>
        <v>#NAME?</v>
      </c>
      <c r="F20" s="420" t="e">
        <f t="shared" ca="1" si="3"/>
        <v>#NAME?</v>
      </c>
      <c r="G20" s="420" t="e">
        <f t="shared" ca="1" si="3"/>
        <v>#NAME?</v>
      </c>
      <c r="H20" s="420" t="e">
        <f t="shared" ca="1" si="3"/>
        <v>#NAME?</v>
      </c>
      <c r="I20" s="420" t="e">
        <f t="shared" ca="1" si="3"/>
        <v>#NAME?</v>
      </c>
      <c r="J20" s="435" t="e">
        <f t="shared" ca="1" si="3"/>
        <v>#NAME?</v>
      </c>
      <c r="V20" s="323" t="s">
        <v>67</v>
      </c>
      <c r="W20" s="323">
        <v>65.758997470819949</v>
      </c>
      <c r="X20" s="323">
        <v>65.324211973242114</v>
      </c>
      <c r="Y20" s="323">
        <v>1.0066558093001707</v>
      </c>
      <c r="Z20" s="323">
        <v>0.37105296163684931</v>
      </c>
      <c r="AA20" s="323">
        <v>-115.61009111319122</v>
      </c>
      <c r="AB20" s="323">
        <v>247.1280860548311</v>
      </c>
    </row>
    <row r="21" spans="1:28">
      <c r="A21" s="336"/>
      <c r="B21" s="336"/>
      <c r="C21" s="336"/>
      <c r="D21" s="336"/>
      <c r="E21" s="336"/>
      <c r="F21" s="336"/>
      <c r="G21" s="336"/>
      <c r="H21" s="336"/>
      <c r="I21" s="336"/>
      <c r="J21" s="336"/>
      <c r="V21" s="323" t="s">
        <v>68</v>
      </c>
      <c r="W21" s="323">
        <v>-1.0926639698857727</v>
      </c>
      <c r="X21" s="323">
        <v>4.9989674664258041</v>
      </c>
      <c r="Y21" s="323">
        <v>-0.2185779317877844</v>
      </c>
      <c r="Z21" s="323">
        <v>0.83767804111203337</v>
      </c>
      <c r="AA21" s="323">
        <v>-14.972022723086711</v>
      </c>
      <c r="AB21" s="323">
        <v>12.786694783315165</v>
      </c>
    </row>
    <row r="22" spans="1:28">
      <c r="A22" s="336" t="s">
        <v>525</v>
      </c>
      <c r="B22" s="336"/>
      <c r="C22" s="436" t="e">
        <f ca="1">RSquare(D4:J15,C4:C15)</f>
        <v>#NAME?</v>
      </c>
      <c r="D22" s="336"/>
      <c r="E22" s="436">
        <f>W7</f>
        <v>0.51806335065765152</v>
      </c>
      <c r="F22" s="336"/>
      <c r="G22" s="336"/>
      <c r="H22" s="336"/>
      <c r="I22" s="336"/>
      <c r="J22" s="336"/>
      <c r="V22" s="323" t="s">
        <v>70</v>
      </c>
      <c r="W22" s="323">
        <v>-0.46501337426361106</v>
      </c>
      <c r="X22" s="323">
        <v>2.0403688569738496</v>
      </c>
      <c r="Y22" s="323">
        <v>-0.22790652419253765</v>
      </c>
      <c r="Z22" s="323">
        <v>0.83089488677879719</v>
      </c>
      <c r="AA22" s="323">
        <v>-6.129985500006673</v>
      </c>
      <c r="AB22" s="323">
        <v>5.1999587514794507</v>
      </c>
    </row>
    <row r="23" spans="1:28">
      <c r="A23" s="336" t="s">
        <v>522</v>
      </c>
      <c r="B23" s="336"/>
      <c r="C23" s="437" t="e">
        <f ca="1">1-C22</f>
        <v>#NAME?</v>
      </c>
      <c r="D23" s="336"/>
      <c r="E23" s="437">
        <f>1-E22</f>
        <v>0.48193664934234848</v>
      </c>
      <c r="F23" s="336"/>
      <c r="G23" s="336"/>
      <c r="H23" s="336"/>
      <c r="I23" s="336"/>
      <c r="J23" s="336"/>
      <c r="V23" s="323" t="s">
        <v>71</v>
      </c>
      <c r="W23" s="323">
        <v>-26.694848263368264</v>
      </c>
      <c r="X23" s="323">
        <v>574.84205509034223</v>
      </c>
      <c r="Y23" s="323">
        <v>-4.6438579131397928E-2</v>
      </c>
      <c r="Z23" s="323">
        <v>0.9651867047248367</v>
      </c>
      <c r="AA23" s="323">
        <v>-1622.7122583807891</v>
      </c>
      <c r="AB23" s="323">
        <v>1569.3225618540528</v>
      </c>
    </row>
    <row r="24" spans="1:28">
      <c r="A24" s="336" t="s">
        <v>523</v>
      </c>
      <c r="B24" s="336"/>
      <c r="C24" s="438" t="e">
        <f ca="1">1/C23</f>
        <v>#NAME?</v>
      </c>
      <c r="D24" s="336"/>
      <c r="E24" s="438">
        <f>1/E23</f>
        <v>2.0749615148891492</v>
      </c>
      <c r="F24" s="336"/>
      <c r="G24" s="336"/>
      <c r="H24" s="336"/>
      <c r="I24" s="336"/>
      <c r="J24" s="336"/>
      <c r="V24" s="323" t="s">
        <v>72</v>
      </c>
      <c r="W24" s="323">
        <v>-5.8433433693167975</v>
      </c>
      <c r="X24" s="323">
        <v>36.904815880210677</v>
      </c>
      <c r="Y24" s="323">
        <v>-0.15833552423845448</v>
      </c>
      <c r="Z24" s="323">
        <v>0.88186453570375911</v>
      </c>
      <c r="AA24" s="323">
        <v>-108.30753877815353</v>
      </c>
      <c r="AB24" s="323">
        <v>96.620852039519932</v>
      </c>
    </row>
    <row r="25" spans="1:28">
      <c r="A25" s="336"/>
      <c r="B25" s="336"/>
      <c r="C25" s="336"/>
      <c r="D25" s="336"/>
      <c r="E25" s="336"/>
      <c r="F25" s="336"/>
      <c r="G25" s="336"/>
      <c r="H25" s="336"/>
      <c r="I25" s="336"/>
      <c r="J25" s="336"/>
      <c r="V25" s="323" t="s">
        <v>73</v>
      </c>
      <c r="W25" s="323">
        <v>101.55363179997391</v>
      </c>
      <c r="X25" s="323">
        <v>70.33616028795899</v>
      </c>
      <c r="Y25" s="323">
        <v>1.4438324666033713</v>
      </c>
      <c r="Z25" s="323">
        <v>0.22227778074062871</v>
      </c>
      <c r="AA25" s="323">
        <v>-93.730856149937239</v>
      </c>
      <c r="AB25" s="323">
        <v>296.8381197498851</v>
      </c>
    </row>
    <row r="26" spans="1:28" ht="15.75" thickBot="1">
      <c r="A26" s="336"/>
      <c r="B26" s="336"/>
      <c r="C26" s="336"/>
      <c r="D26" s="336"/>
      <c r="E26" s="336"/>
      <c r="F26" s="336"/>
      <c r="G26" s="336"/>
      <c r="H26" s="336"/>
      <c r="I26" s="336"/>
      <c r="J26" s="336"/>
      <c r="V26" s="327" t="s">
        <v>3</v>
      </c>
      <c r="W26" s="327">
        <v>4.0754607444260724E-3</v>
      </c>
      <c r="X26" s="327">
        <v>1.1997111298070486E-2</v>
      </c>
      <c r="Y26" s="327">
        <v>0.33970350388276677</v>
      </c>
      <c r="Z26" s="327">
        <v>0.75116758819535034</v>
      </c>
      <c r="AA26" s="327">
        <v>-2.9233860195614872E-2</v>
      </c>
      <c r="AB26" s="327">
        <v>3.7384781684467017E-2</v>
      </c>
    </row>
    <row r="27" spans="1:28">
      <c r="A27" s="336"/>
      <c r="B27" s="336"/>
      <c r="C27" s="336"/>
      <c r="D27" s="336"/>
      <c r="E27" s="336"/>
      <c r="F27" s="336"/>
      <c r="G27" s="336"/>
      <c r="H27" s="336"/>
      <c r="I27" s="336"/>
      <c r="J27" s="336"/>
    </row>
    <row r="28" spans="1:28">
      <c r="A28" s="336"/>
      <c r="B28" s="336"/>
      <c r="C28" s="336"/>
      <c r="D28" s="336"/>
      <c r="E28" s="336"/>
      <c r="F28" s="336"/>
      <c r="G28" s="336"/>
      <c r="H28" s="336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62"/>
  <dimension ref="A1:T23"/>
  <sheetViews>
    <sheetView workbookViewId="0"/>
  </sheetViews>
  <sheetFormatPr defaultRowHeight="15"/>
  <sheetData>
    <row r="1" spans="1:20">
      <c r="A1" s="1" t="s">
        <v>914</v>
      </c>
    </row>
    <row r="3" spans="1:20">
      <c r="A3" s="604" t="s">
        <v>359</v>
      </c>
      <c r="B3" s="604" t="s">
        <v>360</v>
      </c>
      <c r="C3" s="604" t="s">
        <v>916</v>
      </c>
      <c r="D3" s="604" t="s">
        <v>917</v>
      </c>
      <c r="E3" s="604" t="s">
        <v>292</v>
      </c>
      <c r="G3" t="s">
        <v>601</v>
      </c>
      <c r="P3" t="s">
        <v>918</v>
      </c>
    </row>
    <row r="4" spans="1:20">
      <c r="A4" s="605">
        <v>3</v>
      </c>
      <c r="B4" s="605">
        <v>6</v>
      </c>
      <c r="C4" s="605">
        <v>2</v>
      </c>
      <c r="D4" s="605">
        <v>8</v>
      </c>
      <c r="E4" s="605">
        <v>3</v>
      </c>
    </row>
    <row r="5" spans="1:20" ht="15.75" thickBot="1">
      <c r="A5" s="605">
        <v>7</v>
      </c>
      <c r="B5" s="605">
        <f>INT(A5/2+4)</f>
        <v>7</v>
      </c>
      <c r="C5" s="605">
        <v>11</v>
      </c>
      <c r="D5" s="605">
        <v>14</v>
      </c>
      <c r="E5" s="605">
        <v>15</v>
      </c>
      <c r="G5" s="364" t="s">
        <v>606</v>
      </c>
      <c r="H5" s="364"/>
      <c r="J5" s="364"/>
      <c r="K5" s="364"/>
      <c r="P5" s="544" t="e">
        <f t="array" aca="1" ref="P5:T9" ca="1">CORR(A4:E21)</f>
        <v>#NAME?</v>
      </c>
      <c r="Q5" s="545" t="e">
        <f ca="1"/>
        <v>#NAME?</v>
      </c>
      <c r="R5" s="545" t="e">
        <f ca="1"/>
        <v>#NAME?</v>
      </c>
      <c r="S5" s="545" t="e">
        <f ca="1"/>
        <v>#NAME?</v>
      </c>
      <c r="T5" s="546" t="e">
        <f ca="1"/>
        <v>#NAME?</v>
      </c>
    </row>
    <row r="6" spans="1:20" ht="15.75" thickTop="1">
      <c r="A6" s="605">
        <v>11</v>
      </c>
      <c r="B6" s="605">
        <v>11</v>
      </c>
      <c r="C6" s="605">
        <v>23</v>
      </c>
      <c r="D6" s="605">
        <v>33</v>
      </c>
      <c r="E6" s="605">
        <v>19</v>
      </c>
      <c r="G6" t="s">
        <v>208</v>
      </c>
      <c r="H6" t="e">
        <f ca="1">SQRT(H7)</f>
        <v>#NAME?</v>
      </c>
      <c r="J6" t="s">
        <v>498</v>
      </c>
      <c r="K6" t="e">
        <f ca="1">H10*LN(I15/H10)+2*(H14+1)</f>
        <v>#NAME?</v>
      </c>
      <c r="P6" s="292" t="e">
        <f ca="1"/>
        <v>#NAME?</v>
      </c>
      <c r="Q6" s="5" t="e">
        <f ca="1"/>
        <v>#NAME?</v>
      </c>
      <c r="R6" s="5" t="e">
        <f ca="1"/>
        <v>#NAME?</v>
      </c>
      <c r="S6" s="5" t="e">
        <f ca="1"/>
        <v>#NAME?</v>
      </c>
      <c r="T6" s="43" t="e">
        <f ca="1"/>
        <v>#NAME?</v>
      </c>
    </row>
    <row r="7" spans="1:20">
      <c r="A7" s="605">
        <v>15</v>
      </c>
      <c r="B7" s="605">
        <v>12</v>
      </c>
      <c r="C7" s="605">
        <v>26</v>
      </c>
      <c r="D7" s="605">
        <v>34</v>
      </c>
      <c r="E7" s="605">
        <v>27</v>
      </c>
      <c r="G7" t="s">
        <v>201</v>
      </c>
      <c r="H7" t="e">
        <f ca="1">I14/I16</f>
        <v>#NAME?</v>
      </c>
      <c r="J7" t="s">
        <v>499</v>
      </c>
      <c r="K7" t="e">
        <f ca="1">K6+2*(H14+2)*(H14+3)/(H10-H14-3)</f>
        <v>#NAME?</v>
      </c>
      <c r="P7" s="292" t="e">
        <f ca="1"/>
        <v>#NAME?</v>
      </c>
      <c r="Q7" s="5" t="e">
        <f ca="1"/>
        <v>#NAME?</v>
      </c>
      <c r="R7" s="5" t="e">
        <f ca="1"/>
        <v>#NAME?</v>
      </c>
      <c r="S7" s="5" t="e">
        <f ca="1"/>
        <v>#NAME?</v>
      </c>
      <c r="T7" s="43" t="e">
        <f ca="1"/>
        <v>#NAME?</v>
      </c>
    </row>
    <row r="8" spans="1:20">
      <c r="A8" s="605">
        <v>21</v>
      </c>
      <c r="B8" s="605">
        <v>16</v>
      </c>
      <c r="C8" s="605">
        <v>12</v>
      </c>
      <c r="D8" s="605">
        <v>5</v>
      </c>
      <c r="E8" s="605">
        <v>23</v>
      </c>
      <c r="G8" t="s">
        <v>209</v>
      </c>
      <c r="H8" t="e">
        <f ca="1">1-(1-H7)*(H10-1)/(H10-H14-1)</f>
        <v>#NAME?</v>
      </c>
      <c r="J8" s="380" t="s">
        <v>762</v>
      </c>
      <c r="K8" s="380" t="e">
        <f ca="1">H10*LN(I15/H10)+(H14+1)*LN(H10)</f>
        <v>#NAME?</v>
      </c>
      <c r="P8" s="292" t="e">
        <f ca="1"/>
        <v>#NAME?</v>
      </c>
      <c r="Q8" s="5" t="e">
        <f ca="1"/>
        <v>#NAME?</v>
      </c>
      <c r="R8" s="5" t="e">
        <f ca="1"/>
        <v>#NAME?</v>
      </c>
      <c r="S8" s="5" t="e">
        <f ca="1"/>
        <v>#NAME?</v>
      </c>
      <c r="T8" s="43" t="e">
        <f ca="1"/>
        <v>#NAME?</v>
      </c>
    </row>
    <row r="9" spans="1:20">
      <c r="A9" s="605">
        <v>23</v>
      </c>
      <c r="B9" s="605">
        <v>17</v>
      </c>
      <c r="C9" s="605">
        <v>16</v>
      </c>
      <c r="D9" s="605">
        <v>10</v>
      </c>
      <c r="E9" s="605">
        <v>23</v>
      </c>
      <c r="G9" t="s">
        <v>9</v>
      </c>
      <c r="H9" t="e">
        <f ca="1">SQRT(J15)</f>
        <v>#NAME?</v>
      </c>
      <c r="P9" s="377" t="e">
        <f ca="1"/>
        <v>#NAME?</v>
      </c>
      <c r="Q9" s="378" t="e">
        <f ca="1"/>
        <v>#NAME?</v>
      </c>
      <c r="R9" s="378" t="e">
        <f ca="1"/>
        <v>#NAME?</v>
      </c>
      <c r="S9" s="378" t="e">
        <f ca="1"/>
        <v>#NAME?</v>
      </c>
      <c r="T9" s="379" t="e">
        <f ca="1"/>
        <v>#NAME?</v>
      </c>
    </row>
    <row r="10" spans="1:20">
      <c r="A10" s="605">
        <v>28</v>
      </c>
      <c r="B10" s="605">
        <v>22</v>
      </c>
      <c r="C10" s="605">
        <v>22</v>
      </c>
      <c r="D10" s="605">
        <v>15</v>
      </c>
      <c r="E10" s="605">
        <v>31</v>
      </c>
      <c r="G10" s="380" t="s">
        <v>42</v>
      </c>
      <c r="H10" s="380">
        <f>COUNT(E4:E21)</f>
        <v>18</v>
      </c>
    </row>
    <row r="11" spans="1:20">
      <c r="A11" s="605">
        <v>31</v>
      </c>
      <c r="B11" s="605">
        <v>16</v>
      </c>
      <c r="C11" s="605">
        <v>28</v>
      </c>
      <c r="D11" s="605">
        <v>24</v>
      </c>
      <c r="E11" s="605">
        <v>39</v>
      </c>
    </row>
    <row r="12" spans="1:20" ht="15.75" thickBot="1">
      <c r="A12" s="605">
        <v>38</v>
      </c>
      <c r="B12" s="605">
        <v>21</v>
      </c>
      <c r="C12" s="605">
        <v>34</v>
      </c>
      <c r="D12" s="605">
        <v>31</v>
      </c>
      <c r="E12" s="605">
        <v>47</v>
      </c>
      <c r="G12" t="s">
        <v>210</v>
      </c>
      <c r="K12" s="605" t="s">
        <v>16</v>
      </c>
      <c r="L12" s="605">
        <v>0.05</v>
      </c>
    </row>
    <row r="13" spans="1:20" ht="15.75" thickTop="1">
      <c r="A13" s="605">
        <v>39</v>
      </c>
      <c r="B13" s="605">
        <v>27</v>
      </c>
      <c r="C13" s="605">
        <v>27</v>
      </c>
      <c r="D13" s="605">
        <v>8</v>
      </c>
      <c r="E13" s="605">
        <v>51</v>
      </c>
      <c r="G13" s="398"/>
      <c r="H13" s="398" t="s">
        <v>26</v>
      </c>
      <c r="I13" s="398" t="s">
        <v>137</v>
      </c>
      <c r="J13" s="398" t="s">
        <v>156</v>
      </c>
      <c r="K13" s="398" t="s">
        <v>63</v>
      </c>
      <c r="L13" s="398" t="s">
        <v>30</v>
      </c>
      <c r="M13" s="398" t="s">
        <v>374</v>
      </c>
    </row>
    <row r="14" spans="1:20">
      <c r="A14" s="605">
        <v>42</v>
      </c>
      <c r="B14" s="605">
        <v>24</v>
      </c>
      <c r="C14" s="605">
        <v>31</v>
      </c>
      <c r="D14" s="605">
        <v>16</v>
      </c>
      <c r="E14" s="605">
        <v>47</v>
      </c>
      <c r="G14" t="s">
        <v>138</v>
      </c>
      <c r="H14">
        <f>COUNT(A4:D4)</f>
        <v>4</v>
      </c>
      <c r="I14" t="e">
        <f ca="1">DEVSQ(MMULT(DESIGN(A4:D21),H19:H23))</f>
        <v>#NAME?</v>
      </c>
      <c r="J14" t="e">
        <f ca="1">I14/H14</f>
        <v>#NAME?</v>
      </c>
      <c r="K14" t="e">
        <f ca="1">J14/J15</f>
        <v>#NAME?</v>
      </c>
      <c r="L14" t="e">
        <f ca="1">FDIST(K14,H14,H15)</f>
        <v>#NAME?</v>
      </c>
      <c r="M14" s="605" t="e">
        <f ca="1">IF(L14&lt;L12,"yes","no")</f>
        <v>#NAME?</v>
      </c>
    </row>
    <row r="15" spans="1:20">
      <c r="A15" s="605">
        <v>49</v>
      </c>
      <c r="B15" s="605">
        <v>32</v>
      </c>
      <c r="C15" s="605">
        <v>40</v>
      </c>
      <c r="D15" s="605">
        <v>25</v>
      </c>
      <c r="E15" s="605">
        <v>51</v>
      </c>
      <c r="G15" t="s">
        <v>211</v>
      </c>
      <c r="H15">
        <f>H16-H14</f>
        <v>13</v>
      </c>
      <c r="I15" t="e">
        <f ca="1">I16-I14</f>
        <v>#NAME?</v>
      </c>
      <c r="J15" t="e">
        <f ca="1">I15/H15</f>
        <v>#NAME?</v>
      </c>
    </row>
    <row r="16" spans="1:20">
      <c r="A16" s="605">
        <v>57</v>
      </c>
      <c r="B16" s="605">
        <v>29</v>
      </c>
      <c r="C16" s="605">
        <v>42</v>
      </c>
      <c r="D16" s="605">
        <v>21</v>
      </c>
      <c r="E16" s="605">
        <v>55</v>
      </c>
      <c r="G16" s="380" t="s">
        <v>1</v>
      </c>
      <c r="H16" s="380">
        <f>H10-1</f>
        <v>17</v>
      </c>
      <c r="I16" s="380">
        <f>DEVSQ(E4:E21)</f>
        <v>8047.1111111111104</v>
      </c>
      <c r="J16" s="380"/>
      <c r="K16" s="380"/>
      <c r="L16" s="380"/>
      <c r="M16" s="380"/>
    </row>
    <row r="17" spans="1:14" ht="15.75" thickBot="1">
      <c r="A17" s="605">
        <v>68</v>
      </c>
      <c r="B17" s="605">
        <v>36</v>
      </c>
      <c r="C17" s="605">
        <v>35</v>
      </c>
      <c r="D17" s="605">
        <v>9</v>
      </c>
      <c r="E17" s="605">
        <v>63</v>
      </c>
    </row>
    <row r="18" spans="1:14" ht="15.75" thickTop="1">
      <c r="A18" s="605">
        <v>71</v>
      </c>
      <c r="B18" s="605">
        <v>42</v>
      </c>
      <c r="C18" s="605">
        <v>39</v>
      </c>
      <c r="D18" s="605">
        <v>15</v>
      </c>
      <c r="E18" s="605">
        <v>67</v>
      </c>
      <c r="G18" s="398"/>
      <c r="H18" s="398" t="s">
        <v>600</v>
      </c>
      <c r="I18" s="398" t="s">
        <v>503</v>
      </c>
      <c r="J18" s="398" t="s">
        <v>27</v>
      </c>
      <c r="K18" s="398" t="s">
        <v>30</v>
      </c>
      <c r="L18" s="398" t="s">
        <v>13</v>
      </c>
      <c r="M18" s="398" t="s">
        <v>14</v>
      </c>
      <c r="N18" s="398" t="s">
        <v>750</v>
      </c>
    </row>
    <row r="19" spans="1:14">
      <c r="A19" s="605">
        <v>89</v>
      </c>
      <c r="B19" s="605">
        <v>51</v>
      </c>
      <c r="C19" s="605">
        <v>51</v>
      </c>
      <c r="D19" s="605">
        <v>23</v>
      </c>
      <c r="E19" s="605">
        <v>71</v>
      </c>
      <c r="G19" t="s">
        <v>212</v>
      </c>
      <c r="H19" t="e">
        <f t="array" aca="1" ref="H19:I23" ca="1">RegCoeff(A4:D21,E4:E21)</f>
        <v>#NAME?</v>
      </c>
      <c r="I19" t="e">
        <f ca="1"/>
        <v>#NAME?</v>
      </c>
      <c r="J19" t="e">
        <f ca="1">H19/I19</f>
        <v>#NAME?</v>
      </c>
      <c r="K19" t="e">
        <f ca="1">TDIST(ABS(J19),$H$15,2)</f>
        <v>#NAME?</v>
      </c>
      <c r="L19" t="e">
        <f ca="1">H19-TINV(L$12,$H$15)*I19</f>
        <v>#NAME?</v>
      </c>
      <c r="M19" t="e">
        <f ca="1">H19+TINV(L$12,$H$15)*I19</f>
        <v>#NAME?</v>
      </c>
    </row>
    <row r="20" spans="1:14">
      <c r="A20" s="605">
        <v>95</v>
      </c>
      <c r="B20" s="605">
        <v>53</v>
      </c>
      <c r="C20" s="605">
        <v>60</v>
      </c>
      <c r="D20" s="605">
        <v>29</v>
      </c>
      <c r="E20" s="605">
        <v>71</v>
      </c>
      <c r="G20" t="str">
        <f t="array" ref="G20:G23">TRANSPOSE(A3:D3)</f>
        <v>X1</v>
      </c>
      <c r="H20" t="e">
        <f ca="1"/>
        <v>#NAME?</v>
      </c>
      <c r="I20" t="e">
        <f ca="1"/>
        <v>#NAME?</v>
      </c>
      <c r="J20" t="e">
        <f ca="1">H20/I20</f>
        <v>#NAME?</v>
      </c>
      <c r="K20" t="e">
        <f ca="1">TDIST(ABS(J20),$H$15,2)</f>
        <v>#NAME?</v>
      </c>
      <c r="L20" t="e">
        <f ca="1">H20-TINV(L$12,$H$15)*I20</f>
        <v>#NAME?</v>
      </c>
      <c r="M20" t="e">
        <f ca="1">H20+TINV(L$12,$H$15)*I20</f>
        <v>#NAME?</v>
      </c>
      <c r="N20" t="e">
        <f ca="1">VIF(A4:D21,1)</f>
        <v>#NAME?</v>
      </c>
    </row>
    <row r="21" spans="1:14">
      <c r="A21" s="606">
        <v>97</v>
      </c>
      <c r="B21" s="606">
        <v>55</v>
      </c>
      <c r="C21" s="606">
        <v>68</v>
      </c>
      <c r="D21" s="606">
        <v>40</v>
      </c>
      <c r="E21" s="606">
        <v>75</v>
      </c>
      <c r="G21" t="str">
        <v>X2</v>
      </c>
      <c r="H21" t="e">
        <f ca="1"/>
        <v>#NAME?</v>
      </c>
      <c r="I21" t="e">
        <f ca="1"/>
        <v>#NAME?</v>
      </c>
      <c r="J21" t="e">
        <f ca="1">H21/I21</f>
        <v>#NAME?</v>
      </c>
      <c r="K21" t="e">
        <f ca="1">TDIST(ABS(J21),$H$15,2)</f>
        <v>#NAME?</v>
      </c>
      <c r="L21" t="e">
        <f ca="1">H21-TINV(L$12,$H$15)*I21</f>
        <v>#NAME?</v>
      </c>
      <c r="M21" t="e">
        <f ca="1">H21+TINV(L$12,$H$15)*I21</f>
        <v>#NAME?</v>
      </c>
      <c r="N21" t="e">
        <f ca="1">VIF(A4:D21,2)</f>
        <v>#NAME?</v>
      </c>
    </row>
    <row r="22" spans="1:14">
      <c r="G22" t="str">
        <v>X3</v>
      </c>
      <c r="H22" t="e">
        <f ca="1"/>
        <v>#NAME?</v>
      </c>
      <c r="I22" t="e">
        <f ca="1"/>
        <v>#NAME?</v>
      </c>
      <c r="J22" t="e">
        <f ca="1">H22/I22</f>
        <v>#NAME?</v>
      </c>
      <c r="K22" t="e">
        <f ca="1">TDIST(ABS(J22),$H$15,2)</f>
        <v>#NAME?</v>
      </c>
      <c r="L22" t="e">
        <f ca="1">H22-TINV(L$12,$H$15)*I22</f>
        <v>#NAME?</v>
      </c>
      <c r="M22" t="e">
        <f ca="1">H22+TINV(L$12,$H$15)*I22</f>
        <v>#NAME?</v>
      </c>
      <c r="N22" t="e">
        <f ca="1">VIF(A4:D21,3)</f>
        <v>#NAME?</v>
      </c>
    </row>
    <row r="23" spans="1:14">
      <c r="G23" s="380" t="str">
        <v>X4</v>
      </c>
      <c r="H23" s="380" t="e">
        <f ca="1"/>
        <v>#NAME?</v>
      </c>
      <c r="I23" s="380" t="e">
        <f ca="1"/>
        <v>#NAME?</v>
      </c>
      <c r="J23" s="380" t="e">
        <f ca="1">H23/I23</f>
        <v>#NAME?</v>
      </c>
      <c r="K23" s="380" t="e">
        <f ca="1">TDIST(ABS(J23),$H$15,2)</f>
        <v>#NAME?</v>
      </c>
      <c r="L23" s="380" t="e">
        <f ca="1">H23-TINV(L$12,$H$15)*I23</f>
        <v>#NAME?</v>
      </c>
      <c r="M23" s="380" t="e">
        <f ca="1">H23+TINV(L$12,$H$15)*I23</f>
        <v>#NAME?</v>
      </c>
      <c r="N23" s="380" t="e">
        <f ca="1">VIF(A4:D21,4)</f>
        <v>#NAME?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68"/>
  <dimension ref="A1:AG23"/>
  <sheetViews>
    <sheetView workbookViewId="0"/>
  </sheetViews>
  <sheetFormatPr defaultRowHeight="15"/>
  <cols>
    <col min="14" max="14" width="15.28515625" customWidth="1"/>
    <col min="26" max="26" width="9.140625" customWidth="1"/>
  </cols>
  <sheetData>
    <row r="1" spans="1:33">
      <c r="A1" s="603" t="s">
        <v>359</v>
      </c>
      <c r="B1" s="603" t="s">
        <v>360</v>
      </c>
      <c r="C1" s="603" t="s">
        <v>916</v>
      </c>
      <c r="D1" s="603" t="s">
        <v>917</v>
      </c>
      <c r="E1" s="603" t="s">
        <v>292</v>
      </c>
      <c r="G1" t="s">
        <v>914</v>
      </c>
      <c r="N1" t="s">
        <v>601</v>
      </c>
      <c r="Z1" t="s">
        <v>919</v>
      </c>
    </row>
    <row r="2" spans="1:33">
      <c r="A2" s="605">
        <v>3</v>
      </c>
      <c r="B2" s="605">
        <v>6</v>
      </c>
      <c r="C2" s="605">
        <v>2</v>
      </c>
      <c r="D2" s="605">
        <v>8</v>
      </c>
      <c r="E2" s="605">
        <v>3</v>
      </c>
    </row>
    <row r="3" spans="1:33" ht="15.75" thickBot="1">
      <c r="A3" s="605">
        <v>7</v>
      </c>
      <c r="B3" s="605">
        <f>INT(A3/2+4)</f>
        <v>7</v>
      </c>
      <c r="C3" s="605">
        <v>11</v>
      </c>
      <c r="D3" s="605">
        <v>14</v>
      </c>
      <c r="E3" s="605">
        <v>15</v>
      </c>
      <c r="G3" t="s">
        <v>920</v>
      </c>
      <c r="H3" s="556">
        <v>0.17</v>
      </c>
      <c r="N3" s="364" t="s">
        <v>606</v>
      </c>
      <c r="O3" s="364"/>
      <c r="Q3" s="364"/>
      <c r="R3" s="364"/>
      <c r="Z3" t="s">
        <v>920</v>
      </c>
      <c r="AA3">
        <v>0</v>
      </c>
      <c r="AB3">
        <v>1.7000000000000001E-3</v>
      </c>
      <c r="AC3">
        <f>AB3*10</f>
        <v>1.7000000000000001E-2</v>
      </c>
      <c r="AD3">
        <f>AC3*10</f>
        <v>0.17</v>
      </c>
      <c r="AE3">
        <f>AD3*10</f>
        <v>1.7000000000000002</v>
      </c>
      <c r="AF3">
        <f>AE3*10</f>
        <v>17</v>
      </c>
      <c r="AG3">
        <f>AF3*10</f>
        <v>170</v>
      </c>
    </row>
    <row r="4" spans="1:33" ht="16.5" thickTop="1" thickBot="1">
      <c r="A4" s="605">
        <v>11</v>
      </c>
      <c r="B4" s="605">
        <v>11</v>
      </c>
      <c r="C4" s="605">
        <v>23</v>
      </c>
      <c r="D4" s="605">
        <v>33</v>
      </c>
      <c r="E4" s="605">
        <v>19</v>
      </c>
      <c r="N4" t="s">
        <v>208</v>
      </c>
      <c r="O4" t="e">
        <f ca="1">SQRT(O5)</f>
        <v>#NAME?</v>
      </c>
      <c r="Q4" t="s">
        <v>498</v>
      </c>
      <c r="R4" t="e">
        <f ca="1">O8*LN(P13/O8)+2*O12</f>
        <v>#NAME?</v>
      </c>
      <c r="Z4" t="str">
        <f>N17</f>
        <v>X1</v>
      </c>
      <c r="AA4" s="544" t="e">
        <f t="array" aca="1" ref="AA4:AA7" ca="1">RidgeRegCoeff($A$2:$D$19,$E$2:$E$19,AA3)</f>
        <v>#NAME?</v>
      </c>
      <c r="AB4" s="545" t="e">
        <f t="array" aca="1" ref="AB4:AB7" ca="1">RidgeRegCoeff($A$2:$D$19,$E$2:$E$19,AB3)</f>
        <v>#NAME?</v>
      </c>
      <c r="AC4" s="545" t="e">
        <f t="array" aca="1" ref="AC4:AC7" ca="1">RidgeRegCoeff($A$2:$D$19,$E$2:$E$19,AC3)</f>
        <v>#NAME?</v>
      </c>
      <c r="AD4" s="545" t="e">
        <f t="array" aca="1" ref="AD4:AD7" ca="1">RidgeRegCoeff($A$2:$D$19,$E$2:$E$19,AD3)</f>
        <v>#NAME?</v>
      </c>
      <c r="AE4" s="545" t="e">
        <f t="array" aca="1" ref="AE4:AE7" ca="1">RidgeRegCoeff($A$2:$D$19,$E$2:$E$19,AE3)</f>
        <v>#NAME?</v>
      </c>
      <c r="AF4" s="545" t="e">
        <f t="array" aca="1" ref="AF4:AF7" ca="1">RidgeRegCoeff($A$2:$D$19,$E$2:$E$19,AF3)</f>
        <v>#NAME?</v>
      </c>
      <c r="AG4" s="546" t="e">
        <f t="array" aca="1" ref="AG4:AG7" ca="1">RidgeRegCoeff($A$2:$D$19,$E$2:$E$19,AG3)</f>
        <v>#NAME?</v>
      </c>
    </row>
    <row r="5" spans="1:33" ht="15.75" thickTop="1">
      <c r="A5" s="605">
        <v>15</v>
      </c>
      <c r="B5" s="605">
        <v>12</v>
      </c>
      <c r="C5" s="605">
        <v>26</v>
      </c>
      <c r="D5" s="605">
        <v>34</v>
      </c>
      <c r="E5" s="605">
        <v>27</v>
      </c>
      <c r="G5" s="609" t="str">
        <f>A1</f>
        <v>X1</v>
      </c>
      <c r="H5" s="609" t="str">
        <f>B1</f>
        <v>X2</v>
      </c>
      <c r="I5" s="609" t="str">
        <f>C1</f>
        <v>X3</v>
      </c>
      <c r="J5" s="609" t="str">
        <f>D1</f>
        <v>X4</v>
      </c>
      <c r="K5" s="609" t="str">
        <f>E1</f>
        <v>Y</v>
      </c>
      <c r="L5" s="605" t="s">
        <v>921</v>
      </c>
      <c r="N5" t="s">
        <v>201</v>
      </c>
      <c r="O5" t="e">
        <f ca="1">P12/P14</f>
        <v>#NAME?</v>
      </c>
      <c r="Q5" t="s">
        <v>499</v>
      </c>
      <c r="R5" t="e">
        <f ca="1">R4+2*(O12+1)*(O12+2)/(O8-O12-2)</f>
        <v>#NAME?</v>
      </c>
      <c r="Z5" t="str">
        <f>N18</f>
        <v>X2</v>
      </c>
      <c r="AA5" s="292" t="e">
        <f ca="1"/>
        <v>#NAME?</v>
      </c>
      <c r="AB5" s="5" t="e">
        <f ca="1"/>
        <v>#NAME?</v>
      </c>
      <c r="AC5" s="5" t="e">
        <f ca="1"/>
        <v>#NAME?</v>
      </c>
      <c r="AD5" s="5" t="e">
        <f ca="1"/>
        <v>#NAME?</v>
      </c>
      <c r="AE5" s="5" t="e">
        <f ca="1"/>
        <v>#NAME?</v>
      </c>
      <c r="AF5" s="5" t="e">
        <f ca="1"/>
        <v>#NAME?</v>
      </c>
      <c r="AG5" s="43" t="e">
        <f ca="1"/>
        <v>#NAME?</v>
      </c>
    </row>
    <row r="6" spans="1:33">
      <c r="A6" s="605">
        <v>21</v>
      </c>
      <c r="B6" s="605">
        <v>16</v>
      </c>
      <c r="C6" s="605">
        <v>12</v>
      </c>
      <c r="D6" s="605">
        <v>5</v>
      </c>
      <c r="E6" s="605">
        <v>23</v>
      </c>
      <c r="G6" t="e">
        <f t="array" aca="1" ref="G6:J23" ca="1">STDCOL(A2:D19)</f>
        <v>#NAME?</v>
      </c>
      <c r="H6" t="e">
        <f ca="1"/>
        <v>#NAME?</v>
      </c>
      <c r="I6" t="e">
        <f ca="1"/>
        <v>#NAME?</v>
      </c>
      <c r="J6" t="e">
        <f ca="1"/>
        <v>#NAME?</v>
      </c>
      <c r="K6" t="e">
        <f t="array" aca="1" ref="K6:K23" ca="1">STDCOL(E2:E19)</f>
        <v>#NAME?</v>
      </c>
      <c r="L6" s="605" t="e">
        <f t="array" aca="1" ref="L6:L23" ca="1">SortedPart(K6:K23,AA11)</f>
        <v>#NAME?</v>
      </c>
      <c r="N6" t="s">
        <v>209</v>
      </c>
      <c r="O6" t="e">
        <f ca="1">1-(1-O5)*O8/(O8-O12)</f>
        <v>#NAME?</v>
      </c>
      <c r="Q6" s="380" t="s">
        <v>749</v>
      </c>
      <c r="R6" s="380" t="e">
        <f ca="1">O8*LN(P13/O8)+O12*LN(O8)</f>
        <v>#NAME?</v>
      </c>
      <c r="Z6" t="str">
        <f>N19</f>
        <v>X3</v>
      </c>
      <c r="AA6" s="292" t="e">
        <f ca="1"/>
        <v>#NAME?</v>
      </c>
      <c r="AB6" s="5" t="e">
        <f ca="1"/>
        <v>#NAME?</v>
      </c>
      <c r="AC6" s="5" t="e">
        <f ca="1"/>
        <v>#NAME?</v>
      </c>
      <c r="AD6" s="5" t="e">
        <f ca="1"/>
        <v>#NAME?</v>
      </c>
      <c r="AE6" s="5" t="e">
        <f ca="1"/>
        <v>#NAME?</v>
      </c>
      <c r="AF6" s="5" t="e">
        <f ca="1"/>
        <v>#NAME?</v>
      </c>
      <c r="AG6" s="43" t="e">
        <f ca="1"/>
        <v>#NAME?</v>
      </c>
    </row>
    <row r="7" spans="1:33">
      <c r="A7" s="605">
        <v>23</v>
      </c>
      <c r="B7" s="605">
        <v>17</v>
      </c>
      <c r="C7" s="605">
        <v>16</v>
      </c>
      <c r="D7" s="605">
        <v>10</v>
      </c>
      <c r="E7" s="605">
        <v>23</v>
      </c>
      <c r="G7" t="e">
        <f ca="1"/>
        <v>#NAME?</v>
      </c>
      <c r="H7" t="e">
        <f ca="1"/>
        <v>#NAME?</v>
      </c>
      <c r="I7" t="e">
        <f ca="1"/>
        <v>#NAME?</v>
      </c>
      <c r="J7" t="e">
        <f ca="1"/>
        <v>#NAME?</v>
      </c>
      <c r="K7" t="e">
        <f ca="1"/>
        <v>#NAME?</v>
      </c>
      <c r="L7" s="605" t="e">
        <f ca="1"/>
        <v>#NAME?</v>
      </c>
      <c r="N7" t="s">
        <v>9</v>
      </c>
      <c r="O7" t="e">
        <f ca="1">SQRT(Q13)</f>
        <v>#NAME?</v>
      </c>
      <c r="Z7" t="str">
        <f>N20</f>
        <v>X4</v>
      </c>
      <c r="AA7" s="377" t="e">
        <f ca="1"/>
        <v>#NAME?</v>
      </c>
      <c r="AB7" s="378" t="e">
        <f ca="1"/>
        <v>#NAME?</v>
      </c>
      <c r="AC7" s="378" t="e">
        <f ca="1"/>
        <v>#NAME?</v>
      </c>
      <c r="AD7" s="378" t="e">
        <f ca="1"/>
        <v>#NAME?</v>
      </c>
      <c r="AE7" s="378" t="e">
        <f ca="1"/>
        <v>#NAME?</v>
      </c>
      <c r="AF7" s="378" t="e">
        <f ca="1"/>
        <v>#NAME?</v>
      </c>
      <c r="AG7" s="379" t="e">
        <f ca="1"/>
        <v>#NAME?</v>
      </c>
    </row>
    <row r="8" spans="1:33">
      <c r="A8" s="605">
        <v>28</v>
      </c>
      <c r="B8" s="605">
        <v>22</v>
      </c>
      <c r="C8" s="605">
        <v>22</v>
      </c>
      <c r="D8" s="605">
        <v>15</v>
      </c>
      <c r="E8" s="605">
        <v>31</v>
      </c>
      <c r="G8" t="e">
        <f ca="1"/>
        <v>#NAME?</v>
      </c>
      <c r="H8" t="e">
        <f ca="1"/>
        <v>#NAME?</v>
      </c>
      <c r="I8" t="e">
        <f ca="1"/>
        <v>#NAME?</v>
      </c>
      <c r="J8" t="e">
        <f ca="1"/>
        <v>#NAME?</v>
      </c>
      <c r="K8" t="e">
        <f ca="1"/>
        <v>#NAME?</v>
      </c>
      <c r="L8" s="605" t="e">
        <f ca="1"/>
        <v>#NAME?</v>
      </c>
      <c r="N8" s="380" t="s">
        <v>42</v>
      </c>
      <c r="O8" s="380">
        <f ca="1">COUNT(K6:K23)</f>
        <v>0</v>
      </c>
    </row>
    <row r="9" spans="1:33">
      <c r="A9" s="605">
        <v>31</v>
      </c>
      <c r="B9" s="605">
        <v>16</v>
      </c>
      <c r="C9" s="605">
        <v>28</v>
      </c>
      <c r="D9" s="605">
        <v>24</v>
      </c>
      <c r="E9" s="605">
        <v>39</v>
      </c>
      <c r="G9" t="e">
        <f ca="1"/>
        <v>#NAME?</v>
      </c>
      <c r="H9" t="e">
        <f ca="1"/>
        <v>#NAME?</v>
      </c>
      <c r="I9" t="e">
        <f ca="1"/>
        <v>#NAME?</v>
      </c>
      <c r="J9" t="e">
        <f ca="1"/>
        <v>#NAME?</v>
      </c>
      <c r="K9" t="e">
        <f ca="1"/>
        <v>#NAME?</v>
      </c>
      <c r="L9" s="605" t="e">
        <f ca="1"/>
        <v>#NAME?</v>
      </c>
      <c r="Z9" t="s">
        <v>922</v>
      </c>
    </row>
    <row r="10" spans="1:33" ht="15.75" thickBot="1">
      <c r="A10" s="605">
        <v>38</v>
      </c>
      <c r="B10" s="605">
        <v>21</v>
      </c>
      <c r="C10" s="605">
        <v>34</v>
      </c>
      <c r="D10" s="605">
        <v>31</v>
      </c>
      <c r="E10" s="605">
        <v>47</v>
      </c>
      <c r="G10" t="e">
        <f ca="1"/>
        <v>#NAME?</v>
      </c>
      <c r="H10" t="e">
        <f ca="1"/>
        <v>#NAME?</v>
      </c>
      <c r="I10" t="e">
        <f ca="1"/>
        <v>#NAME?</v>
      </c>
      <c r="J10" t="e">
        <f ca="1"/>
        <v>#NAME?</v>
      </c>
      <c r="K10" t="e">
        <f ca="1"/>
        <v>#NAME?</v>
      </c>
      <c r="L10" s="605" t="e">
        <f ca="1"/>
        <v>#NAME?</v>
      </c>
      <c r="N10" t="s">
        <v>210</v>
      </c>
      <c r="R10" s="605" t="s">
        <v>16</v>
      </c>
      <c r="S10" s="605">
        <v>0.05</v>
      </c>
    </row>
    <row r="11" spans="1:33" ht="15.75" thickTop="1">
      <c r="A11" s="605">
        <v>39</v>
      </c>
      <c r="B11" s="605">
        <v>27</v>
      </c>
      <c r="C11" s="605">
        <v>27</v>
      </c>
      <c r="D11" s="605">
        <v>8</v>
      </c>
      <c r="E11" s="605">
        <v>51</v>
      </c>
      <c r="G11" t="e">
        <f ca="1"/>
        <v>#NAME?</v>
      </c>
      <c r="H11" t="e">
        <f ca="1"/>
        <v>#NAME?</v>
      </c>
      <c r="I11" t="e">
        <f ca="1"/>
        <v>#NAME?</v>
      </c>
      <c r="J11" t="e">
        <f ca="1"/>
        <v>#NAME?</v>
      </c>
      <c r="K11" t="e">
        <f ca="1"/>
        <v>#NAME?</v>
      </c>
      <c r="L11" s="605" t="e">
        <f ca="1"/>
        <v>#NAME?</v>
      </c>
      <c r="N11" s="398"/>
      <c r="O11" s="398" t="s">
        <v>26</v>
      </c>
      <c r="P11" s="398" t="s">
        <v>137</v>
      </c>
      <c r="Q11" s="398" t="s">
        <v>156</v>
      </c>
      <c r="R11" s="398" t="s">
        <v>63</v>
      </c>
      <c r="S11" s="398" t="s">
        <v>30</v>
      </c>
      <c r="T11" s="398" t="s">
        <v>374</v>
      </c>
      <c r="W11" s="399" t="s">
        <v>483</v>
      </c>
      <c r="X11" s="399" t="e">
        <f t="array" aca="1" ref="X11" ca="1">RidgeMSE(A2:D19,E2:E19,H3)</f>
        <v>#NAME?</v>
      </c>
      <c r="Z11" t="s">
        <v>923</v>
      </c>
      <c r="AA11" s="550">
        <v>5</v>
      </c>
    </row>
    <row r="12" spans="1:33">
      <c r="A12" s="605">
        <v>42</v>
      </c>
      <c r="B12" s="605">
        <v>24</v>
      </c>
      <c r="C12" s="605">
        <v>31</v>
      </c>
      <c r="D12" s="605">
        <v>16</v>
      </c>
      <c r="E12" s="605">
        <v>47</v>
      </c>
      <c r="G12" t="e">
        <f ca="1"/>
        <v>#NAME?</v>
      </c>
      <c r="H12" t="e">
        <f ca="1"/>
        <v>#NAME?</v>
      </c>
      <c r="I12" t="e">
        <f ca="1"/>
        <v>#NAME?</v>
      </c>
      <c r="J12" t="e">
        <f ca="1"/>
        <v>#NAME?</v>
      </c>
      <c r="K12" t="e">
        <f ca="1"/>
        <v>#NAME?</v>
      </c>
      <c r="L12" s="605" t="e">
        <f ca="1"/>
        <v>#NAME?</v>
      </c>
      <c r="N12" t="s">
        <v>138</v>
      </c>
      <c r="O12">
        <f ca="1">COUNT(G6:J6)</f>
        <v>0</v>
      </c>
      <c r="P12" t="e">
        <f ca="1">SUMSQ(MMULT(G6:J23,O17:O20))+H3*SUMSQ(O17:O20)</f>
        <v>#NAME?</v>
      </c>
      <c r="Q12" t="e">
        <f ca="1">P12/O12</f>
        <v>#NAME?</v>
      </c>
      <c r="R12" t="e">
        <f ca="1">Q12/Q13</f>
        <v>#NAME?</v>
      </c>
      <c r="S12" t="e">
        <f ca="1">FDIST(R12,O12,O13)</f>
        <v>#NAME?</v>
      </c>
      <c r="T12" s="605" t="e">
        <f ca="1">IF(S12&lt;S10,"yes","no")</f>
        <v>#NAME?</v>
      </c>
      <c r="W12" t="s">
        <v>928</v>
      </c>
      <c r="X12">
        <v>1</v>
      </c>
      <c r="Z12" t="s">
        <v>920</v>
      </c>
      <c r="AA12" s="337">
        <v>0.10639620041801884</v>
      </c>
    </row>
    <row r="13" spans="1:33">
      <c r="A13" s="605">
        <v>49</v>
      </c>
      <c r="B13" s="605">
        <v>32</v>
      </c>
      <c r="C13" s="605">
        <v>40</v>
      </c>
      <c r="D13" s="605">
        <v>25</v>
      </c>
      <c r="E13" s="605">
        <v>51</v>
      </c>
      <c r="G13" t="e">
        <f ca="1"/>
        <v>#NAME?</v>
      </c>
      <c r="H13" t="e">
        <f ca="1"/>
        <v>#NAME?</v>
      </c>
      <c r="I13" t="e">
        <f ca="1"/>
        <v>#NAME?</v>
      </c>
      <c r="J13" t="e">
        <f ca="1"/>
        <v>#NAME?</v>
      </c>
      <c r="K13" t="e">
        <f ca="1"/>
        <v>#NAME?</v>
      </c>
      <c r="L13" s="605" t="e">
        <f ca="1"/>
        <v>#NAME?</v>
      </c>
      <c r="N13" t="s">
        <v>211</v>
      </c>
      <c r="O13">
        <f ca="1">O14-O12</f>
        <v>0</v>
      </c>
      <c r="P13" t="e">
        <f ca="1">P14-P12</f>
        <v>#NAME?</v>
      </c>
      <c r="Q13" t="e">
        <f ca="1">P13/O13</f>
        <v>#NAME?</v>
      </c>
      <c r="W13" s="572" t="s">
        <v>920</v>
      </c>
      <c r="X13" s="572" t="e">
        <f t="array" aca="1" ref="X13" ca="1">RidgeLambda(A2:D19,X12)</f>
        <v>#NAME?</v>
      </c>
      <c r="Z13" t="s">
        <v>924</v>
      </c>
      <c r="AA13" s="375" t="e">
        <f ca="1">RidgeCVError(G6:J23,K6:K23,AA12,L6:L23)</f>
        <v>#NAME?</v>
      </c>
    </row>
    <row r="14" spans="1:33">
      <c r="A14" s="605">
        <v>57</v>
      </c>
      <c r="B14" s="605">
        <v>29</v>
      </c>
      <c r="C14" s="605">
        <v>42</v>
      </c>
      <c r="D14" s="605">
        <v>21</v>
      </c>
      <c r="E14" s="605">
        <v>55</v>
      </c>
      <c r="G14" t="e">
        <f ca="1"/>
        <v>#NAME?</v>
      </c>
      <c r="H14" t="e">
        <f ca="1"/>
        <v>#NAME?</v>
      </c>
      <c r="I14" t="e">
        <f ca="1"/>
        <v>#NAME?</v>
      </c>
      <c r="J14" t="e">
        <f ca="1"/>
        <v>#NAME?</v>
      </c>
      <c r="K14" t="e">
        <f ca="1"/>
        <v>#NAME?</v>
      </c>
      <c r="L14" s="605" t="e">
        <f ca="1"/>
        <v>#NAME?</v>
      </c>
      <c r="N14" s="380" t="s">
        <v>1</v>
      </c>
      <c r="O14" s="380">
        <f ca="1">O8</f>
        <v>0</v>
      </c>
      <c r="P14" s="380" t="e">
        <f ca="1">SUMSQ(K6:K23)</f>
        <v>#NAME?</v>
      </c>
      <c r="Q14" s="380"/>
      <c r="R14" s="380"/>
      <c r="S14" s="380"/>
      <c r="T14" s="380"/>
    </row>
    <row r="15" spans="1:33" ht="15.75" thickBot="1">
      <c r="A15" s="605">
        <v>68</v>
      </c>
      <c r="B15" s="605">
        <v>36</v>
      </c>
      <c r="C15" s="605">
        <v>35</v>
      </c>
      <c r="D15" s="605">
        <v>9</v>
      </c>
      <c r="E15" s="605">
        <v>63</v>
      </c>
      <c r="G15" t="e">
        <f ca="1"/>
        <v>#NAME?</v>
      </c>
      <c r="H15" t="e">
        <f ca="1"/>
        <v>#NAME?</v>
      </c>
      <c r="I15" t="e">
        <f ca="1"/>
        <v>#NAME?</v>
      </c>
      <c r="J15" t="e">
        <f ca="1"/>
        <v>#NAME?</v>
      </c>
      <c r="K15" t="e">
        <f ca="1"/>
        <v>#NAME?</v>
      </c>
      <c r="L15" s="605" t="e">
        <f ca="1"/>
        <v>#NAME?</v>
      </c>
      <c r="W15" s="610" t="s">
        <v>925</v>
      </c>
      <c r="X15" s="610" t="s">
        <v>503</v>
      </c>
    </row>
    <row r="16" spans="1:33" ht="15.75" thickTop="1">
      <c r="A16" s="605">
        <v>71</v>
      </c>
      <c r="B16" s="605">
        <v>42</v>
      </c>
      <c r="C16" s="605">
        <v>39</v>
      </c>
      <c r="D16" s="605">
        <v>15</v>
      </c>
      <c r="E16" s="605">
        <v>67</v>
      </c>
      <c r="G16" t="e">
        <f ca="1"/>
        <v>#NAME?</v>
      </c>
      <c r="H16" t="e">
        <f ca="1"/>
        <v>#NAME?</v>
      </c>
      <c r="I16" t="e">
        <f ca="1"/>
        <v>#NAME?</v>
      </c>
      <c r="J16" t="e">
        <f ca="1"/>
        <v>#NAME?</v>
      </c>
      <c r="K16" t="e">
        <f ca="1"/>
        <v>#NAME?</v>
      </c>
      <c r="L16" s="605" t="e">
        <f ca="1"/>
        <v>#NAME?</v>
      </c>
      <c r="N16" s="398"/>
      <c r="O16" s="398" t="s">
        <v>600</v>
      </c>
      <c r="P16" s="398" t="s">
        <v>503</v>
      </c>
      <c r="Q16" s="398" t="s">
        <v>27</v>
      </c>
      <c r="R16" s="398" t="s">
        <v>30</v>
      </c>
      <c r="S16" s="398" t="s">
        <v>13</v>
      </c>
      <c r="T16" s="398" t="s">
        <v>14</v>
      </c>
      <c r="U16" s="398" t="s">
        <v>750</v>
      </c>
      <c r="W16" s="549" t="e">
        <f t="array" aca="1" ref="W16:X20" ca="1">UnStdRegCoeff(A2:D19,E2:E19,O17:P20)</f>
        <v>#NAME?</v>
      </c>
      <c r="X16" s="549" t="e">
        <f ca="1"/>
        <v>#NAME?</v>
      </c>
    </row>
    <row r="17" spans="1:24">
      <c r="A17" s="605">
        <v>89</v>
      </c>
      <c r="B17" s="605">
        <v>51</v>
      </c>
      <c r="C17" s="605">
        <v>51</v>
      </c>
      <c r="D17" s="605">
        <v>23</v>
      </c>
      <c r="E17" s="605">
        <v>71</v>
      </c>
      <c r="G17" t="e">
        <f ca="1"/>
        <v>#NAME?</v>
      </c>
      <c r="H17" t="e">
        <f ca="1"/>
        <v>#NAME?</v>
      </c>
      <c r="I17" t="e">
        <f ca="1"/>
        <v>#NAME?</v>
      </c>
      <c r="J17" t="e">
        <f ca="1"/>
        <v>#NAME?</v>
      </c>
      <c r="K17" t="e">
        <f ca="1"/>
        <v>#NAME?</v>
      </c>
      <c r="L17" s="605" t="e">
        <f ca="1"/>
        <v>#NAME?</v>
      </c>
      <c r="N17" t="str">
        <f t="array" ref="N17:N20">TRANSPOSE(G5:J5)</f>
        <v>X1</v>
      </c>
      <c r="O17" t="e">
        <f t="array" aca="1" ref="O17:P20" ca="1">RidgeRegCoeff(A2:D19,E2:E19,H3)</f>
        <v>#NAME?</v>
      </c>
      <c r="P17" t="e">
        <f ca="1"/>
        <v>#NAME?</v>
      </c>
      <c r="Q17" t="e">
        <f ca="1">O17/P17</f>
        <v>#NAME?</v>
      </c>
      <c r="R17" t="e">
        <f ca="1">TDIST(ABS(Q17),$O$13,2)</f>
        <v>#NAME?</v>
      </c>
      <c r="S17" t="e">
        <f ca="1">O17-TINV(S$10,$O$13)*P17</f>
        <v>#NAME?</v>
      </c>
      <c r="T17" t="e">
        <f ca="1">O17+TINV(S$10,$O$13)*P17</f>
        <v>#NAME?</v>
      </c>
      <c r="U17" t="e">
        <f t="array" aca="1" ref="U17:U20" ca="1">RidgeVIF(A2:D19,H3)</f>
        <v>#NAME?</v>
      </c>
      <c r="W17" s="5" t="e">
        <f ca="1"/>
        <v>#NAME?</v>
      </c>
      <c r="X17" s="5" t="e">
        <f ca="1"/>
        <v>#NAME?</v>
      </c>
    </row>
    <row r="18" spans="1:24">
      <c r="A18" s="605">
        <v>95</v>
      </c>
      <c r="B18" s="605">
        <v>53</v>
      </c>
      <c r="C18" s="605">
        <v>60</v>
      </c>
      <c r="D18" s="605">
        <v>29</v>
      </c>
      <c r="E18" s="605">
        <v>71</v>
      </c>
      <c r="G18" t="e">
        <f ca="1"/>
        <v>#NAME?</v>
      </c>
      <c r="H18" t="e">
        <f ca="1"/>
        <v>#NAME?</v>
      </c>
      <c r="I18" t="e">
        <f ca="1"/>
        <v>#NAME?</v>
      </c>
      <c r="J18" t="e">
        <f ca="1"/>
        <v>#NAME?</v>
      </c>
      <c r="K18" t="e">
        <f ca="1"/>
        <v>#NAME?</v>
      </c>
      <c r="L18" s="605" t="e">
        <f ca="1"/>
        <v>#NAME?</v>
      </c>
      <c r="N18" t="str">
        <v>X2</v>
      </c>
      <c r="O18" t="e">
        <f ca="1"/>
        <v>#NAME?</v>
      </c>
      <c r="P18" t="e">
        <f ca="1"/>
        <v>#NAME?</v>
      </c>
      <c r="Q18" t="e">
        <f ca="1">O18/P18</f>
        <v>#NAME?</v>
      </c>
      <c r="R18" t="e">
        <f ca="1">TDIST(ABS(Q18),$O$13,2)</f>
        <v>#NAME?</v>
      </c>
      <c r="S18" t="e">
        <f ca="1">O18-TINV(S$10,$O$13)*P18</f>
        <v>#NAME?</v>
      </c>
      <c r="T18" t="e">
        <f ca="1">O18+TINV(S$10,$O$13)*P18</f>
        <v>#NAME?</v>
      </c>
      <c r="U18" t="e">
        <f ca="1"/>
        <v>#NAME?</v>
      </c>
      <c r="W18" s="5" t="e">
        <f ca="1"/>
        <v>#NAME?</v>
      </c>
      <c r="X18" s="5" t="e">
        <f ca="1"/>
        <v>#NAME?</v>
      </c>
    </row>
    <row r="19" spans="1:24">
      <c r="A19" s="606">
        <v>97</v>
      </c>
      <c r="B19" s="606">
        <v>55</v>
      </c>
      <c r="C19" s="606">
        <v>68</v>
      </c>
      <c r="D19" s="606">
        <v>40</v>
      </c>
      <c r="E19" s="606">
        <v>75</v>
      </c>
      <c r="G19" t="e">
        <f ca="1"/>
        <v>#NAME?</v>
      </c>
      <c r="H19" t="e">
        <f ca="1"/>
        <v>#NAME?</v>
      </c>
      <c r="I19" t="e">
        <f ca="1"/>
        <v>#NAME?</v>
      </c>
      <c r="J19" t="e">
        <f ca="1"/>
        <v>#NAME?</v>
      </c>
      <c r="K19" t="e">
        <f ca="1"/>
        <v>#NAME?</v>
      </c>
      <c r="L19" s="605" t="e">
        <f ca="1"/>
        <v>#NAME?</v>
      </c>
      <c r="N19" t="str">
        <v>X3</v>
      </c>
      <c r="O19" t="e">
        <f ca="1"/>
        <v>#NAME?</v>
      </c>
      <c r="P19" t="e">
        <f ca="1"/>
        <v>#NAME?</v>
      </c>
      <c r="Q19" t="e">
        <f ca="1">O19/P19</f>
        <v>#NAME?</v>
      </c>
      <c r="R19" t="e">
        <f ca="1">TDIST(ABS(Q19),$O$13,2)</f>
        <v>#NAME?</v>
      </c>
      <c r="S19" t="e">
        <f ca="1">O19-TINV(S$10,$O$13)*P19</f>
        <v>#NAME?</v>
      </c>
      <c r="T19" t="e">
        <f ca="1">O19+TINV(S$10,$O$13)*P19</f>
        <v>#NAME?</v>
      </c>
      <c r="U19" t="e">
        <f ca="1"/>
        <v>#NAME?</v>
      </c>
      <c r="W19" s="5" t="e">
        <f ca="1"/>
        <v>#NAME?</v>
      </c>
      <c r="X19" s="5" t="e">
        <f ca="1"/>
        <v>#NAME?</v>
      </c>
    </row>
    <row r="20" spans="1:24">
      <c r="G20" t="e">
        <f ca="1"/>
        <v>#NAME?</v>
      </c>
      <c r="H20" t="e">
        <f ca="1"/>
        <v>#NAME?</v>
      </c>
      <c r="I20" t="e">
        <f ca="1"/>
        <v>#NAME?</v>
      </c>
      <c r="J20" t="e">
        <f ca="1"/>
        <v>#NAME?</v>
      </c>
      <c r="K20" t="e">
        <f ca="1"/>
        <v>#NAME?</v>
      </c>
      <c r="L20" s="605" t="e">
        <f ca="1"/>
        <v>#NAME?</v>
      </c>
      <c r="N20" s="380" t="str">
        <v>X4</v>
      </c>
      <c r="O20" s="380" t="e">
        <f ca="1"/>
        <v>#NAME?</v>
      </c>
      <c r="P20" s="380" t="e">
        <f ca="1"/>
        <v>#NAME?</v>
      </c>
      <c r="Q20" s="380" t="e">
        <f ca="1">O20/P20</f>
        <v>#NAME?</v>
      </c>
      <c r="R20" s="380" t="e">
        <f ca="1">TDIST(ABS(Q20),$O$13,2)</f>
        <v>#NAME?</v>
      </c>
      <c r="S20" s="380" t="e">
        <f ca="1">O20-TINV(S$10,$O$13)*P20</f>
        <v>#NAME?</v>
      </c>
      <c r="T20" s="380" t="e">
        <f ca="1">O20+TINV(S$10,$O$13)*P20</f>
        <v>#NAME?</v>
      </c>
      <c r="U20" s="380" t="e">
        <f ca="1"/>
        <v>#NAME?</v>
      </c>
      <c r="W20" s="380" t="e">
        <f ca="1"/>
        <v>#NAME?</v>
      </c>
      <c r="X20" s="380" t="e">
        <f ca="1"/>
        <v>#NAME?</v>
      </c>
    </row>
    <row r="21" spans="1:24">
      <c r="G21" t="e">
        <f ca="1"/>
        <v>#NAME?</v>
      </c>
      <c r="H21" t="e">
        <f ca="1"/>
        <v>#NAME?</v>
      </c>
      <c r="I21" t="e">
        <f ca="1"/>
        <v>#NAME?</v>
      </c>
      <c r="J21" t="e">
        <f ca="1"/>
        <v>#NAME?</v>
      </c>
      <c r="K21" t="e">
        <f ca="1"/>
        <v>#NAME?</v>
      </c>
      <c r="L21" s="605" t="e">
        <f ca="1"/>
        <v>#NAME?</v>
      </c>
    </row>
    <row r="22" spans="1:24">
      <c r="G22" t="e">
        <f ca="1"/>
        <v>#NAME?</v>
      </c>
      <c r="H22" t="e">
        <f ca="1"/>
        <v>#NAME?</v>
      </c>
      <c r="I22" t="e">
        <f ca="1"/>
        <v>#NAME?</v>
      </c>
      <c r="J22" t="e">
        <f ca="1"/>
        <v>#NAME?</v>
      </c>
      <c r="K22" t="e">
        <f ca="1"/>
        <v>#NAME?</v>
      </c>
      <c r="L22" s="605" t="e">
        <f ca="1"/>
        <v>#NAME?</v>
      </c>
      <c r="N22" t="s">
        <v>201</v>
      </c>
      <c r="O22" s="303" t="e">
        <f ca="1">RidgeRSQ(A2:D19,O17:O20,H3)</f>
        <v>#NAME?</v>
      </c>
    </row>
    <row r="23" spans="1:24">
      <c r="G23" t="e">
        <f ca="1"/>
        <v>#NAME?</v>
      </c>
      <c r="H23" t="e">
        <f ca="1"/>
        <v>#NAME?</v>
      </c>
      <c r="I23" t="e">
        <f ca="1"/>
        <v>#NAME?</v>
      </c>
      <c r="J23" t="e">
        <f ca="1"/>
        <v>#NAME?</v>
      </c>
      <c r="K23" t="e">
        <f ca="1"/>
        <v>#NAME?</v>
      </c>
      <c r="L23" s="605" t="e">
        <f ca="1"/>
        <v>#NAME?</v>
      </c>
    </row>
  </sheetData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63"/>
  <dimension ref="A1:O25"/>
  <sheetViews>
    <sheetView workbookViewId="0">
      <selection activeCell="P10" sqref="P10"/>
    </sheetView>
  </sheetViews>
  <sheetFormatPr defaultRowHeight="15"/>
  <sheetData>
    <row r="1" spans="1:15">
      <c r="A1" s="607" t="s">
        <v>359</v>
      </c>
      <c r="B1" s="607" t="s">
        <v>360</v>
      </c>
      <c r="C1" s="607" t="s">
        <v>916</v>
      </c>
      <c r="D1" s="607" t="s">
        <v>917</v>
      </c>
      <c r="E1" s="607" t="s">
        <v>292</v>
      </c>
      <c r="G1" s="572"/>
      <c r="H1" s="610" t="s">
        <v>600</v>
      </c>
      <c r="J1" s="584" t="s">
        <v>638</v>
      </c>
      <c r="K1" s="584" t="s">
        <v>159</v>
      </c>
      <c r="M1" s="584" t="s">
        <v>638</v>
      </c>
    </row>
    <row r="2" spans="1:15">
      <c r="A2" s="608">
        <v>3</v>
      </c>
      <c r="B2" s="608">
        <v>6</v>
      </c>
      <c r="C2" s="608">
        <v>2</v>
      </c>
      <c r="D2" s="608">
        <v>8</v>
      </c>
      <c r="E2" s="608">
        <v>3</v>
      </c>
      <c r="G2" t="s">
        <v>212</v>
      </c>
      <c r="H2" s="5">
        <v>11.420708687559802</v>
      </c>
      <c r="J2">
        <f t="array" ref="J2:J19">H2+MMULT(A2:D19,H3:H6)</f>
        <v>13.486341782130637</v>
      </c>
      <c r="K2">
        <f>E2-J2</f>
        <v>-10.486341782130637</v>
      </c>
      <c r="M2" t="e">
        <f t="array" aca="1" ref="M2:M19" ca="1">RidgePred(A2:D19,A2:D19,E2:E19,H9)</f>
        <v>#NAME?</v>
      </c>
      <c r="O2" s="399" t="e">
        <f t="array" aca="1" ref="O2:O6" ca="1">RidgeCoeff(A2:D19,E2:E19,H9)</f>
        <v>#NAME?</v>
      </c>
    </row>
    <row r="3" spans="1:15">
      <c r="A3" s="608">
        <v>7</v>
      </c>
      <c r="B3" s="608">
        <f>INT(A3/2+4)</f>
        <v>7</v>
      </c>
      <c r="C3" s="608">
        <v>11</v>
      </c>
      <c r="D3" s="608">
        <v>14</v>
      </c>
      <c r="E3" s="608">
        <v>15</v>
      </c>
      <c r="G3" t="str">
        <f t="array" ref="G3:G6">TRANSPOSE(A1:D1)</f>
        <v>X1</v>
      </c>
      <c r="H3" s="5">
        <v>0.26468391772825078</v>
      </c>
      <c r="J3">
        <v>18.205725979494876</v>
      </c>
      <c r="K3">
        <f t="shared" ref="K3:K19" si="0">E3-J3</f>
        <v>-3.2057259794948756</v>
      </c>
      <c r="M3" t="e">
        <f ca="1"/>
        <v>#NAME?</v>
      </c>
      <c r="O3" s="5" t="e">
        <f ca="1"/>
        <v>#NAME?</v>
      </c>
    </row>
    <row r="4" spans="1:15">
      <c r="A4" s="608">
        <v>11</v>
      </c>
      <c r="B4" s="608">
        <v>11</v>
      </c>
      <c r="C4" s="608">
        <v>23</v>
      </c>
      <c r="D4" s="608">
        <v>33</v>
      </c>
      <c r="E4" s="608">
        <v>19</v>
      </c>
      <c r="G4" t="str">
        <v>X2</v>
      </c>
      <c r="H4" s="5">
        <v>0.31548201923747393</v>
      </c>
      <c r="J4">
        <v>22.734887907167121</v>
      </c>
      <c r="K4">
        <f t="shared" si="0"/>
        <v>-3.7348879071671206</v>
      </c>
      <c r="M4" t="e">
        <f ca="1"/>
        <v>#NAME?</v>
      </c>
      <c r="O4" s="5" t="e">
        <f ca="1"/>
        <v>#NAME?</v>
      </c>
    </row>
    <row r="5" spans="1:15">
      <c r="A5" s="608">
        <v>15</v>
      </c>
      <c r="B5" s="608">
        <v>12</v>
      </c>
      <c r="C5" s="608">
        <v>26</v>
      </c>
      <c r="D5" s="608">
        <v>34</v>
      </c>
      <c r="E5" s="608">
        <v>27</v>
      </c>
      <c r="G5" t="str">
        <v>X3</v>
      </c>
      <c r="H5" s="5">
        <v>0.50815327836571089</v>
      </c>
      <c r="J5">
        <v>25.428863266068454</v>
      </c>
      <c r="K5">
        <f t="shared" si="0"/>
        <v>1.5711367339315458</v>
      </c>
      <c r="M5" t="e">
        <f ca="1"/>
        <v>#NAME?</v>
      </c>
      <c r="O5" s="5" t="e">
        <f ca="1"/>
        <v>#NAME?</v>
      </c>
    </row>
    <row r="6" spans="1:15">
      <c r="A6" s="608">
        <v>21</v>
      </c>
      <c r="B6" s="608">
        <v>16</v>
      </c>
      <c r="C6" s="608">
        <v>12</v>
      </c>
      <c r="D6" s="608">
        <v>5</v>
      </c>
      <c r="E6" s="608">
        <v>23</v>
      </c>
      <c r="G6" s="572" t="str">
        <v>X4</v>
      </c>
      <c r="H6" s="572">
        <v>-0.20470216634627295</v>
      </c>
      <c r="J6">
        <v>27.101111776309818</v>
      </c>
      <c r="K6">
        <f t="shared" si="0"/>
        <v>-4.1011117763098177</v>
      </c>
      <c r="M6" t="e">
        <f ca="1"/>
        <v>#NAME?</v>
      </c>
      <c r="O6" s="572" t="e">
        <f ca="1"/>
        <v>#NAME?</v>
      </c>
    </row>
    <row r="7" spans="1:15">
      <c r="A7" s="608">
        <v>23</v>
      </c>
      <c r="B7" s="608">
        <v>17</v>
      </c>
      <c r="C7" s="608">
        <v>16</v>
      </c>
      <c r="D7" s="608">
        <v>10</v>
      </c>
      <c r="E7" s="608">
        <v>23</v>
      </c>
      <c r="J7">
        <v>28.95506391273527</v>
      </c>
      <c r="K7">
        <f t="shared" si="0"/>
        <v>-5.9550639127352696</v>
      </c>
      <c r="M7" t="e">
        <f ca="1"/>
        <v>#NAME?</v>
      </c>
    </row>
    <row r="8" spans="1:15">
      <c r="A8" s="608">
        <v>28</v>
      </c>
      <c r="B8" s="608">
        <v>22</v>
      </c>
      <c r="C8" s="608">
        <v>22</v>
      </c>
      <c r="D8" s="608">
        <v>15</v>
      </c>
      <c r="E8" s="608">
        <v>31</v>
      </c>
      <c r="G8" s="399" t="s">
        <v>483</v>
      </c>
      <c r="H8" s="399">
        <f>K20/(COUNT(A2:A19)-COUNTA(A1:D1)-1)</f>
        <v>42.685405599113068</v>
      </c>
      <c r="J8">
        <v>33.8813024360268</v>
      </c>
      <c r="K8">
        <f t="shared" si="0"/>
        <v>-2.8813024360268003</v>
      </c>
      <c r="M8" t="e">
        <f ca="1"/>
        <v>#NAME?</v>
      </c>
    </row>
    <row r="9" spans="1:15">
      <c r="A9" s="608">
        <v>31</v>
      </c>
      <c r="B9" s="608">
        <v>16</v>
      </c>
      <c r="C9" s="608">
        <v>28</v>
      </c>
      <c r="D9" s="608">
        <v>24</v>
      </c>
      <c r="E9" s="608">
        <v>39</v>
      </c>
      <c r="G9" s="572" t="s">
        <v>920</v>
      </c>
      <c r="H9" s="572">
        <v>1.6</v>
      </c>
      <c r="J9">
        <v>33.989062246864513</v>
      </c>
      <c r="K9">
        <f t="shared" si="0"/>
        <v>5.0109377531354866</v>
      </c>
      <c r="M9" t="e">
        <f ca="1"/>
        <v>#NAME?</v>
      </c>
    </row>
    <row r="10" spans="1:15">
      <c r="A10" s="608">
        <v>38</v>
      </c>
      <c r="B10" s="608">
        <v>21</v>
      </c>
      <c r="C10" s="608">
        <v>34</v>
      </c>
      <c r="D10" s="608">
        <v>31</v>
      </c>
      <c r="E10" s="608">
        <v>47</v>
      </c>
      <c r="J10">
        <v>39.035264272919996</v>
      </c>
      <c r="K10">
        <f t="shared" si="0"/>
        <v>7.9647357270800043</v>
      </c>
      <c r="M10" t="e">
        <f ca="1"/>
        <v>#NAME?</v>
      </c>
    </row>
    <row r="11" spans="1:15">
      <c r="A11" s="608">
        <v>39</v>
      </c>
      <c r="B11" s="608">
        <v>27</v>
      </c>
      <c r="C11" s="608">
        <v>27</v>
      </c>
      <c r="D11" s="608">
        <v>8</v>
      </c>
      <c r="E11" s="608">
        <v>51</v>
      </c>
      <c r="J11">
        <v>42.343917183477394</v>
      </c>
      <c r="K11">
        <f t="shared" si="0"/>
        <v>8.6560828165226056</v>
      </c>
      <c r="M11" t="e">
        <f ca="1"/>
        <v>#NAME?</v>
      </c>
    </row>
    <row r="12" spans="1:15">
      <c r="A12" s="608">
        <v>42</v>
      </c>
      <c r="B12" s="608">
        <v>24</v>
      </c>
      <c r="C12" s="608">
        <v>31</v>
      </c>
      <c r="D12" s="608">
        <v>16</v>
      </c>
      <c r="E12" s="608">
        <v>47</v>
      </c>
      <c r="J12">
        <v>42.58651866164238</v>
      </c>
      <c r="K12">
        <f t="shared" si="0"/>
        <v>4.4134813383576201</v>
      </c>
      <c r="M12" t="e">
        <f ca="1"/>
        <v>#NAME?</v>
      </c>
    </row>
    <row r="13" spans="1:15">
      <c r="A13" s="608">
        <v>49</v>
      </c>
      <c r="B13" s="608">
        <v>32</v>
      </c>
      <c r="C13" s="608">
        <v>40</v>
      </c>
      <c r="D13" s="608">
        <v>25</v>
      </c>
      <c r="E13" s="608">
        <v>51</v>
      </c>
      <c r="J13">
        <v>49.694222247814871</v>
      </c>
      <c r="K13">
        <f t="shared" si="0"/>
        <v>1.3057777521851293</v>
      </c>
      <c r="M13" t="e">
        <f ca="1"/>
        <v>#NAME?</v>
      </c>
    </row>
    <row r="14" spans="1:15">
      <c r="A14" s="608">
        <v>57</v>
      </c>
      <c r="B14" s="608">
        <v>29</v>
      </c>
      <c r="C14" s="608">
        <v>42</v>
      </c>
      <c r="D14" s="608">
        <v>21</v>
      </c>
      <c r="E14" s="608">
        <v>55</v>
      </c>
      <c r="J14">
        <v>52.700362754044974</v>
      </c>
      <c r="K14">
        <f t="shared" si="0"/>
        <v>2.2996372459550258</v>
      </c>
      <c r="M14" t="e">
        <f ca="1"/>
        <v>#NAME?</v>
      </c>
    </row>
    <row r="15" spans="1:15">
      <c r="A15" s="608">
        <v>68</v>
      </c>
      <c r="B15" s="608">
        <v>36</v>
      </c>
      <c r="C15" s="608">
        <v>35</v>
      </c>
      <c r="D15" s="608">
        <v>9</v>
      </c>
      <c r="E15" s="608">
        <v>63</v>
      </c>
      <c r="J15">
        <v>56.719613031313344</v>
      </c>
      <c r="K15">
        <f t="shared" si="0"/>
        <v>6.2803869686866562</v>
      </c>
      <c r="M15" t="e">
        <f ca="1"/>
        <v>#NAME?</v>
      </c>
    </row>
    <row r="16" spans="1:15">
      <c r="A16" s="608">
        <v>71</v>
      </c>
      <c r="B16" s="608">
        <v>42</v>
      </c>
      <c r="C16" s="608">
        <v>39</v>
      </c>
      <c r="D16" s="608">
        <v>15</v>
      </c>
      <c r="E16" s="608">
        <v>67</v>
      </c>
      <c r="J16">
        <v>60.210957015308139</v>
      </c>
      <c r="K16">
        <f t="shared" si="0"/>
        <v>6.7890429846918607</v>
      </c>
      <c r="M16" t="e">
        <f ca="1"/>
        <v>#NAME?</v>
      </c>
    </row>
    <row r="17" spans="1:13">
      <c r="A17" s="608">
        <v>89</v>
      </c>
      <c r="B17" s="608">
        <v>51</v>
      </c>
      <c r="C17" s="608">
        <v>51</v>
      </c>
      <c r="D17" s="608">
        <v>23</v>
      </c>
      <c r="E17" s="608">
        <v>71</v>
      </c>
      <c r="J17">
        <v>72.274827717172272</v>
      </c>
      <c r="K17">
        <f t="shared" si="0"/>
        <v>-1.2748277171722719</v>
      </c>
      <c r="M17" t="e">
        <f ca="1"/>
        <v>#NAME?</v>
      </c>
    </row>
    <row r="18" spans="1:13">
      <c r="A18" s="608">
        <v>95</v>
      </c>
      <c r="B18" s="608">
        <v>53</v>
      </c>
      <c r="C18" s="608">
        <v>60</v>
      </c>
      <c r="D18" s="608">
        <v>29</v>
      </c>
      <c r="E18" s="608">
        <v>71</v>
      </c>
      <c r="J18">
        <v>77.839061769230483</v>
      </c>
      <c r="K18">
        <f t="shared" si="0"/>
        <v>-6.8390617692304829</v>
      </c>
      <c r="M18" t="e">
        <f ca="1"/>
        <v>#NAME?</v>
      </c>
    </row>
    <row r="19" spans="1:13">
      <c r="A19" s="584">
        <v>97</v>
      </c>
      <c r="B19" s="584">
        <v>55</v>
      </c>
      <c r="C19" s="584">
        <v>68</v>
      </c>
      <c r="D19" s="584">
        <v>40</v>
      </c>
      <c r="E19" s="584">
        <v>75</v>
      </c>
      <c r="J19" s="572">
        <v>80.812896040278616</v>
      </c>
      <c r="K19" s="572">
        <f t="shared" si="0"/>
        <v>-5.8128960402786163</v>
      </c>
      <c r="M19" s="572" t="e">
        <f ca="1"/>
        <v>#NAME?</v>
      </c>
    </row>
    <row r="20" spans="1:13">
      <c r="K20">
        <f>SUMSQ(K2:K19)</f>
        <v>554.91027278846991</v>
      </c>
    </row>
    <row r="22" spans="1:13">
      <c r="A22" s="598">
        <v>50</v>
      </c>
      <c r="B22" s="598">
        <v>20</v>
      </c>
      <c r="C22" s="598">
        <v>30</v>
      </c>
      <c r="D22" s="598">
        <v>25</v>
      </c>
      <c r="E22" s="547" t="e">
        <f ca="1">RidgePred(A22:D22,A2:D19,E2:E19,H9)</f>
        <v>#NAME?</v>
      </c>
      <c r="G22" s="547" t="e">
        <f ca="1">RegPredC(A22:D22,H2:H6)</f>
        <v>#NAME?</v>
      </c>
    </row>
    <row r="24" spans="1:13">
      <c r="A24" s="408">
        <v>50</v>
      </c>
      <c r="B24" s="408">
        <v>20</v>
      </c>
      <c r="C24" s="408">
        <v>30</v>
      </c>
      <c r="D24" s="408">
        <v>25</v>
      </c>
      <c r="E24" s="399" t="e">
        <f t="array" aca="1" ref="E24:E25" ca="1">RidgePred(A24:D25,A2:D19,E2:E19,H9)</f>
        <v>#NAME?</v>
      </c>
      <c r="G24" s="399" t="e">
        <f t="array" aca="1" ref="G24:G25" ca="1">RegPredCC(A24:D25,H2:H6)</f>
        <v>#NAME?</v>
      </c>
    </row>
    <row r="25" spans="1:13">
      <c r="A25" s="584">
        <v>30</v>
      </c>
      <c r="B25" s="584">
        <v>30</v>
      </c>
      <c r="C25" s="584">
        <v>20</v>
      </c>
      <c r="D25" s="584">
        <v>20</v>
      </c>
      <c r="E25" s="572" t="e">
        <f ca="1"/>
        <v>#NAME?</v>
      </c>
      <c r="G25" s="572" t="e">
        <f ca="1"/>
        <v>#NAME?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65"/>
  <dimension ref="A1:N19"/>
  <sheetViews>
    <sheetView workbookViewId="0"/>
  </sheetViews>
  <sheetFormatPr defaultRowHeight="15"/>
  <sheetData>
    <row r="1" spans="1:14">
      <c r="A1" s="603" t="s">
        <v>359</v>
      </c>
      <c r="B1" s="603" t="s">
        <v>360</v>
      </c>
      <c r="C1" s="603" t="s">
        <v>916</v>
      </c>
      <c r="D1" s="603" t="s">
        <v>917</v>
      </c>
      <c r="E1" s="603" t="s">
        <v>292</v>
      </c>
      <c r="G1" t="s">
        <v>926</v>
      </c>
    </row>
    <row r="2" spans="1:14">
      <c r="A2" s="605">
        <v>3</v>
      </c>
      <c r="B2" s="605">
        <v>6</v>
      </c>
      <c r="C2" s="605">
        <v>2</v>
      </c>
      <c r="D2" s="605">
        <v>8</v>
      </c>
      <c r="E2" s="605">
        <v>3</v>
      </c>
    </row>
    <row r="3" spans="1:14">
      <c r="A3" s="605">
        <v>7</v>
      </c>
      <c r="B3" s="605">
        <f>INT(A3/2+4)</f>
        <v>7</v>
      </c>
      <c r="C3" s="605">
        <v>11</v>
      </c>
      <c r="D3" s="605">
        <v>14</v>
      </c>
      <c r="E3" s="605">
        <v>15</v>
      </c>
      <c r="G3" t="s">
        <v>920</v>
      </c>
      <c r="H3">
        <v>0</v>
      </c>
      <c r="I3">
        <v>1.7000000000000001E-3</v>
      </c>
      <c r="J3">
        <f>I3*10</f>
        <v>1.7000000000000001E-2</v>
      </c>
      <c r="K3">
        <f>J3*10</f>
        <v>0.17</v>
      </c>
      <c r="L3">
        <f>K3*10</f>
        <v>1.7000000000000002</v>
      </c>
      <c r="M3">
        <f>L3*10</f>
        <v>17</v>
      </c>
      <c r="N3">
        <f>M3*10</f>
        <v>170</v>
      </c>
    </row>
    <row r="4" spans="1:14">
      <c r="A4" s="605">
        <v>11</v>
      </c>
      <c r="B4" s="605">
        <v>11</v>
      </c>
      <c r="C4" s="605">
        <v>23</v>
      </c>
      <c r="D4" s="605">
        <v>33</v>
      </c>
      <c r="E4" s="605">
        <v>19</v>
      </c>
      <c r="G4" t="str">
        <f t="array" ref="G4:G7">TRANSPOSE(A1:D1)</f>
        <v>X1</v>
      </c>
      <c r="H4" s="542" t="e">
        <f t="array" aca="1" ref="H4:H7" ca="1">LASSOCoeff($A$2:$D$19,$E$2:$E$19,H3)</f>
        <v>#NAME?</v>
      </c>
      <c r="I4" s="549" t="e">
        <f t="array" aca="1" ref="I4:I7" ca="1">LASSOCoeff($A$2:$D$19,$E$2:$E$19,I3)</f>
        <v>#NAME?</v>
      </c>
      <c r="J4" s="549" t="e">
        <f t="array" aca="1" ref="J4:J7" ca="1">LASSOCoeff($A$2:$D$19,$E$2:$E$19,J3)</f>
        <v>#NAME?</v>
      </c>
      <c r="K4" s="549" t="e">
        <f t="array" aca="1" ref="K4:K7" ca="1">LASSOCoeff($A$2:$D$19,$E$2:$E$19,K3)</f>
        <v>#NAME?</v>
      </c>
      <c r="L4" s="549" t="e">
        <f t="array" aca="1" ref="L4:L7" ca="1">LASSOCoeff($A$2:$D$19,$E$2:$E$19,L3)</f>
        <v>#NAME?</v>
      </c>
      <c r="M4" s="549" t="e">
        <f t="array" aca="1" ref="M4:M7" ca="1">LASSOCoeff($A$2:$D$19,$E$2:$E$19,M3)</f>
        <v>#NAME?</v>
      </c>
      <c r="N4" s="543" t="e">
        <f t="array" aca="1" ref="N4:N7" ca="1">LASSOCoeff($A$2:$D$19,$E$2:$E$19,N3)</f>
        <v>#NAME?</v>
      </c>
    </row>
    <row r="5" spans="1:14">
      <c r="A5" s="605">
        <v>15</v>
      </c>
      <c r="B5" s="605">
        <v>12</v>
      </c>
      <c r="C5" s="605">
        <v>26</v>
      </c>
      <c r="D5" s="605">
        <v>34</v>
      </c>
      <c r="E5" s="605">
        <v>27</v>
      </c>
      <c r="G5" t="str">
        <v>X2</v>
      </c>
      <c r="H5" s="294" t="e">
        <f ca="1"/>
        <v>#NAME?</v>
      </c>
      <c r="I5" s="5" t="e">
        <f ca="1"/>
        <v>#NAME?</v>
      </c>
      <c r="J5" s="5" t="e">
        <f ca="1"/>
        <v>#NAME?</v>
      </c>
      <c r="K5" s="5" t="e">
        <f ca="1"/>
        <v>#NAME?</v>
      </c>
      <c r="L5" s="5" t="e">
        <f ca="1"/>
        <v>#NAME?</v>
      </c>
      <c r="M5" s="5" t="e">
        <f ca="1"/>
        <v>#NAME?</v>
      </c>
      <c r="N5" s="295" t="e">
        <f ca="1"/>
        <v>#NAME?</v>
      </c>
    </row>
    <row r="6" spans="1:14">
      <c r="A6" s="605">
        <v>21</v>
      </c>
      <c r="B6" s="605">
        <v>16</v>
      </c>
      <c r="C6" s="605">
        <v>12</v>
      </c>
      <c r="D6" s="605">
        <v>5</v>
      </c>
      <c r="E6" s="605">
        <v>23</v>
      </c>
      <c r="G6" t="str">
        <v>X3</v>
      </c>
      <c r="H6" s="294" t="e">
        <f ca="1"/>
        <v>#NAME?</v>
      </c>
      <c r="I6" s="5" t="e">
        <f ca="1"/>
        <v>#NAME?</v>
      </c>
      <c r="J6" s="5" t="e">
        <f ca="1"/>
        <v>#NAME?</v>
      </c>
      <c r="K6" s="5" t="e">
        <f ca="1"/>
        <v>#NAME?</v>
      </c>
      <c r="L6" s="5" t="e">
        <f ca="1"/>
        <v>#NAME?</v>
      </c>
      <c r="M6" s="5" t="e">
        <f ca="1"/>
        <v>#NAME?</v>
      </c>
      <c r="N6" s="295" t="e">
        <f ca="1"/>
        <v>#NAME?</v>
      </c>
    </row>
    <row r="7" spans="1:14">
      <c r="A7" s="605">
        <v>23</v>
      </c>
      <c r="B7" s="605">
        <v>17</v>
      </c>
      <c r="C7" s="605">
        <v>16</v>
      </c>
      <c r="D7" s="605">
        <v>10</v>
      </c>
      <c r="E7" s="605">
        <v>23</v>
      </c>
      <c r="G7" t="str">
        <v>X4</v>
      </c>
      <c r="H7" s="284" t="e">
        <f ca="1"/>
        <v>#NAME?</v>
      </c>
      <c r="I7" s="380" t="e">
        <f ca="1"/>
        <v>#NAME?</v>
      </c>
      <c r="J7" s="380" t="e">
        <f ca="1"/>
        <v>#NAME?</v>
      </c>
      <c r="K7" s="380" t="e">
        <f ca="1"/>
        <v>#NAME?</v>
      </c>
      <c r="L7" s="380" t="e">
        <f ca="1"/>
        <v>#NAME?</v>
      </c>
      <c r="M7" s="380" t="e">
        <f ca="1"/>
        <v>#NAME?</v>
      </c>
      <c r="N7" s="288" t="e">
        <f ca="1"/>
        <v>#NAME?</v>
      </c>
    </row>
    <row r="8" spans="1:14">
      <c r="A8" s="605">
        <v>28</v>
      </c>
      <c r="B8" s="605">
        <v>22</v>
      </c>
      <c r="C8" s="605">
        <v>22</v>
      </c>
      <c r="D8" s="605">
        <v>15</v>
      </c>
      <c r="E8" s="605">
        <v>31</v>
      </c>
    </row>
    <row r="9" spans="1:14">
      <c r="A9" s="605">
        <v>31</v>
      </c>
      <c r="B9" s="605">
        <v>16</v>
      </c>
      <c r="C9" s="605">
        <v>28</v>
      </c>
      <c r="D9" s="605">
        <v>24</v>
      </c>
      <c r="E9" s="605">
        <v>39</v>
      </c>
    </row>
    <row r="10" spans="1:14">
      <c r="A10" s="605">
        <v>38</v>
      </c>
      <c r="B10" s="605">
        <v>21</v>
      </c>
      <c r="C10" s="605">
        <v>34</v>
      </c>
      <c r="D10" s="605">
        <v>31</v>
      </c>
      <c r="E10" s="605">
        <v>47</v>
      </c>
    </row>
    <row r="11" spans="1:14">
      <c r="A11" s="605">
        <v>39</v>
      </c>
      <c r="B11" s="605">
        <v>27</v>
      </c>
      <c r="C11" s="605">
        <v>27</v>
      </c>
      <c r="D11" s="605">
        <v>8</v>
      </c>
      <c r="E11" s="605">
        <v>51</v>
      </c>
    </row>
    <row r="12" spans="1:14">
      <c r="A12" s="605">
        <v>42</v>
      </c>
      <c r="B12" s="605">
        <v>24</v>
      </c>
      <c r="C12" s="605">
        <v>31</v>
      </c>
      <c r="D12" s="605">
        <v>16</v>
      </c>
      <c r="E12" s="605">
        <v>47</v>
      </c>
    </row>
    <row r="13" spans="1:14">
      <c r="A13" s="605">
        <v>49</v>
      </c>
      <c r="B13" s="605">
        <v>32</v>
      </c>
      <c r="C13" s="605">
        <v>40</v>
      </c>
      <c r="D13" s="605">
        <v>25</v>
      </c>
      <c r="E13" s="605">
        <v>51</v>
      </c>
    </row>
    <row r="14" spans="1:14">
      <c r="A14" s="605">
        <v>57</v>
      </c>
      <c r="B14" s="605">
        <v>29</v>
      </c>
      <c r="C14" s="605">
        <v>42</v>
      </c>
      <c r="D14" s="605">
        <v>21</v>
      </c>
      <c r="E14" s="605">
        <v>55</v>
      </c>
    </row>
    <row r="15" spans="1:14">
      <c r="A15" s="605">
        <v>68</v>
      </c>
      <c r="B15" s="605">
        <v>36</v>
      </c>
      <c r="C15" s="605">
        <v>35</v>
      </c>
      <c r="D15" s="605">
        <v>9</v>
      </c>
      <c r="E15" s="605">
        <v>63</v>
      </c>
    </row>
    <row r="16" spans="1:14">
      <c r="A16" s="605">
        <v>71</v>
      </c>
      <c r="B16" s="605">
        <v>42</v>
      </c>
      <c r="C16" s="605">
        <v>39</v>
      </c>
      <c r="D16" s="605">
        <v>15</v>
      </c>
      <c r="E16" s="605">
        <v>67</v>
      </c>
    </row>
    <row r="17" spans="1:5">
      <c r="A17" s="605">
        <v>89</v>
      </c>
      <c r="B17" s="605">
        <v>51</v>
      </c>
      <c r="C17" s="605">
        <v>51</v>
      </c>
      <c r="D17" s="605">
        <v>23</v>
      </c>
      <c r="E17" s="605">
        <v>71</v>
      </c>
    </row>
    <row r="18" spans="1:5">
      <c r="A18" s="605">
        <v>95</v>
      </c>
      <c r="B18" s="605">
        <v>53</v>
      </c>
      <c r="C18" s="605">
        <v>60</v>
      </c>
      <c r="D18" s="605">
        <v>29</v>
      </c>
      <c r="E18" s="605">
        <v>71</v>
      </c>
    </row>
    <row r="19" spans="1:5">
      <c r="A19" s="606">
        <v>97</v>
      </c>
      <c r="B19" s="606">
        <v>55</v>
      </c>
      <c r="C19" s="606">
        <v>68</v>
      </c>
      <c r="D19" s="606">
        <v>40</v>
      </c>
      <c r="E19" s="606">
        <v>75</v>
      </c>
    </row>
  </sheetData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2"/>
  <dimension ref="A1:L23"/>
  <sheetViews>
    <sheetView workbookViewId="0"/>
  </sheetViews>
  <sheetFormatPr defaultRowHeight="15"/>
  <sheetData>
    <row r="1" spans="1:12">
      <c r="A1" t="s">
        <v>1042</v>
      </c>
    </row>
    <row r="3" spans="1:12">
      <c r="A3" s="709" t="s">
        <v>1044</v>
      </c>
      <c r="B3" s="603" t="s">
        <v>1045</v>
      </c>
      <c r="C3" s="603" t="s">
        <v>1046</v>
      </c>
      <c r="D3" s="603" t="s">
        <v>1047</v>
      </c>
      <c r="F3" t="s">
        <v>1042</v>
      </c>
    </row>
    <row r="4" spans="1:12">
      <c r="A4" s="710">
        <v>1</v>
      </c>
      <c r="B4" s="163">
        <v>4.2300000000000004</v>
      </c>
      <c r="C4" s="163">
        <v>1.5</v>
      </c>
      <c r="D4" s="163">
        <v>2</v>
      </c>
    </row>
    <row r="5" spans="1:12" ht="15.75" thickBot="1">
      <c r="A5" s="710">
        <v>2</v>
      </c>
      <c r="B5" s="163">
        <v>3.92</v>
      </c>
      <c r="C5" s="163">
        <v>1.8199999999999998</v>
      </c>
      <c r="D5" s="163">
        <v>1.7</v>
      </c>
      <c r="I5" s="660" t="s">
        <v>11</v>
      </c>
      <c r="J5">
        <f>COUNT(C4:C23)</f>
        <v>20</v>
      </c>
    </row>
    <row r="6" spans="1:12" ht="15.75" thickTop="1">
      <c r="A6" s="710">
        <v>3</v>
      </c>
      <c r="B6" s="163">
        <v>4.45</v>
      </c>
      <c r="C6" s="163">
        <v>2.08</v>
      </c>
      <c r="D6" s="163">
        <v>2.2599999999999998</v>
      </c>
      <c r="F6" s="398"/>
      <c r="G6" s="398" t="s">
        <v>600</v>
      </c>
      <c r="H6" s="398" t="s">
        <v>503</v>
      </c>
      <c r="I6" s="398" t="s">
        <v>1048</v>
      </c>
      <c r="J6" s="398" t="s">
        <v>30</v>
      </c>
      <c r="K6" s="398" t="s">
        <v>1049</v>
      </c>
      <c r="L6" s="398" t="s">
        <v>1050</v>
      </c>
    </row>
    <row r="7" spans="1:12">
      <c r="A7" s="710">
        <v>4</v>
      </c>
      <c r="B7" s="163">
        <v>4.5</v>
      </c>
      <c r="C7" s="163">
        <v>2.6799999999999997</v>
      </c>
      <c r="D7" s="163">
        <v>2.7</v>
      </c>
      <c r="F7" t="s">
        <v>1051</v>
      </c>
      <c r="G7" t="e">
        <f t="array" aca="1" ref="G7:H7" ca="1">SUBMATRIX(RegCoeff(C4:C23,B4:B23),2,1)</f>
        <v>#NAME?</v>
      </c>
      <c r="H7" t="e">
        <f ca="1"/>
        <v>#NAME?</v>
      </c>
      <c r="I7" t="e">
        <f ca="1">G7/H7</f>
        <v>#NAME?</v>
      </c>
      <c r="J7" t="e">
        <f ca="1">TDIST(ABS(I7),J$5-2,2)</f>
        <v>#NAME?</v>
      </c>
      <c r="K7">
        <f>CORREL(C4:C23,B4:B23)</f>
        <v>0.54208922302509766</v>
      </c>
    </row>
    <row r="8" spans="1:12">
      <c r="A8" s="710">
        <v>5</v>
      </c>
      <c r="B8" s="163">
        <v>4.45</v>
      </c>
      <c r="C8" s="163">
        <v>2.54</v>
      </c>
      <c r="D8" s="163">
        <v>2.65</v>
      </c>
      <c r="F8" t="s">
        <v>1052</v>
      </c>
      <c r="G8" t="e">
        <f t="array" aca="1" ref="G8:H8" ca="1">SUBMATRIX(RegCoeff(B4:B23,D4:D23),2,1)</f>
        <v>#NAME?</v>
      </c>
      <c r="H8" t="e">
        <f ca="1"/>
        <v>#NAME?</v>
      </c>
      <c r="I8" t="e">
        <f t="shared" ref="I8:I11" ca="1" si="0">G8/H8</f>
        <v>#NAME?</v>
      </c>
      <c r="J8" t="e">
        <f t="shared" ref="J8:J11" ca="1" si="1">TDIST(ABS(I8),J$5-2,2)</f>
        <v>#NAME?</v>
      </c>
      <c r="K8">
        <f>CORREL(B4:B23,D4:D23)</f>
        <v>0.63159598506941539</v>
      </c>
      <c r="L8" t="e">
        <f ca="1">SEMIPART_CORREL(D4:D23,B4:B23,C4:C23)</f>
        <v>#NAME?</v>
      </c>
    </row>
    <row r="9" spans="1:12">
      <c r="A9" s="710">
        <v>6</v>
      </c>
      <c r="B9" s="163">
        <v>3.86</v>
      </c>
      <c r="C9" s="163">
        <v>2.5299999999999998</v>
      </c>
      <c r="D9" s="163">
        <v>2.1800000000000002</v>
      </c>
      <c r="F9" s="285" t="s">
        <v>1053</v>
      </c>
      <c r="G9" s="285" t="e">
        <f t="array" aca="1" ref="G9:H9" ca="1">SUBMATRIX(RegCoeff(C4:C23,D4:D23),2,1)</f>
        <v>#NAME?</v>
      </c>
      <c r="H9" s="285" t="e">
        <f ca="1"/>
        <v>#NAME?</v>
      </c>
      <c r="I9" s="285" t="e">
        <f t="shared" ca="1" si="0"/>
        <v>#NAME?</v>
      </c>
      <c r="J9" s="285" t="e">
        <f t="shared" ca="1" si="1"/>
        <v>#NAME?</v>
      </c>
      <c r="K9" s="285">
        <f>CORREL(C4:C23,D4:D23)</f>
        <v>0.47195180391914549</v>
      </c>
      <c r="L9" s="285" t="e">
        <f ca="1">SEMIPART_CORREL(D4:D23,C4:C23,B4:B23)</f>
        <v>#NAME?</v>
      </c>
    </row>
    <row r="10" spans="1:12">
      <c r="A10" s="710">
        <v>7</v>
      </c>
      <c r="B10" s="163">
        <v>4.05</v>
      </c>
      <c r="C10" s="163">
        <v>2.13</v>
      </c>
      <c r="D10" s="163">
        <v>2.25</v>
      </c>
      <c r="F10" t="s">
        <v>291</v>
      </c>
      <c r="G10" t="e">
        <f t="array" aca="1" ref="G10:H10" ca="1">SUBMATRIX(RegCoeff(MERGE(C4:C23,B4:B23),D4:D23),2,1)</f>
        <v>#NAME?</v>
      </c>
      <c r="H10" t="e">
        <f ca="1"/>
        <v>#NAME?</v>
      </c>
      <c r="I10" t="e">
        <f t="shared" ca="1" si="0"/>
        <v>#NAME?</v>
      </c>
      <c r="J10" t="e">
        <f t="shared" ca="1" si="1"/>
        <v>#NAME?</v>
      </c>
    </row>
    <row r="11" spans="1:12">
      <c r="A11" s="710">
        <v>8</v>
      </c>
      <c r="B11" s="163">
        <v>3.9</v>
      </c>
      <c r="C11" s="163">
        <v>2.61</v>
      </c>
      <c r="D11" s="163">
        <v>2.2999999999999998</v>
      </c>
      <c r="F11" s="285" t="s">
        <v>1054</v>
      </c>
      <c r="G11" s="285" t="e">
        <f t="array" aca="1" ref="G11:H11" ca="1">SUBMATRIX(RegCoeff(MERGE(B4:B23,C4:C23),D4:D23),2,1)</f>
        <v>#NAME?</v>
      </c>
      <c r="H11" s="285" t="e">
        <f ca="1"/>
        <v>#NAME?</v>
      </c>
      <c r="I11" s="285" t="e">
        <f t="shared" ca="1" si="0"/>
        <v>#NAME?</v>
      </c>
      <c r="J11" s="285" t="e">
        <f t="shared" ca="1" si="1"/>
        <v>#NAME?</v>
      </c>
    </row>
    <row r="12" spans="1:12" ht="15.75" thickBot="1">
      <c r="A12" s="710">
        <v>9</v>
      </c>
      <c r="B12" s="163">
        <v>2.13</v>
      </c>
      <c r="C12" s="163">
        <v>2.04</v>
      </c>
      <c r="D12" s="163">
        <v>1.5499999999999998</v>
      </c>
    </row>
    <row r="13" spans="1:12" ht="15.75" thickTop="1">
      <c r="A13" s="710">
        <v>10</v>
      </c>
      <c r="B13" s="163">
        <v>3.31</v>
      </c>
      <c r="C13" s="163">
        <v>1.5899999999999999</v>
      </c>
      <c r="D13" s="163">
        <v>2.0099999999999998</v>
      </c>
      <c r="F13" s="398"/>
      <c r="G13" s="398" t="s">
        <v>600</v>
      </c>
      <c r="H13" s="398" t="s">
        <v>503</v>
      </c>
      <c r="I13" s="398" t="s">
        <v>1048</v>
      </c>
      <c r="J13" s="398" t="s">
        <v>30</v>
      </c>
    </row>
    <row r="14" spans="1:12">
      <c r="A14" s="710">
        <v>11</v>
      </c>
      <c r="B14" s="163">
        <v>4.18</v>
      </c>
      <c r="C14" s="163">
        <v>2.9499999999999997</v>
      </c>
      <c r="D14" s="163">
        <v>1.9</v>
      </c>
      <c r="F14" t="s">
        <v>1051</v>
      </c>
      <c r="G14" t="e">
        <f ca="1">SUBMATRIX(StdRegCoeff(C4:C23,B4:B23),2,1)</f>
        <v>#NAME?</v>
      </c>
      <c r="H14" t="e">
        <f ca="1">G14/I14</f>
        <v>#NAME?</v>
      </c>
      <c r="I14" t="e">
        <f ca="1">I7</f>
        <v>#NAME?</v>
      </c>
    </row>
    <row r="15" spans="1:12">
      <c r="A15" s="710">
        <v>12</v>
      </c>
      <c r="B15" s="163">
        <v>4.41</v>
      </c>
      <c r="C15" s="163">
        <v>2.9899999999999998</v>
      </c>
      <c r="D15" s="163">
        <v>2.65</v>
      </c>
      <c r="F15" s="285" t="s">
        <v>1052</v>
      </c>
      <c r="G15" s="285" t="e">
        <f ca="1">SUBMATRIX(StdRegCoeff(B4:B23,D4:D23),2,1)</f>
        <v>#NAME?</v>
      </c>
      <c r="H15" s="285" t="e">
        <f ca="1">G15/I15</f>
        <v>#NAME?</v>
      </c>
      <c r="I15" s="285" t="e">
        <f ca="1">I8</f>
        <v>#NAME?</v>
      </c>
      <c r="J15" s="285"/>
    </row>
    <row r="16" spans="1:12">
      <c r="A16" s="710">
        <v>13</v>
      </c>
      <c r="B16" s="163">
        <v>3.36</v>
      </c>
      <c r="C16" s="163">
        <v>2.17</v>
      </c>
      <c r="D16" s="163">
        <v>1.5499999999999998</v>
      </c>
      <c r="F16" t="s">
        <v>1055</v>
      </c>
      <c r="G16" t="e">
        <f ca="1">G14*G15</f>
        <v>#NAME?</v>
      </c>
      <c r="H16" t="e">
        <f ca="1">SQRT((G14*H15)^2+(H14*G15)^2-(H14*H15)^2)</f>
        <v>#NAME?</v>
      </c>
      <c r="I16" t="e">
        <f ca="1">G16/H16</f>
        <v>#NAME?</v>
      </c>
      <c r="J16" t="e">
        <f ca="1">TDIST(ABS(I16),J5-3,2)</f>
        <v>#NAME?</v>
      </c>
    </row>
    <row r="17" spans="1:4">
      <c r="A17" s="710">
        <v>14</v>
      </c>
      <c r="B17" s="163">
        <v>2.69</v>
      </c>
      <c r="C17" s="163">
        <v>1.4</v>
      </c>
      <c r="D17" s="163">
        <v>1.9</v>
      </c>
    </row>
    <row r="18" spans="1:4">
      <c r="A18" s="710">
        <v>15</v>
      </c>
      <c r="B18" s="163">
        <v>4.4700000000000006</v>
      </c>
      <c r="C18" s="163">
        <v>2.5</v>
      </c>
      <c r="D18" s="163">
        <v>2.14</v>
      </c>
    </row>
    <row r="19" spans="1:4">
      <c r="A19" s="710">
        <v>16</v>
      </c>
      <c r="B19" s="163">
        <v>3.62</v>
      </c>
      <c r="C19" s="163">
        <v>2.75</v>
      </c>
      <c r="D19" s="163">
        <v>2.5</v>
      </c>
    </row>
    <row r="20" spans="1:4">
      <c r="A20" s="710">
        <v>17</v>
      </c>
      <c r="B20" s="163">
        <v>3</v>
      </c>
      <c r="C20" s="163">
        <v>1.21</v>
      </c>
      <c r="D20" s="163">
        <v>1.9500000000000002</v>
      </c>
    </row>
    <row r="21" spans="1:4">
      <c r="A21" s="710">
        <v>18</v>
      </c>
      <c r="B21" s="163">
        <v>4.32</v>
      </c>
      <c r="C21" s="163">
        <v>2.81</v>
      </c>
      <c r="D21" s="163">
        <v>2</v>
      </c>
    </row>
    <row r="22" spans="1:4">
      <c r="A22" s="710">
        <v>19</v>
      </c>
      <c r="B22" s="163">
        <v>4.21</v>
      </c>
      <c r="C22" s="163">
        <v>2.0699999999999998</v>
      </c>
      <c r="D22" s="163">
        <v>2.48</v>
      </c>
    </row>
    <row r="23" spans="1:4">
      <c r="A23" s="711">
        <v>20</v>
      </c>
      <c r="B23" s="712">
        <v>3.73</v>
      </c>
      <c r="C23" s="712">
        <v>2.27</v>
      </c>
      <c r="D23" s="712">
        <v>2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"/>
  <dimension ref="A1:AO56"/>
  <sheetViews>
    <sheetView zoomScaleNormal="100" workbookViewId="0"/>
  </sheetViews>
  <sheetFormatPr defaultColWidth="9.140625" defaultRowHeight="15"/>
  <cols>
    <col min="1" max="1" width="5.7109375" style="24" customWidth="1"/>
    <col min="2" max="41" width="5.7109375" style="704" customWidth="1"/>
    <col min="42" max="16384" width="9.140625" style="704"/>
  </cols>
  <sheetData>
    <row r="1" spans="1:41">
      <c r="A1" s="703" t="s">
        <v>1037</v>
      </c>
    </row>
    <row r="3" spans="1:41">
      <c r="A3" s="703" t="s">
        <v>1038</v>
      </c>
    </row>
    <row r="5" spans="1:41" s="24" customFormat="1">
      <c r="A5" s="705" t="s">
        <v>1039</v>
      </c>
      <c r="B5" s="757">
        <v>1</v>
      </c>
      <c r="C5" s="757"/>
      <c r="D5" s="757">
        <v>2</v>
      </c>
      <c r="E5" s="757"/>
      <c r="F5" s="757">
        <v>3</v>
      </c>
      <c r="G5" s="757"/>
      <c r="H5" s="757">
        <v>4</v>
      </c>
      <c r="I5" s="757"/>
      <c r="J5" s="757">
        <v>5</v>
      </c>
      <c r="K5" s="757"/>
      <c r="L5" s="757">
        <v>6</v>
      </c>
      <c r="M5" s="757"/>
      <c r="N5" s="757">
        <v>7</v>
      </c>
      <c r="O5" s="757"/>
      <c r="P5" s="757">
        <v>8</v>
      </c>
      <c r="Q5" s="757"/>
      <c r="R5" s="757">
        <v>9</v>
      </c>
      <c r="S5" s="757"/>
      <c r="T5" s="757">
        <v>10</v>
      </c>
      <c r="U5" s="757"/>
      <c r="V5" s="757">
        <v>11</v>
      </c>
      <c r="W5" s="757"/>
      <c r="X5" s="757">
        <v>12</v>
      </c>
      <c r="Y5" s="757"/>
      <c r="Z5" s="757">
        <v>13</v>
      </c>
      <c r="AA5" s="757"/>
      <c r="AB5" s="757">
        <v>14</v>
      </c>
      <c r="AC5" s="757"/>
      <c r="AD5" s="757">
        <v>15</v>
      </c>
      <c r="AE5" s="757"/>
      <c r="AF5" s="757">
        <v>16</v>
      </c>
      <c r="AG5" s="757"/>
      <c r="AH5" s="757">
        <v>17</v>
      </c>
      <c r="AI5" s="757"/>
      <c r="AJ5" s="757">
        <v>18</v>
      </c>
      <c r="AK5" s="757"/>
      <c r="AL5" s="757">
        <v>19</v>
      </c>
      <c r="AM5" s="757"/>
      <c r="AN5" s="757">
        <v>20</v>
      </c>
      <c r="AO5" s="757"/>
    </row>
    <row r="6" spans="1:41">
      <c r="A6" s="707">
        <v>6</v>
      </c>
      <c r="B6" s="694">
        <v>0.39</v>
      </c>
      <c r="C6" s="695">
        <v>1.1419999999999999</v>
      </c>
      <c r="D6" s="694"/>
      <c r="E6" s="696"/>
      <c r="F6" s="695"/>
      <c r="G6" s="695"/>
      <c r="H6" s="694"/>
      <c r="I6" s="696"/>
      <c r="J6" s="695"/>
      <c r="K6" s="695"/>
      <c r="L6" s="694"/>
      <c r="M6" s="696"/>
      <c r="N6" s="695"/>
      <c r="O6" s="695"/>
      <c r="P6" s="694"/>
      <c r="Q6" s="695"/>
      <c r="R6" s="694"/>
      <c r="S6" s="696"/>
      <c r="T6" s="695"/>
      <c r="U6" s="695"/>
      <c r="V6" s="694"/>
      <c r="W6" s="695"/>
      <c r="X6" s="694"/>
      <c r="Y6" s="695"/>
      <c r="Z6" s="694"/>
      <c r="AA6" s="695"/>
      <c r="AB6" s="694"/>
      <c r="AC6" s="695"/>
      <c r="AD6" s="694"/>
      <c r="AE6" s="695"/>
      <c r="AF6" s="694"/>
      <c r="AG6" s="696"/>
      <c r="AH6" s="695"/>
      <c r="AI6" s="696"/>
      <c r="AJ6" s="695"/>
      <c r="AK6" s="696"/>
      <c r="AL6" s="695"/>
      <c r="AM6" s="696"/>
      <c r="AN6" s="695"/>
      <c r="AO6" s="696"/>
    </row>
    <row r="7" spans="1:41">
      <c r="A7" s="305">
        <v>7</v>
      </c>
      <c r="B7" s="697">
        <v>0.435</v>
      </c>
      <c r="C7" s="698">
        <v>1.036</v>
      </c>
      <c r="D7" s="697">
        <v>0.29399999999999998</v>
      </c>
      <c r="E7" s="699">
        <v>1.6759999999999999</v>
      </c>
      <c r="F7" s="698"/>
      <c r="G7" s="698"/>
      <c r="H7" s="697"/>
      <c r="I7" s="699"/>
      <c r="J7" s="698"/>
      <c r="K7" s="698"/>
      <c r="L7" s="697"/>
      <c r="M7" s="699"/>
      <c r="N7" s="698"/>
      <c r="O7" s="698"/>
      <c r="P7" s="697"/>
      <c r="Q7" s="698"/>
      <c r="R7" s="697"/>
      <c r="S7" s="699"/>
      <c r="T7" s="698"/>
      <c r="U7" s="698"/>
      <c r="V7" s="697"/>
      <c r="W7" s="698"/>
      <c r="X7" s="697"/>
      <c r="Y7" s="698"/>
      <c r="Z7" s="697"/>
      <c r="AA7" s="698"/>
      <c r="AB7" s="697"/>
      <c r="AC7" s="698"/>
      <c r="AD7" s="697"/>
      <c r="AE7" s="698"/>
      <c r="AF7" s="697"/>
      <c r="AG7" s="699"/>
      <c r="AH7" s="698"/>
      <c r="AI7" s="699"/>
      <c r="AJ7" s="698"/>
      <c r="AK7" s="699"/>
      <c r="AL7" s="698"/>
      <c r="AM7" s="699"/>
      <c r="AN7" s="698"/>
      <c r="AO7" s="699"/>
    </row>
    <row r="8" spans="1:41">
      <c r="A8" s="305">
        <v>8</v>
      </c>
      <c r="B8" s="697">
        <v>0.497</v>
      </c>
      <c r="C8" s="698">
        <v>1.0029999999999999</v>
      </c>
      <c r="D8" s="697">
        <v>0.34499999999999997</v>
      </c>
      <c r="E8" s="699">
        <v>1.4890000000000001</v>
      </c>
      <c r="F8" s="698">
        <v>0.22900000000000001</v>
      </c>
      <c r="G8" s="698">
        <v>2.1019999999999999</v>
      </c>
      <c r="H8" s="697"/>
      <c r="I8" s="699"/>
      <c r="J8" s="698"/>
      <c r="K8" s="698"/>
      <c r="L8" s="697"/>
      <c r="M8" s="699"/>
      <c r="N8" s="698"/>
      <c r="O8" s="698"/>
      <c r="P8" s="697"/>
      <c r="Q8" s="698"/>
      <c r="R8" s="697"/>
      <c r="S8" s="699"/>
      <c r="T8" s="698"/>
      <c r="U8" s="698"/>
      <c r="V8" s="697"/>
      <c r="W8" s="698"/>
      <c r="X8" s="697"/>
      <c r="Y8" s="698"/>
      <c r="Z8" s="697"/>
      <c r="AA8" s="698"/>
      <c r="AB8" s="697"/>
      <c r="AC8" s="698"/>
      <c r="AD8" s="697"/>
      <c r="AE8" s="698"/>
      <c r="AF8" s="697"/>
      <c r="AG8" s="699"/>
      <c r="AH8" s="698"/>
      <c r="AI8" s="699"/>
      <c r="AJ8" s="698"/>
      <c r="AK8" s="699"/>
      <c r="AL8" s="698"/>
      <c r="AM8" s="699"/>
      <c r="AN8" s="698"/>
      <c r="AO8" s="699"/>
    </row>
    <row r="9" spans="1:41">
      <c r="A9" s="305">
        <v>9</v>
      </c>
      <c r="B9" s="697">
        <v>0.55400000000000005</v>
      </c>
      <c r="C9" s="698">
        <v>0.998</v>
      </c>
      <c r="D9" s="697">
        <v>0.40799999999999997</v>
      </c>
      <c r="E9" s="699">
        <v>1.389</v>
      </c>
      <c r="F9" s="698">
        <v>0.27900000000000003</v>
      </c>
      <c r="G9" s="698">
        <v>1.875</v>
      </c>
      <c r="H9" s="697">
        <v>0.183</v>
      </c>
      <c r="I9" s="699">
        <v>2.4329999999999998</v>
      </c>
      <c r="J9" s="698"/>
      <c r="K9" s="698"/>
      <c r="L9" s="697"/>
      <c r="M9" s="699"/>
      <c r="N9" s="698"/>
      <c r="O9" s="698"/>
      <c r="P9" s="697"/>
      <c r="Q9" s="698"/>
      <c r="R9" s="697"/>
      <c r="S9" s="699"/>
      <c r="T9" s="698"/>
      <c r="U9" s="698"/>
      <c r="V9" s="697"/>
      <c r="W9" s="698"/>
      <c r="X9" s="697"/>
      <c r="Y9" s="698"/>
      <c r="Z9" s="697"/>
      <c r="AA9" s="698"/>
      <c r="AB9" s="697"/>
      <c r="AC9" s="698"/>
      <c r="AD9" s="697"/>
      <c r="AE9" s="698"/>
      <c r="AF9" s="697"/>
      <c r="AG9" s="699"/>
      <c r="AH9" s="698"/>
      <c r="AI9" s="699"/>
      <c r="AJ9" s="698"/>
      <c r="AK9" s="699"/>
      <c r="AL9" s="698"/>
      <c r="AM9" s="699"/>
      <c r="AN9" s="698"/>
      <c r="AO9" s="699"/>
    </row>
    <row r="10" spans="1:41">
      <c r="A10" s="305">
        <v>10</v>
      </c>
      <c r="B10" s="697">
        <v>0.60399999999999998</v>
      </c>
      <c r="C10" s="698">
        <v>1.0009999999999999</v>
      </c>
      <c r="D10" s="697">
        <v>0.46600000000000003</v>
      </c>
      <c r="E10" s="699">
        <v>1.333</v>
      </c>
      <c r="F10" s="698">
        <v>0.34</v>
      </c>
      <c r="G10" s="698">
        <v>1.7330000000000001</v>
      </c>
      <c r="H10" s="697">
        <v>0.23</v>
      </c>
      <c r="I10" s="699">
        <v>2.1930000000000001</v>
      </c>
      <c r="J10" s="698">
        <v>0.15</v>
      </c>
      <c r="K10" s="698">
        <v>2.69</v>
      </c>
      <c r="L10" s="697"/>
      <c r="M10" s="699"/>
      <c r="N10" s="698"/>
      <c r="O10" s="698"/>
      <c r="P10" s="697"/>
      <c r="Q10" s="698"/>
      <c r="R10" s="697"/>
      <c r="S10" s="699"/>
      <c r="T10" s="698"/>
      <c r="U10" s="698"/>
      <c r="V10" s="697"/>
      <c r="W10" s="698"/>
      <c r="X10" s="697"/>
      <c r="Y10" s="698"/>
      <c r="Z10" s="697"/>
      <c r="AA10" s="698"/>
      <c r="AB10" s="697"/>
      <c r="AC10" s="698"/>
      <c r="AD10" s="697"/>
      <c r="AE10" s="698"/>
      <c r="AF10" s="697"/>
      <c r="AG10" s="699"/>
      <c r="AH10" s="698"/>
      <c r="AI10" s="699"/>
      <c r="AJ10" s="698"/>
      <c r="AK10" s="699"/>
      <c r="AL10" s="698"/>
      <c r="AM10" s="699"/>
      <c r="AN10" s="698"/>
      <c r="AO10" s="699"/>
    </row>
    <row r="11" spans="1:41">
      <c r="A11" s="305">
        <v>11</v>
      </c>
      <c r="B11" s="697">
        <v>0.65300000000000002</v>
      </c>
      <c r="C11" s="698">
        <v>1.01</v>
      </c>
      <c r="D11" s="697">
        <v>0.51900000000000002</v>
      </c>
      <c r="E11" s="699">
        <v>1.2969999999999999</v>
      </c>
      <c r="F11" s="698">
        <v>0.39600000000000002</v>
      </c>
      <c r="G11" s="698">
        <v>1.64</v>
      </c>
      <c r="H11" s="697">
        <v>0.28599999999999998</v>
      </c>
      <c r="I11" s="699">
        <v>2.0299999999999998</v>
      </c>
      <c r="J11" s="698">
        <v>0.193</v>
      </c>
      <c r="K11" s="698">
        <v>2.4529999999999998</v>
      </c>
      <c r="L11" s="697">
        <v>0.124</v>
      </c>
      <c r="M11" s="699">
        <v>2.8919999999999999</v>
      </c>
      <c r="N11" s="698"/>
      <c r="O11" s="698"/>
      <c r="P11" s="697"/>
      <c r="Q11" s="698"/>
      <c r="R11" s="697"/>
      <c r="S11" s="699"/>
      <c r="T11" s="698"/>
      <c r="U11" s="698"/>
      <c r="V11" s="697"/>
      <c r="W11" s="698"/>
      <c r="X11" s="697"/>
      <c r="Y11" s="698"/>
      <c r="Z11" s="697"/>
      <c r="AA11" s="698"/>
      <c r="AB11" s="697"/>
      <c r="AC11" s="698"/>
      <c r="AD11" s="697"/>
      <c r="AE11" s="698"/>
      <c r="AF11" s="697"/>
      <c r="AG11" s="699"/>
      <c r="AH11" s="698"/>
      <c r="AI11" s="699"/>
      <c r="AJ11" s="698"/>
      <c r="AK11" s="699"/>
      <c r="AL11" s="698"/>
      <c r="AM11" s="699"/>
      <c r="AN11" s="698"/>
      <c r="AO11" s="699"/>
    </row>
    <row r="12" spans="1:41">
      <c r="A12" s="305">
        <v>12</v>
      </c>
      <c r="B12" s="697">
        <v>0.69699999999999995</v>
      </c>
      <c r="C12" s="698">
        <v>1.0229999999999999</v>
      </c>
      <c r="D12" s="697">
        <v>0.56899999999999995</v>
      </c>
      <c r="E12" s="699">
        <v>1.274</v>
      </c>
      <c r="F12" s="698">
        <v>0.44900000000000001</v>
      </c>
      <c r="G12" s="698">
        <v>1.575</v>
      </c>
      <c r="H12" s="697">
        <v>0.33900000000000002</v>
      </c>
      <c r="I12" s="699">
        <v>1.913</v>
      </c>
      <c r="J12" s="698">
        <v>0.24399999999999999</v>
      </c>
      <c r="K12" s="698">
        <v>2.2799999999999998</v>
      </c>
      <c r="L12" s="697">
        <v>0.16400000000000001</v>
      </c>
      <c r="M12" s="699">
        <v>2.665</v>
      </c>
      <c r="N12" s="698">
        <v>0.105</v>
      </c>
      <c r="O12" s="698">
        <v>3.0529999999999999</v>
      </c>
      <c r="P12" s="697"/>
      <c r="Q12" s="698"/>
      <c r="R12" s="697"/>
      <c r="S12" s="699"/>
      <c r="T12" s="698"/>
      <c r="U12" s="698"/>
      <c r="V12" s="697"/>
      <c r="W12" s="698"/>
      <c r="X12" s="697"/>
      <c r="Y12" s="698"/>
      <c r="Z12" s="697"/>
      <c r="AA12" s="698"/>
      <c r="AB12" s="697"/>
      <c r="AC12" s="698"/>
      <c r="AD12" s="697"/>
      <c r="AE12" s="698"/>
      <c r="AF12" s="697"/>
      <c r="AG12" s="699"/>
      <c r="AH12" s="698"/>
      <c r="AI12" s="699"/>
      <c r="AJ12" s="698"/>
      <c r="AK12" s="699"/>
      <c r="AL12" s="698"/>
      <c r="AM12" s="699"/>
      <c r="AN12" s="698"/>
      <c r="AO12" s="699"/>
    </row>
    <row r="13" spans="1:41">
      <c r="A13" s="305">
        <v>13</v>
      </c>
      <c r="B13" s="697">
        <v>0.73799999999999999</v>
      </c>
      <c r="C13" s="698">
        <v>1.038</v>
      </c>
      <c r="D13" s="697">
        <v>0.61599999999999999</v>
      </c>
      <c r="E13" s="699">
        <v>1.2609999999999999</v>
      </c>
      <c r="F13" s="698">
        <v>0.499</v>
      </c>
      <c r="G13" s="698">
        <v>1.526</v>
      </c>
      <c r="H13" s="697">
        <v>0.39100000000000001</v>
      </c>
      <c r="I13" s="699">
        <v>1.8260000000000001</v>
      </c>
      <c r="J13" s="698">
        <v>0.29399999999999998</v>
      </c>
      <c r="K13" s="698">
        <v>2.15</v>
      </c>
      <c r="L13" s="697">
        <v>0.21099999999999999</v>
      </c>
      <c r="M13" s="699">
        <v>2.4900000000000002</v>
      </c>
      <c r="N13" s="698">
        <v>0.14000000000000001</v>
      </c>
      <c r="O13" s="698">
        <v>2.8380000000000001</v>
      </c>
      <c r="P13" s="697">
        <v>0.09</v>
      </c>
      <c r="Q13" s="698">
        <v>3.1819999999999999</v>
      </c>
      <c r="R13" s="697"/>
      <c r="S13" s="699"/>
      <c r="T13" s="698"/>
      <c r="U13" s="698"/>
      <c r="V13" s="697"/>
      <c r="W13" s="698"/>
      <c r="X13" s="697"/>
      <c r="Y13" s="698"/>
      <c r="Z13" s="697"/>
      <c r="AA13" s="698"/>
      <c r="AB13" s="697"/>
      <c r="AC13" s="698"/>
      <c r="AD13" s="697"/>
      <c r="AE13" s="698"/>
      <c r="AF13" s="697"/>
      <c r="AG13" s="699"/>
      <c r="AH13" s="698"/>
      <c r="AI13" s="699"/>
      <c r="AJ13" s="698"/>
      <c r="AK13" s="699"/>
      <c r="AL13" s="698"/>
      <c r="AM13" s="699"/>
      <c r="AN13" s="698"/>
      <c r="AO13" s="699"/>
    </row>
    <row r="14" spans="1:41">
      <c r="A14" s="305">
        <v>14</v>
      </c>
      <c r="B14" s="697">
        <v>0.77600000000000002</v>
      </c>
      <c r="C14" s="698">
        <v>1.054</v>
      </c>
      <c r="D14" s="697">
        <v>0.66</v>
      </c>
      <c r="E14" s="699">
        <v>1.254</v>
      </c>
      <c r="F14" s="698">
        <v>0.54700000000000004</v>
      </c>
      <c r="G14" s="698">
        <v>1.49</v>
      </c>
      <c r="H14" s="697">
        <v>0.441</v>
      </c>
      <c r="I14" s="699">
        <v>1.7569999999999999</v>
      </c>
      <c r="J14" s="698">
        <v>0.34300000000000003</v>
      </c>
      <c r="K14" s="698">
        <v>2.0489999999999999</v>
      </c>
      <c r="L14" s="697">
        <v>0.25700000000000001</v>
      </c>
      <c r="M14" s="699">
        <v>2.3540000000000001</v>
      </c>
      <c r="N14" s="698">
        <v>0.183</v>
      </c>
      <c r="O14" s="698">
        <v>2.6669999999999998</v>
      </c>
      <c r="P14" s="697">
        <v>0.122</v>
      </c>
      <c r="Q14" s="698">
        <v>2.9809999999999999</v>
      </c>
      <c r="R14" s="697">
        <v>7.8E-2</v>
      </c>
      <c r="S14" s="699">
        <v>3.2869999999999999</v>
      </c>
      <c r="T14" s="698"/>
      <c r="U14" s="698"/>
      <c r="V14" s="697"/>
      <c r="W14" s="698"/>
      <c r="X14" s="697"/>
      <c r="Y14" s="698"/>
      <c r="Z14" s="697"/>
      <c r="AA14" s="698"/>
      <c r="AB14" s="697"/>
      <c r="AC14" s="698"/>
      <c r="AD14" s="697"/>
      <c r="AE14" s="698"/>
      <c r="AF14" s="697"/>
      <c r="AG14" s="699"/>
      <c r="AH14" s="698"/>
      <c r="AI14" s="699"/>
      <c r="AJ14" s="698"/>
      <c r="AK14" s="699"/>
      <c r="AL14" s="698"/>
      <c r="AM14" s="699"/>
      <c r="AN14" s="698"/>
      <c r="AO14" s="699"/>
    </row>
    <row r="15" spans="1:41">
      <c r="A15" s="305">
        <v>15</v>
      </c>
      <c r="B15" s="697">
        <v>0.81100000000000005</v>
      </c>
      <c r="C15" s="698">
        <v>1.07</v>
      </c>
      <c r="D15" s="697">
        <v>0.7</v>
      </c>
      <c r="E15" s="699">
        <v>1.252</v>
      </c>
      <c r="F15" s="698">
        <v>0.59099999999999997</v>
      </c>
      <c r="G15" s="698">
        <v>1.4650000000000001</v>
      </c>
      <c r="H15" s="697">
        <v>0.48699999999999999</v>
      </c>
      <c r="I15" s="699">
        <v>1.7050000000000001</v>
      </c>
      <c r="J15" s="698">
        <v>0.39</v>
      </c>
      <c r="K15" s="698">
        <v>1.9670000000000001</v>
      </c>
      <c r="L15" s="697">
        <v>0.30299999999999999</v>
      </c>
      <c r="M15" s="699">
        <v>2.2440000000000002</v>
      </c>
      <c r="N15" s="698">
        <v>0.22600000000000001</v>
      </c>
      <c r="O15" s="698">
        <v>2.5299999999999998</v>
      </c>
      <c r="P15" s="697">
        <v>0.161</v>
      </c>
      <c r="Q15" s="698">
        <v>2.8170000000000002</v>
      </c>
      <c r="R15" s="697">
        <v>0.107</v>
      </c>
      <c r="S15" s="699">
        <v>3.101</v>
      </c>
      <c r="T15" s="698">
        <v>6.8000000000000005E-2</v>
      </c>
      <c r="U15" s="698">
        <v>3.3740000000000001</v>
      </c>
      <c r="V15" s="697"/>
      <c r="W15" s="698"/>
      <c r="X15" s="697"/>
      <c r="Y15" s="698"/>
      <c r="Z15" s="697"/>
      <c r="AA15" s="698"/>
      <c r="AB15" s="697"/>
      <c r="AC15" s="698"/>
      <c r="AD15" s="697"/>
      <c r="AE15" s="698"/>
      <c r="AF15" s="697"/>
      <c r="AG15" s="699"/>
      <c r="AH15" s="698"/>
      <c r="AI15" s="699"/>
      <c r="AJ15" s="698"/>
      <c r="AK15" s="699"/>
      <c r="AL15" s="698"/>
      <c r="AM15" s="699"/>
      <c r="AN15" s="698"/>
      <c r="AO15" s="699"/>
    </row>
    <row r="16" spans="1:41">
      <c r="A16" s="305">
        <v>16</v>
      </c>
      <c r="B16" s="697">
        <v>0.84399999999999997</v>
      </c>
      <c r="C16" s="698">
        <v>1.0860000000000001</v>
      </c>
      <c r="D16" s="697">
        <v>0.73799999999999999</v>
      </c>
      <c r="E16" s="699">
        <v>1.2529999999999999</v>
      </c>
      <c r="F16" s="698">
        <v>0.63300000000000001</v>
      </c>
      <c r="G16" s="698">
        <v>1.4470000000000001</v>
      </c>
      <c r="H16" s="697">
        <v>0.53200000000000003</v>
      </c>
      <c r="I16" s="699">
        <v>1.6639999999999999</v>
      </c>
      <c r="J16" s="698">
        <v>0.437</v>
      </c>
      <c r="K16" s="698">
        <v>1.901</v>
      </c>
      <c r="L16" s="697">
        <v>0.34899999999999998</v>
      </c>
      <c r="M16" s="699">
        <v>2.153</v>
      </c>
      <c r="N16" s="698">
        <v>0.26900000000000002</v>
      </c>
      <c r="O16" s="698">
        <v>2.4159999999999999</v>
      </c>
      <c r="P16" s="697">
        <v>0.2</v>
      </c>
      <c r="Q16" s="698">
        <v>2.681</v>
      </c>
      <c r="R16" s="697">
        <v>0.14199999999999999</v>
      </c>
      <c r="S16" s="699">
        <v>2.944</v>
      </c>
      <c r="T16" s="698">
        <v>9.4E-2</v>
      </c>
      <c r="U16" s="698">
        <v>3.2010000000000001</v>
      </c>
      <c r="V16" s="697">
        <v>0.06</v>
      </c>
      <c r="W16" s="698">
        <v>3.4460000000000002</v>
      </c>
      <c r="X16" s="697"/>
      <c r="Y16" s="698"/>
      <c r="Z16" s="697"/>
      <c r="AA16" s="698"/>
      <c r="AB16" s="697"/>
      <c r="AC16" s="698"/>
      <c r="AD16" s="697"/>
      <c r="AE16" s="698"/>
      <c r="AF16" s="697"/>
      <c r="AG16" s="699"/>
      <c r="AH16" s="698"/>
      <c r="AI16" s="699"/>
      <c r="AJ16" s="698"/>
      <c r="AK16" s="699"/>
      <c r="AL16" s="698"/>
      <c r="AM16" s="699"/>
      <c r="AN16" s="698"/>
      <c r="AO16" s="699"/>
    </row>
    <row r="17" spans="1:41">
      <c r="A17" s="305">
        <v>17</v>
      </c>
      <c r="B17" s="697">
        <v>0.873</v>
      </c>
      <c r="C17" s="698">
        <v>1.1020000000000001</v>
      </c>
      <c r="D17" s="697">
        <v>0.77300000000000002</v>
      </c>
      <c r="E17" s="699">
        <v>1.2549999999999999</v>
      </c>
      <c r="F17" s="698">
        <v>0.67200000000000004</v>
      </c>
      <c r="G17" s="698">
        <v>1.4319999999999999</v>
      </c>
      <c r="H17" s="697">
        <v>0.57399999999999995</v>
      </c>
      <c r="I17" s="699">
        <v>1.631</v>
      </c>
      <c r="J17" s="698">
        <v>0.48099999999999998</v>
      </c>
      <c r="K17" s="698">
        <v>1.847</v>
      </c>
      <c r="L17" s="697">
        <v>0.39300000000000002</v>
      </c>
      <c r="M17" s="699">
        <v>2.0779999999999998</v>
      </c>
      <c r="N17" s="698">
        <v>0.313</v>
      </c>
      <c r="O17" s="698">
        <v>2.319</v>
      </c>
      <c r="P17" s="697">
        <v>0.24099999999999999</v>
      </c>
      <c r="Q17" s="698">
        <v>2.5659999999999998</v>
      </c>
      <c r="R17" s="697">
        <v>0.17899999999999999</v>
      </c>
      <c r="S17" s="699">
        <v>2.8109999999999999</v>
      </c>
      <c r="T17" s="698">
        <v>0.127</v>
      </c>
      <c r="U17" s="698">
        <v>3.0529999999999999</v>
      </c>
      <c r="V17" s="697">
        <v>8.4000000000000005E-2</v>
      </c>
      <c r="W17" s="698">
        <v>3.286</v>
      </c>
      <c r="X17" s="697">
        <v>5.2999999999999999E-2</v>
      </c>
      <c r="Y17" s="698">
        <v>3.5059999999999998</v>
      </c>
      <c r="Z17" s="697"/>
      <c r="AA17" s="698"/>
      <c r="AB17" s="697"/>
      <c r="AC17" s="698"/>
      <c r="AD17" s="697"/>
      <c r="AE17" s="698"/>
      <c r="AF17" s="697"/>
      <c r="AG17" s="699"/>
      <c r="AH17" s="698"/>
      <c r="AI17" s="699"/>
      <c r="AJ17" s="698"/>
      <c r="AK17" s="699"/>
      <c r="AL17" s="698"/>
      <c r="AM17" s="699"/>
      <c r="AN17" s="698"/>
      <c r="AO17" s="699"/>
    </row>
    <row r="18" spans="1:41">
      <c r="A18" s="305">
        <v>18</v>
      </c>
      <c r="B18" s="697">
        <v>0.90200000000000002</v>
      </c>
      <c r="C18" s="698">
        <v>1.1180000000000001</v>
      </c>
      <c r="D18" s="697">
        <v>0.80500000000000005</v>
      </c>
      <c r="E18" s="699">
        <v>1.2589999999999999</v>
      </c>
      <c r="F18" s="698">
        <v>0.70799999999999996</v>
      </c>
      <c r="G18" s="698">
        <v>1.4219999999999999</v>
      </c>
      <c r="H18" s="697">
        <v>0.61399999999999999</v>
      </c>
      <c r="I18" s="699">
        <v>1.6040000000000001</v>
      </c>
      <c r="J18" s="698">
        <v>0.52200000000000002</v>
      </c>
      <c r="K18" s="698">
        <v>1.8029999999999999</v>
      </c>
      <c r="L18" s="697">
        <v>0.435</v>
      </c>
      <c r="M18" s="699">
        <v>2.0150000000000001</v>
      </c>
      <c r="N18" s="698">
        <v>0.35499999999999998</v>
      </c>
      <c r="O18" s="698">
        <v>2.238</v>
      </c>
      <c r="P18" s="697">
        <v>0.28199999999999997</v>
      </c>
      <c r="Q18" s="698">
        <v>2.4670000000000001</v>
      </c>
      <c r="R18" s="697">
        <v>0.216</v>
      </c>
      <c r="S18" s="699">
        <v>2.6970000000000001</v>
      </c>
      <c r="T18" s="698">
        <v>0.16</v>
      </c>
      <c r="U18" s="698">
        <v>2.9249999999999998</v>
      </c>
      <c r="V18" s="697">
        <v>0.113</v>
      </c>
      <c r="W18" s="698">
        <v>3.1459999999999999</v>
      </c>
      <c r="X18" s="697">
        <v>7.4999999999999997E-2</v>
      </c>
      <c r="Y18" s="698">
        <v>3.3580000000000001</v>
      </c>
      <c r="Z18" s="697">
        <v>4.7E-2</v>
      </c>
      <c r="AA18" s="698">
        <v>3.5569999999999999</v>
      </c>
      <c r="AB18" s="697"/>
      <c r="AC18" s="698"/>
      <c r="AD18" s="697"/>
      <c r="AE18" s="698"/>
      <c r="AF18" s="697"/>
      <c r="AG18" s="699"/>
      <c r="AH18" s="698"/>
      <c r="AI18" s="699"/>
      <c r="AJ18" s="698"/>
      <c r="AK18" s="699"/>
      <c r="AL18" s="698"/>
      <c r="AM18" s="699"/>
      <c r="AN18" s="698"/>
      <c r="AO18" s="699"/>
    </row>
    <row r="19" spans="1:41">
      <c r="A19" s="305">
        <v>19</v>
      </c>
      <c r="B19" s="697">
        <v>0.92800000000000005</v>
      </c>
      <c r="C19" s="698">
        <v>1.133</v>
      </c>
      <c r="D19" s="697">
        <v>0.83499999999999996</v>
      </c>
      <c r="E19" s="699">
        <v>1.264</v>
      </c>
      <c r="F19" s="698">
        <v>0.74199999999999999</v>
      </c>
      <c r="G19" s="698">
        <v>1.4159999999999999</v>
      </c>
      <c r="H19" s="697">
        <v>0.65</v>
      </c>
      <c r="I19" s="699">
        <v>1.583</v>
      </c>
      <c r="J19" s="698">
        <v>0.56100000000000005</v>
      </c>
      <c r="K19" s="698">
        <v>1.7669999999999999</v>
      </c>
      <c r="L19" s="697">
        <v>0.47599999999999998</v>
      </c>
      <c r="M19" s="699">
        <v>1.9630000000000001</v>
      </c>
      <c r="N19" s="698">
        <v>0.39600000000000002</v>
      </c>
      <c r="O19" s="698">
        <v>2.169</v>
      </c>
      <c r="P19" s="697">
        <v>0.32200000000000001</v>
      </c>
      <c r="Q19" s="698">
        <v>2.3809999999999998</v>
      </c>
      <c r="R19" s="697">
        <v>0.255</v>
      </c>
      <c r="S19" s="699">
        <v>2.597</v>
      </c>
      <c r="T19" s="698">
        <v>0.19600000000000001</v>
      </c>
      <c r="U19" s="698">
        <v>2.8130000000000002</v>
      </c>
      <c r="V19" s="697">
        <v>0.14499999999999999</v>
      </c>
      <c r="W19" s="698">
        <v>3.0230000000000001</v>
      </c>
      <c r="X19" s="697">
        <v>0.10199999999999999</v>
      </c>
      <c r="Y19" s="698">
        <v>3.2269999999999999</v>
      </c>
      <c r="Z19" s="697">
        <v>6.7000000000000004E-2</v>
      </c>
      <c r="AA19" s="698">
        <v>3.42</v>
      </c>
      <c r="AB19" s="697">
        <v>4.2999999999999997E-2</v>
      </c>
      <c r="AC19" s="698">
        <v>3.601</v>
      </c>
      <c r="AD19" s="697"/>
      <c r="AE19" s="698"/>
      <c r="AF19" s="697"/>
      <c r="AG19" s="699"/>
      <c r="AH19" s="698"/>
      <c r="AI19" s="699"/>
      <c r="AJ19" s="698"/>
      <c r="AK19" s="699"/>
      <c r="AL19" s="698"/>
      <c r="AM19" s="699"/>
      <c r="AN19" s="698"/>
      <c r="AO19" s="699"/>
    </row>
    <row r="20" spans="1:41">
      <c r="A20" s="305">
        <v>20</v>
      </c>
      <c r="B20" s="697">
        <v>0.95199999999999996</v>
      </c>
      <c r="C20" s="698">
        <v>1.147</v>
      </c>
      <c r="D20" s="697">
        <v>0.86199999999999999</v>
      </c>
      <c r="E20" s="699">
        <v>1.27</v>
      </c>
      <c r="F20" s="698">
        <v>0.77400000000000002</v>
      </c>
      <c r="G20" s="698">
        <v>1.41</v>
      </c>
      <c r="H20" s="697">
        <v>0.68400000000000005</v>
      </c>
      <c r="I20" s="699">
        <v>1.5669999999999999</v>
      </c>
      <c r="J20" s="698">
        <v>0.59799999999999998</v>
      </c>
      <c r="K20" s="698">
        <v>1.736</v>
      </c>
      <c r="L20" s="697">
        <v>0.51500000000000001</v>
      </c>
      <c r="M20" s="699">
        <v>1.9179999999999999</v>
      </c>
      <c r="N20" s="698">
        <v>0.436</v>
      </c>
      <c r="O20" s="698">
        <v>2.11</v>
      </c>
      <c r="P20" s="697">
        <v>0.36199999999999999</v>
      </c>
      <c r="Q20" s="698">
        <v>2.3079999999999998</v>
      </c>
      <c r="R20" s="697">
        <v>0.29399999999999998</v>
      </c>
      <c r="S20" s="699">
        <v>2.5099999999999998</v>
      </c>
      <c r="T20" s="698">
        <v>0.23200000000000001</v>
      </c>
      <c r="U20" s="698">
        <v>2.1739999999999999</v>
      </c>
      <c r="V20" s="697">
        <v>0.17799999999999999</v>
      </c>
      <c r="W20" s="698">
        <v>2.9140000000000001</v>
      </c>
      <c r="X20" s="697">
        <v>0.13100000000000001</v>
      </c>
      <c r="Y20" s="698">
        <v>3.109</v>
      </c>
      <c r="Z20" s="697">
        <v>9.1999999999999998E-2</v>
      </c>
      <c r="AA20" s="698">
        <v>3.2970000000000002</v>
      </c>
      <c r="AB20" s="697">
        <v>6.0999999999999999E-2</v>
      </c>
      <c r="AC20" s="698">
        <v>3.4740000000000002</v>
      </c>
      <c r="AD20" s="697">
        <v>3.7999999999999999E-2</v>
      </c>
      <c r="AE20" s="698">
        <v>3.6389999999999998</v>
      </c>
      <c r="AF20" s="697"/>
      <c r="AG20" s="699"/>
      <c r="AH20" s="698"/>
      <c r="AI20" s="699"/>
      <c r="AJ20" s="698"/>
      <c r="AK20" s="699"/>
      <c r="AL20" s="698"/>
      <c r="AM20" s="699"/>
      <c r="AN20" s="698"/>
      <c r="AO20" s="699"/>
    </row>
    <row r="21" spans="1:41">
      <c r="A21" s="305">
        <v>21</v>
      </c>
      <c r="B21" s="697">
        <v>0.97499999999999998</v>
      </c>
      <c r="C21" s="698">
        <v>1.161</v>
      </c>
      <c r="D21" s="697">
        <v>0.88900000000000001</v>
      </c>
      <c r="E21" s="699">
        <v>1.276</v>
      </c>
      <c r="F21" s="698">
        <v>0.80300000000000005</v>
      </c>
      <c r="G21" s="698">
        <v>1.4079999999999999</v>
      </c>
      <c r="H21" s="697">
        <v>0.71799999999999997</v>
      </c>
      <c r="I21" s="699">
        <v>1.554</v>
      </c>
      <c r="J21" s="698">
        <v>0.63400000000000001</v>
      </c>
      <c r="K21" s="698">
        <v>1.712</v>
      </c>
      <c r="L21" s="697">
        <v>0.55200000000000005</v>
      </c>
      <c r="M21" s="699">
        <v>1.881</v>
      </c>
      <c r="N21" s="698">
        <v>0.47399999999999998</v>
      </c>
      <c r="O21" s="698">
        <v>2.0590000000000002</v>
      </c>
      <c r="P21" s="697">
        <v>0.4</v>
      </c>
      <c r="Q21" s="698">
        <v>2.2440000000000002</v>
      </c>
      <c r="R21" s="697">
        <v>0.33100000000000002</v>
      </c>
      <c r="S21" s="699">
        <v>2.4340000000000002</v>
      </c>
      <c r="T21" s="698">
        <v>0.26800000000000002</v>
      </c>
      <c r="U21" s="698">
        <v>2.625</v>
      </c>
      <c r="V21" s="697">
        <v>0.21199999999999999</v>
      </c>
      <c r="W21" s="698">
        <v>2.8170000000000002</v>
      </c>
      <c r="X21" s="697">
        <v>0.16200000000000001</v>
      </c>
      <c r="Y21" s="698">
        <v>3.004</v>
      </c>
      <c r="Z21" s="697">
        <v>0.11899999999999999</v>
      </c>
      <c r="AA21" s="698">
        <v>3.1850000000000001</v>
      </c>
      <c r="AB21" s="697">
        <v>8.4000000000000005E-2</v>
      </c>
      <c r="AC21" s="698">
        <v>3.3580000000000001</v>
      </c>
      <c r="AD21" s="697">
        <v>5.5E-2</v>
      </c>
      <c r="AE21" s="698">
        <v>3.5209999999999999</v>
      </c>
      <c r="AF21" s="697">
        <v>3.5000000000000003E-2</v>
      </c>
      <c r="AG21" s="699">
        <v>3.6709999999999998</v>
      </c>
      <c r="AH21" s="698"/>
      <c r="AI21" s="699"/>
      <c r="AJ21" s="698"/>
      <c r="AK21" s="699"/>
      <c r="AL21" s="698"/>
      <c r="AM21" s="699"/>
      <c r="AN21" s="698"/>
      <c r="AO21" s="699"/>
    </row>
    <row r="22" spans="1:41">
      <c r="A22" s="305">
        <v>22</v>
      </c>
      <c r="B22" s="697">
        <v>0.997</v>
      </c>
      <c r="C22" s="698">
        <v>1.1739999999999999</v>
      </c>
      <c r="D22" s="697">
        <v>0.91500000000000004</v>
      </c>
      <c r="E22" s="699">
        <v>1.284</v>
      </c>
      <c r="F22" s="698">
        <v>0.83199999999999996</v>
      </c>
      <c r="G22" s="698">
        <v>1.407</v>
      </c>
      <c r="H22" s="697">
        <v>0.748</v>
      </c>
      <c r="I22" s="699">
        <v>1.5429999999999999</v>
      </c>
      <c r="J22" s="698">
        <v>0.66600000000000004</v>
      </c>
      <c r="K22" s="698">
        <v>1.6910000000000001</v>
      </c>
      <c r="L22" s="697">
        <v>0.58699999999999997</v>
      </c>
      <c r="M22" s="699">
        <v>1.849</v>
      </c>
      <c r="N22" s="698">
        <v>0.51</v>
      </c>
      <c r="O22" s="698">
        <v>2.0150000000000001</v>
      </c>
      <c r="P22" s="697">
        <v>0.437</v>
      </c>
      <c r="Q22" s="698">
        <v>2.1880000000000002</v>
      </c>
      <c r="R22" s="697">
        <v>0.36799999999999999</v>
      </c>
      <c r="S22" s="699">
        <v>2.367</v>
      </c>
      <c r="T22" s="698">
        <v>0.30399999999999999</v>
      </c>
      <c r="U22" s="698">
        <v>2.548</v>
      </c>
      <c r="V22" s="697">
        <v>0.246</v>
      </c>
      <c r="W22" s="698">
        <v>2.7290000000000001</v>
      </c>
      <c r="X22" s="697">
        <v>0.19400000000000001</v>
      </c>
      <c r="Y22" s="698">
        <v>2.9089999999999998</v>
      </c>
      <c r="Z22" s="697">
        <v>0.14799999999999999</v>
      </c>
      <c r="AA22" s="698">
        <v>3.0840000000000001</v>
      </c>
      <c r="AB22" s="697">
        <v>0.109</v>
      </c>
      <c r="AC22" s="698">
        <v>3.2519999999999998</v>
      </c>
      <c r="AD22" s="697">
        <v>7.6999999999999999E-2</v>
      </c>
      <c r="AE22" s="698">
        <v>3.4119999999999999</v>
      </c>
      <c r="AF22" s="697">
        <v>0.05</v>
      </c>
      <c r="AG22" s="699">
        <v>3.5619999999999998</v>
      </c>
      <c r="AH22" s="698">
        <v>3.2000000000000001E-2</v>
      </c>
      <c r="AI22" s="699">
        <v>3.7</v>
      </c>
      <c r="AJ22" s="698"/>
      <c r="AK22" s="699"/>
      <c r="AL22" s="698"/>
      <c r="AM22" s="699"/>
      <c r="AN22" s="698"/>
      <c r="AO22" s="699"/>
    </row>
    <row r="23" spans="1:41">
      <c r="A23" s="305">
        <v>23</v>
      </c>
      <c r="B23" s="697">
        <v>1.0169999999999999</v>
      </c>
      <c r="C23" s="698">
        <v>1.1859999999999999</v>
      </c>
      <c r="D23" s="697">
        <v>0.93799999999999994</v>
      </c>
      <c r="E23" s="699">
        <v>1.29</v>
      </c>
      <c r="F23" s="698">
        <v>0.85799999999999998</v>
      </c>
      <c r="G23" s="698">
        <v>1.407</v>
      </c>
      <c r="H23" s="697">
        <v>0.77700000000000002</v>
      </c>
      <c r="I23" s="699">
        <v>1.5349999999999999</v>
      </c>
      <c r="J23" s="698">
        <v>0.69899999999999995</v>
      </c>
      <c r="K23" s="698">
        <v>1.6739999999999999</v>
      </c>
      <c r="L23" s="697">
        <v>0.62</v>
      </c>
      <c r="M23" s="699">
        <v>1.821</v>
      </c>
      <c r="N23" s="698">
        <v>0.54500000000000004</v>
      </c>
      <c r="O23" s="698">
        <v>1.9770000000000001</v>
      </c>
      <c r="P23" s="697">
        <v>0.47299999999999998</v>
      </c>
      <c r="Q23" s="698">
        <v>2.14</v>
      </c>
      <c r="R23" s="697">
        <v>0.40400000000000003</v>
      </c>
      <c r="S23" s="699">
        <v>2.3079999999999998</v>
      </c>
      <c r="T23" s="698">
        <v>0.34</v>
      </c>
      <c r="U23" s="698">
        <v>2.4790000000000001</v>
      </c>
      <c r="V23" s="697">
        <v>0.28100000000000003</v>
      </c>
      <c r="W23" s="698">
        <v>2.6509999999999998</v>
      </c>
      <c r="X23" s="697">
        <v>0.22700000000000001</v>
      </c>
      <c r="Y23" s="698">
        <v>2.8220000000000001</v>
      </c>
      <c r="Z23" s="697">
        <v>0.17799999999999999</v>
      </c>
      <c r="AA23" s="698">
        <v>2.9910000000000001</v>
      </c>
      <c r="AB23" s="697">
        <v>0.13600000000000001</v>
      </c>
      <c r="AC23" s="698">
        <v>3.1549999999999998</v>
      </c>
      <c r="AD23" s="697">
        <v>0.1</v>
      </c>
      <c r="AE23" s="698">
        <v>3.3109999999999999</v>
      </c>
      <c r="AF23" s="697">
        <v>7.0000000000000007E-2</v>
      </c>
      <c r="AG23" s="699">
        <v>3.4590000000000001</v>
      </c>
      <c r="AH23" s="698">
        <v>4.5999999999999999E-2</v>
      </c>
      <c r="AI23" s="699">
        <v>3.597</v>
      </c>
      <c r="AJ23" s="698">
        <v>2.9000000000000001E-2</v>
      </c>
      <c r="AK23" s="699">
        <v>3.7250000000000001</v>
      </c>
      <c r="AL23" s="698"/>
      <c r="AM23" s="699"/>
      <c r="AN23" s="698"/>
      <c r="AO23" s="699"/>
    </row>
    <row r="24" spans="1:41">
      <c r="A24" s="305">
        <v>24</v>
      </c>
      <c r="B24" s="697">
        <v>1.0369999999999999</v>
      </c>
      <c r="C24" s="698">
        <v>1.1990000000000001</v>
      </c>
      <c r="D24" s="697">
        <v>0.95899999999999996</v>
      </c>
      <c r="E24" s="699">
        <v>1.298</v>
      </c>
      <c r="F24" s="698">
        <v>0.88100000000000001</v>
      </c>
      <c r="G24" s="698">
        <v>1.407</v>
      </c>
      <c r="H24" s="697">
        <v>0.80500000000000005</v>
      </c>
      <c r="I24" s="699">
        <v>1.5269999999999999</v>
      </c>
      <c r="J24" s="698">
        <v>0.72799999999999998</v>
      </c>
      <c r="K24" s="698">
        <v>1.659</v>
      </c>
      <c r="L24" s="697">
        <v>0.65200000000000002</v>
      </c>
      <c r="M24" s="699">
        <v>1.7969999999999999</v>
      </c>
      <c r="N24" s="698">
        <v>0.57799999999999996</v>
      </c>
      <c r="O24" s="698">
        <v>1.944</v>
      </c>
      <c r="P24" s="697">
        <v>0.50700000000000001</v>
      </c>
      <c r="Q24" s="698">
        <v>2.097</v>
      </c>
      <c r="R24" s="697">
        <v>0.439</v>
      </c>
      <c r="S24" s="699">
        <v>2.2549999999999999</v>
      </c>
      <c r="T24" s="698">
        <v>0.375</v>
      </c>
      <c r="U24" s="698">
        <v>2.4169999999999998</v>
      </c>
      <c r="V24" s="697">
        <v>0.315</v>
      </c>
      <c r="W24" s="698">
        <v>2.58</v>
      </c>
      <c r="X24" s="697">
        <v>0.26</v>
      </c>
      <c r="Y24" s="698">
        <v>2.7440000000000002</v>
      </c>
      <c r="Z24" s="697">
        <v>0.20899999999999999</v>
      </c>
      <c r="AA24" s="698">
        <v>2.9060000000000001</v>
      </c>
      <c r="AB24" s="697">
        <v>0.16500000000000001</v>
      </c>
      <c r="AC24" s="698">
        <v>3.0649999999999999</v>
      </c>
      <c r="AD24" s="697">
        <v>0.125</v>
      </c>
      <c r="AE24" s="698">
        <v>3.218</v>
      </c>
      <c r="AF24" s="697">
        <v>9.1999999999999998E-2</v>
      </c>
      <c r="AG24" s="699">
        <v>3.363</v>
      </c>
      <c r="AH24" s="698">
        <v>6.5000000000000002E-2</v>
      </c>
      <c r="AI24" s="699">
        <v>3.5009999999999999</v>
      </c>
      <c r="AJ24" s="698">
        <v>4.2999999999999997E-2</v>
      </c>
      <c r="AK24" s="699">
        <v>3.629</v>
      </c>
      <c r="AL24" s="698">
        <v>2.7E-2</v>
      </c>
      <c r="AM24" s="699">
        <v>3.7469999999999999</v>
      </c>
      <c r="AN24" s="698"/>
      <c r="AO24" s="699"/>
    </row>
    <row r="25" spans="1:41">
      <c r="A25" s="305">
        <v>25</v>
      </c>
      <c r="B25" s="697">
        <v>1.0549999999999999</v>
      </c>
      <c r="C25" s="698">
        <v>1.21</v>
      </c>
      <c r="D25" s="697">
        <v>0.98099999999999998</v>
      </c>
      <c r="E25" s="699">
        <v>1.3049999999999999</v>
      </c>
      <c r="F25" s="698">
        <v>0.90600000000000003</v>
      </c>
      <c r="G25" s="698">
        <v>1.4079999999999999</v>
      </c>
      <c r="H25" s="697">
        <v>0.83199999999999996</v>
      </c>
      <c r="I25" s="699">
        <v>1.5209999999999999</v>
      </c>
      <c r="J25" s="698">
        <v>0.75600000000000001</v>
      </c>
      <c r="K25" s="698">
        <v>1.645</v>
      </c>
      <c r="L25" s="697">
        <v>0.68200000000000005</v>
      </c>
      <c r="M25" s="699">
        <v>1.776</v>
      </c>
      <c r="N25" s="698">
        <v>0.61</v>
      </c>
      <c r="O25" s="698">
        <v>1.915</v>
      </c>
      <c r="P25" s="697">
        <v>0.54</v>
      </c>
      <c r="Q25" s="698">
        <v>2.0590000000000002</v>
      </c>
      <c r="R25" s="697">
        <v>0.47299999999999998</v>
      </c>
      <c r="S25" s="699">
        <v>2.2090000000000001</v>
      </c>
      <c r="T25" s="698">
        <v>0.40899999999999997</v>
      </c>
      <c r="U25" s="698">
        <v>2.3620000000000001</v>
      </c>
      <c r="V25" s="697">
        <v>0.34799999999999998</v>
      </c>
      <c r="W25" s="698">
        <v>2.5169999999999999</v>
      </c>
      <c r="X25" s="697">
        <v>0.29199999999999998</v>
      </c>
      <c r="Y25" s="698">
        <v>2.6739999999999999</v>
      </c>
      <c r="Z25" s="697">
        <v>0.24</v>
      </c>
      <c r="AA25" s="698">
        <v>2.8290000000000002</v>
      </c>
      <c r="AB25" s="697">
        <v>0.19400000000000001</v>
      </c>
      <c r="AC25" s="698">
        <v>2.9820000000000002</v>
      </c>
      <c r="AD25" s="697">
        <v>0.152</v>
      </c>
      <c r="AE25" s="698">
        <v>3.1309999999999998</v>
      </c>
      <c r="AF25" s="697">
        <v>0.11600000000000001</v>
      </c>
      <c r="AG25" s="699">
        <v>3.274</v>
      </c>
      <c r="AH25" s="698">
        <v>8.5000000000000006E-2</v>
      </c>
      <c r="AI25" s="699">
        <v>3.41</v>
      </c>
      <c r="AJ25" s="698">
        <v>0.06</v>
      </c>
      <c r="AK25" s="699">
        <v>3.5379999999999998</v>
      </c>
      <c r="AL25" s="698">
        <v>3.9E-2</v>
      </c>
      <c r="AM25" s="699">
        <v>3.657</v>
      </c>
      <c r="AN25" s="698">
        <v>2.5000000000000001E-2</v>
      </c>
      <c r="AO25" s="699">
        <v>3.766</v>
      </c>
    </row>
    <row r="26" spans="1:41">
      <c r="A26" s="305">
        <v>26</v>
      </c>
      <c r="B26" s="697">
        <v>1.0720000000000001</v>
      </c>
      <c r="C26" s="698">
        <v>1.222</v>
      </c>
      <c r="D26" s="697">
        <v>1</v>
      </c>
      <c r="E26" s="699">
        <v>1.3109999999999999</v>
      </c>
      <c r="F26" s="698">
        <v>0.92800000000000005</v>
      </c>
      <c r="G26" s="698">
        <v>1.41</v>
      </c>
      <c r="H26" s="697">
        <v>0.85499999999999998</v>
      </c>
      <c r="I26" s="699">
        <v>1.5169999999999999</v>
      </c>
      <c r="J26" s="698">
        <v>0.78200000000000003</v>
      </c>
      <c r="K26" s="698">
        <v>1.635</v>
      </c>
      <c r="L26" s="697">
        <v>0.71099999999999997</v>
      </c>
      <c r="M26" s="699">
        <v>1.7589999999999999</v>
      </c>
      <c r="N26" s="698">
        <v>0.64</v>
      </c>
      <c r="O26" s="698">
        <v>1.889</v>
      </c>
      <c r="P26" s="697">
        <v>0.57199999999999995</v>
      </c>
      <c r="Q26" s="698">
        <v>2.0259999999999998</v>
      </c>
      <c r="R26" s="697">
        <v>0.505</v>
      </c>
      <c r="S26" s="699">
        <v>2.1680000000000001</v>
      </c>
      <c r="T26" s="698">
        <v>0.441</v>
      </c>
      <c r="U26" s="698">
        <v>2.3130000000000002</v>
      </c>
      <c r="V26" s="697">
        <v>0.38100000000000001</v>
      </c>
      <c r="W26" s="698">
        <v>2.46</v>
      </c>
      <c r="X26" s="697">
        <v>0.32400000000000001</v>
      </c>
      <c r="Y26" s="698">
        <v>2.61</v>
      </c>
      <c r="Z26" s="697">
        <v>0.27200000000000002</v>
      </c>
      <c r="AA26" s="698">
        <v>2.758</v>
      </c>
      <c r="AB26" s="697">
        <v>0.224</v>
      </c>
      <c r="AC26" s="698">
        <v>2.9060000000000001</v>
      </c>
      <c r="AD26" s="697">
        <v>0.18</v>
      </c>
      <c r="AE26" s="698">
        <v>3.05</v>
      </c>
      <c r="AF26" s="697">
        <v>0.14099999999999999</v>
      </c>
      <c r="AG26" s="699">
        <v>3.1909999999999998</v>
      </c>
      <c r="AH26" s="698">
        <v>0.107</v>
      </c>
      <c r="AI26" s="699">
        <v>3.3250000000000002</v>
      </c>
      <c r="AJ26" s="698">
        <v>7.9000000000000001E-2</v>
      </c>
      <c r="AK26" s="699">
        <v>3.452</v>
      </c>
      <c r="AL26" s="698">
        <v>5.5E-2</v>
      </c>
      <c r="AM26" s="699">
        <v>3.5720000000000001</v>
      </c>
      <c r="AN26" s="698">
        <v>3.5999999999999997E-2</v>
      </c>
      <c r="AO26" s="699">
        <v>3.6819999999999999</v>
      </c>
    </row>
    <row r="27" spans="1:41">
      <c r="A27" s="305">
        <v>27</v>
      </c>
      <c r="B27" s="697">
        <v>1.0880000000000001</v>
      </c>
      <c r="C27" s="698">
        <v>1.232</v>
      </c>
      <c r="D27" s="697">
        <v>1.0189999999999999</v>
      </c>
      <c r="E27" s="699">
        <v>1.3180000000000001</v>
      </c>
      <c r="F27" s="698">
        <v>0.94799999999999995</v>
      </c>
      <c r="G27" s="698">
        <v>1.413</v>
      </c>
      <c r="H27" s="697">
        <v>0.878</v>
      </c>
      <c r="I27" s="699">
        <v>1.514</v>
      </c>
      <c r="J27" s="698">
        <v>0.80800000000000005</v>
      </c>
      <c r="K27" s="698">
        <v>1.625</v>
      </c>
      <c r="L27" s="697">
        <v>0.73799999999999999</v>
      </c>
      <c r="M27" s="699">
        <v>1.7430000000000001</v>
      </c>
      <c r="N27" s="698">
        <v>0.66900000000000004</v>
      </c>
      <c r="O27" s="698">
        <v>1.867</v>
      </c>
      <c r="P27" s="697">
        <v>0.60199999999999998</v>
      </c>
      <c r="Q27" s="698">
        <v>1.9970000000000001</v>
      </c>
      <c r="R27" s="697">
        <v>0.53600000000000003</v>
      </c>
      <c r="S27" s="699">
        <v>2.1309999999999998</v>
      </c>
      <c r="T27" s="698">
        <v>0.47299999999999998</v>
      </c>
      <c r="U27" s="698">
        <v>2.2690000000000001</v>
      </c>
      <c r="V27" s="697">
        <v>0.41299999999999998</v>
      </c>
      <c r="W27" s="698">
        <v>2.4089999999999998</v>
      </c>
      <c r="X27" s="697">
        <v>0.35599999999999998</v>
      </c>
      <c r="Y27" s="698">
        <v>2.552</v>
      </c>
      <c r="Z27" s="697">
        <v>0.30299999999999999</v>
      </c>
      <c r="AA27" s="698">
        <v>2.694</v>
      </c>
      <c r="AB27" s="697">
        <v>0.253</v>
      </c>
      <c r="AC27" s="698">
        <v>2.8359999999999999</v>
      </c>
      <c r="AD27" s="697">
        <v>0.20799999999999999</v>
      </c>
      <c r="AE27" s="698">
        <v>2.976</v>
      </c>
      <c r="AF27" s="697">
        <v>0.16700000000000001</v>
      </c>
      <c r="AG27" s="699">
        <v>3.113</v>
      </c>
      <c r="AH27" s="698">
        <v>0.13100000000000001</v>
      </c>
      <c r="AI27" s="699">
        <v>3.2450000000000001</v>
      </c>
      <c r="AJ27" s="698">
        <v>0.1</v>
      </c>
      <c r="AK27" s="699">
        <v>3.371</v>
      </c>
      <c r="AL27" s="698">
        <v>7.2999999999999995E-2</v>
      </c>
      <c r="AM27" s="699">
        <v>3.49</v>
      </c>
      <c r="AN27" s="698">
        <v>5.0999999999999997E-2</v>
      </c>
      <c r="AO27" s="699">
        <v>3.6019999999999999</v>
      </c>
    </row>
    <row r="28" spans="1:41">
      <c r="A28" s="305">
        <v>28</v>
      </c>
      <c r="B28" s="697">
        <v>1.1040000000000001</v>
      </c>
      <c r="C28" s="698">
        <v>1.244</v>
      </c>
      <c r="D28" s="697">
        <v>1.036</v>
      </c>
      <c r="E28" s="699">
        <v>1.325</v>
      </c>
      <c r="F28" s="698">
        <v>0.96899999999999997</v>
      </c>
      <c r="G28" s="698">
        <v>1.4139999999999999</v>
      </c>
      <c r="H28" s="697">
        <v>0.90100000000000002</v>
      </c>
      <c r="I28" s="699">
        <v>1.512</v>
      </c>
      <c r="J28" s="698">
        <v>0.83199999999999996</v>
      </c>
      <c r="K28" s="698">
        <v>1.6180000000000001</v>
      </c>
      <c r="L28" s="697">
        <v>0.76400000000000001</v>
      </c>
      <c r="M28" s="699">
        <v>1.7290000000000001</v>
      </c>
      <c r="N28" s="698">
        <v>0.69599999999999995</v>
      </c>
      <c r="O28" s="698">
        <v>1.847</v>
      </c>
      <c r="P28" s="697">
        <v>0.63</v>
      </c>
      <c r="Q28" s="698">
        <v>1.97</v>
      </c>
      <c r="R28" s="697">
        <v>0.56599999999999995</v>
      </c>
      <c r="S28" s="699">
        <v>2.0979999999999999</v>
      </c>
      <c r="T28" s="698">
        <v>0.504</v>
      </c>
      <c r="U28" s="698">
        <v>2.2290000000000001</v>
      </c>
      <c r="V28" s="697">
        <v>0.44400000000000001</v>
      </c>
      <c r="W28" s="698">
        <v>2.363</v>
      </c>
      <c r="X28" s="697">
        <v>0.38700000000000001</v>
      </c>
      <c r="Y28" s="698">
        <v>2.4990000000000001</v>
      </c>
      <c r="Z28" s="697">
        <v>0.33300000000000002</v>
      </c>
      <c r="AA28" s="698">
        <v>2.6349999999999998</v>
      </c>
      <c r="AB28" s="697">
        <v>0.28299999999999997</v>
      </c>
      <c r="AC28" s="698">
        <v>2.7719999999999998</v>
      </c>
      <c r="AD28" s="697">
        <v>0.23699999999999999</v>
      </c>
      <c r="AE28" s="698">
        <v>2.907</v>
      </c>
      <c r="AF28" s="697">
        <v>0.19400000000000001</v>
      </c>
      <c r="AG28" s="699">
        <v>3.04</v>
      </c>
      <c r="AH28" s="698">
        <v>0.156</v>
      </c>
      <c r="AI28" s="699">
        <v>3.169</v>
      </c>
      <c r="AJ28" s="698">
        <v>0.122</v>
      </c>
      <c r="AK28" s="699">
        <v>3.294</v>
      </c>
      <c r="AL28" s="698">
        <v>9.2999999999999999E-2</v>
      </c>
      <c r="AM28" s="699">
        <v>3.4119999999999999</v>
      </c>
      <c r="AN28" s="698">
        <v>6.8000000000000005E-2</v>
      </c>
      <c r="AO28" s="699">
        <v>3.524</v>
      </c>
    </row>
    <row r="29" spans="1:41">
      <c r="A29" s="305">
        <v>29</v>
      </c>
      <c r="B29" s="697">
        <v>1.119</v>
      </c>
      <c r="C29" s="698">
        <v>1.254</v>
      </c>
      <c r="D29" s="697">
        <v>1.0529999999999999</v>
      </c>
      <c r="E29" s="699">
        <v>1.3320000000000001</v>
      </c>
      <c r="F29" s="698">
        <v>0.98799999999999999</v>
      </c>
      <c r="G29" s="698">
        <v>1.4179999999999999</v>
      </c>
      <c r="H29" s="697">
        <v>0.92100000000000004</v>
      </c>
      <c r="I29" s="699">
        <v>1.5109999999999999</v>
      </c>
      <c r="J29" s="698">
        <v>0.85499999999999998</v>
      </c>
      <c r="K29" s="698">
        <v>1.611</v>
      </c>
      <c r="L29" s="697">
        <v>0.78800000000000003</v>
      </c>
      <c r="M29" s="699">
        <v>1.718</v>
      </c>
      <c r="N29" s="698">
        <v>0.72299999999999998</v>
      </c>
      <c r="O29" s="698">
        <v>1.83</v>
      </c>
      <c r="P29" s="697">
        <v>0.65800000000000003</v>
      </c>
      <c r="Q29" s="698">
        <v>1.9470000000000001</v>
      </c>
      <c r="R29" s="697">
        <v>0.59499999999999997</v>
      </c>
      <c r="S29" s="699">
        <v>2.0680000000000001</v>
      </c>
      <c r="T29" s="698">
        <v>0.53300000000000003</v>
      </c>
      <c r="U29" s="698">
        <v>2.1930000000000001</v>
      </c>
      <c r="V29" s="697">
        <v>0.47399999999999998</v>
      </c>
      <c r="W29" s="698">
        <v>2.3210000000000002</v>
      </c>
      <c r="X29" s="697">
        <v>0.41699999999999998</v>
      </c>
      <c r="Y29" s="698">
        <v>2.4510000000000001</v>
      </c>
      <c r="Z29" s="697">
        <v>0.36299999999999999</v>
      </c>
      <c r="AA29" s="698">
        <v>2.5819999999999999</v>
      </c>
      <c r="AB29" s="697">
        <v>0.313</v>
      </c>
      <c r="AC29" s="698">
        <v>2.7130000000000001</v>
      </c>
      <c r="AD29" s="697">
        <v>0.26600000000000001</v>
      </c>
      <c r="AE29" s="698">
        <v>2.843</v>
      </c>
      <c r="AF29" s="697">
        <v>0.222</v>
      </c>
      <c r="AG29" s="699">
        <v>2.972</v>
      </c>
      <c r="AH29" s="698">
        <v>0.182</v>
      </c>
      <c r="AI29" s="699">
        <v>3.0979999999999999</v>
      </c>
      <c r="AJ29" s="698">
        <v>0.14599999999999999</v>
      </c>
      <c r="AK29" s="699">
        <v>3.22</v>
      </c>
      <c r="AL29" s="698">
        <v>0.114</v>
      </c>
      <c r="AM29" s="699">
        <v>3.3380000000000001</v>
      </c>
      <c r="AN29" s="698">
        <v>8.6999999999999994E-2</v>
      </c>
      <c r="AO29" s="699">
        <v>3.45</v>
      </c>
    </row>
    <row r="30" spans="1:41">
      <c r="A30" s="305">
        <v>30</v>
      </c>
      <c r="B30" s="697">
        <v>1.1339999999999999</v>
      </c>
      <c r="C30" s="698">
        <v>1.264</v>
      </c>
      <c r="D30" s="697">
        <v>1.07</v>
      </c>
      <c r="E30" s="699">
        <v>1.339</v>
      </c>
      <c r="F30" s="698">
        <v>1.006</v>
      </c>
      <c r="G30" s="698">
        <v>1.421</v>
      </c>
      <c r="H30" s="697">
        <v>0.94099999999999995</v>
      </c>
      <c r="I30" s="699">
        <v>1.51</v>
      </c>
      <c r="J30" s="698">
        <v>0.877</v>
      </c>
      <c r="K30" s="698">
        <v>1.6060000000000001</v>
      </c>
      <c r="L30" s="697">
        <v>0.81200000000000006</v>
      </c>
      <c r="M30" s="699">
        <v>1.7070000000000001</v>
      </c>
      <c r="N30" s="698">
        <v>0.748</v>
      </c>
      <c r="O30" s="698">
        <v>1.8140000000000001</v>
      </c>
      <c r="P30" s="697">
        <v>0.68400000000000005</v>
      </c>
      <c r="Q30" s="698">
        <v>1.925</v>
      </c>
      <c r="R30" s="697">
        <v>0.622</v>
      </c>
      <c r="S30" s="699">
        <v>2.0409999999999999</v>
      </c>
      <c r="T30" s="698">
        <v>0.56200000000000006</v>
      </c>
      <c r="U30" s="698">
        <v>2.16</v>
      </c>
      <c r="V30" s="697">
        <v>0.503</v>
      </c>
      <c r="W30" s="698">
        <v>2.2829999999999999</v>
      </c>
      <c r="X30" s="697">
        <v>0.44700000000000001</v>
      </c>
      <c r="Y30" s="698">
        <v>2.407</v>
      </c>
      <c r="Z30" s="697">
        <v>0.39300000000000002</v>
      </c>
      <c r="AA30" s="698">
        <v>2.5329999999999999</v>
      </c>
      <c r="AB30" s="697">
        <v>0.34200000000000003</v>
      </c>
      <c r="AC30" s="698">
        <v>2.6589999999999998</v>
      </c>
      <c r="AD30" s="697">
        <v>0.29399999999999998</v>
      </c>
      <c r="AE30" s="698">
        <v>2.7850000000000001</v>
      </c>
      <c r="AF30" s="697">
        <v>0.249</v>
      </c>
      <c r="AG30" s="699">
        <v>2.9089999999999998</v>
      </c>
      <c r="AH30" s="698">
        <v>0.20799999999999999</v>
      </c>
      <c r="AI30" s="699">
        <v>3.032</v>
      </c>
      <c r="AJ30" s="698">
        <v>0.17100000000000001</v>
      </c>
      <c r="AK30" s="699">
        <v>3.1520000000000001</v>
      </c>
      <c r="AL30" s="698">
        <v>0.13700000000000001</v>
      </c>
      <c r="AM30" s="699">
        <v>3.2669999999999999</v>
      </c>
      <c r="AN30" s="698">
        <v>0.107</v>
      </c>
      <c r="AO30" s="699">
        <v>3.379</v>
      </c>
    </row>
    <row r="31" spans="1:41">
      <c r="A31" s="305">
        <v>31</v>
      </c>
      <c r="B31" s="697">
        <v>1.147</v>
      </c>
      <c r="C31" s="698">
        <v>1.274</v>
      </c>
      <c r="D31" s="697">
        <v>1.085</v>
      </c>
      <c r="E31" s="699">
        <v>1.345</v>
      </c>
      <c r="F31" s="698">
        <v>1.022</v>
      </c>
      <c r="G31" s="698">
        <v>1.425</v>
      </c>
      <c r="H31" s="697">
        <v>0.96</v>
      </c>
      <c r="I31" s="699">
        <v>1.5089999999999999</v>
      </c>
      <c r="J31" s="698">
        <v>0.89700000000000002</v>
      </c>
      <c r="K31" s="698">
        <v>1.601</v>
      </c>
      <c r="L31" s="697">
        <v>0.83399999999999996</v>
      </c>
      <c r="M31" s="699">
        <v>1.698</v>
      </c>
      <c r="N31" s="698">
        <v>0.77200000000000002</v>
      </c>
      <c r="O31" s="698">
        <v>1.8</v>
      </c>
      <c r="P31" s="697">
        <v>0.71</v>
      </c>
      <c r="Q31" s="698">
        <v>1.9059999999999999</v>
      </c>
      <c r="R31" s="697">
        <v>0.64900000000000002</v>
      </c>
      <c r="S31" s="699">
        <v>2.0169999999999999</v>
      </c>
      <c r="T31" s="698">
        <v>0.58899999999999997</v>
      </c>
      <c r="U31" s="698">
        <v>2.1309999999999998</v>
      </c>
      <c r="V31" s="697">
        <v>0.53100000000000003</v>
      </c>
      <c r="W31" s="698">
        <v>2.2480000000000002</v>
      </c>
      <c r="X31" s="697">
        <v>0.47499999999999998</v>
      </c>
      <c r="Y31" s="698">
        <v>2.367</v>
      </c>
      <c r="Z31" s="697">
        <v>0.42199999999999999</v>
      </c>
      <c r="AA31" s="698">
        <v>2.4870000000000001</v>
      </c>
      <c r="AB31" s="697">
        <v>0.371</v>
      </c>
      <c r="AC31" s="698">
        <v>2.609</v>
      </c>
      <c r="AD31" s="697">
        <v>0.32200000000000001</v>
      </c>
      <c r="AE31" s="698">
        <v>2.73</v>
      </c>
      <c r="AF31" s="697">
        <v>0.27700000000000002</v>
      </c>
      <c r="AG31" s="699">
        <v>2.851</v>
      </c>
      <c r="AH31" s="698">
        <v>0.23400000000000001</v>
      </c>
      <c r="AI31" s="699">
        <v>2.97</v>
      </c>
      <c r="AJ31" s="698">
        <v>0.193</v>
      </c>
      <c r="AK31" s="699">
        <v>3.0870000000000002</v>
      </c>
      <c r="AL31" s="698">
        <v>0.16</v>
      </c>
      <c r="AM31" s="699">
        <v>3.2010000000000001</v>
      </c>
      <c r="AN31" s="698">
        <v>0.128</v>
      </c>
      <c r="AO31" s="699">
        <v>3.3109999999999999</v>
      </c>
    </row>
    <row r="32" spans="1:41">
      <c r="A32" s="305">
        <v>32</v>
      </c>
      <c r="B32" s="697">
        <v>1.1599999999999999</v>
      </c>
      <c r="C32" s="698">
        <v>1.2829999999999999</v>
      </c>
      <c r="D32" s="697">
        <v>1.1000000000000001</v>
      </c>
      <c r="E32" s="699">
        <v>1.351</v>
      </c>
      <c r="F32" s="698">
        <v>1.0389999999999999</v>
      </c>
      <c r="G32" s="698">
        <v>1.4279999999999999</v>
      </c>
      <c r="H32" s="697">
        <v>0.97799999999999998</v>
      </c>
      <c r="I32" s="699">
        <v>1.5089999999999999</v>
      </c>
      <c r="J32" s="698">
        <v>0.91700000000000004</v>
      </c>
      <c r="K32" s="698">
        <v>1.597</v>
      </c>
      <c r="L32" s="697">
        <v>0.85599999999999998</v>
      </c>
      <c r="M32" s="699">
        <v>1.69</v>
      </c>
      <c r="N32" s="698">
        <v>0.79400000000000004</v>
      </c>
      <c r="O32" s="698">
        <v>1.788</v>
      </c>
      <c r="P32" s="697">
        <v>0.73399999999999999</v>
      </c>
      <c r="Q32" s="698">
        <v>1.889</v>
      </c>
      <c r="R32" s="697">
        <v>0.67400000000000004</v>
      </c>
      <c r="S32" s="699">
        <v>1.9950000000000001</v>
      </c>
      <c r="T32" s="698">
        <v>0.61499999999999999</v>
      </c>
      <c r="U32" s="698">
        <v>2.1040000000000001</v>
      </c>
      <c r="V32" s="697">
        <v>0.55800000000000005</v>
      </c>
      <c r="W32" s="698">
        <v>2.2160000000000002</v>
      </c>
      <c r="X32" s="697">
        <v>0.503</v>
      </c>
      <c r="Y32" s="698">
        <v>2.33</v>
      </c>
      <c r="Z32" s="697">
        <v>0.45</v>
      </c>
      <c r="AA32" s="698">
        <v>2.4460000000000002</v>
      </c>
      <c r="AB32" s="697">
        <v>0.39900000000000002</v>
      </c>
      <c r="AC32" s="698">
        <v>2.5630000000000002</v>
      </c>
      <c r="AD32" s="697">
        <v>0.35</v>
      </c>
      <c r="AE32" s="698">
        <v>2.68</v>
      </c>
      <c r="AF32" s="697">
        <v>0.30399999999999999</v>
      </c>
      <c r="AG32" s="699">
        <v>2.7970000000000002</v>
      </c>
      <c r="AH32" s="698">
        <v>0.26100000000000001</v>
      </c>
      <c r="AI32" s="699">
        <v>2.9119999999999999</v>
      </c>
      <c r="AJ32" s="698">
        <v>0.221</v>
      </c>
      <c r="AK32" s="699">
        <v>3.0259999999999998</v>
      </c>
      <c r="AL32" s="698">
        <v>0.184</v>
      </c>
      <c r="AM32" s="699">
        <v>3.137</v>
      </c>
      <c r="AN32" s="698">
        <v>0.151</v>
      </c>
      <c r="AO32" s="699">
        <v>3.246</v>
      </c>
    </row>
    <row r="33" spans="1:41">
      <c r="A33" s="305">
        <v>33</v>
      </c>
      <c r="B33" s="697">
        <v>1.171</v>
      </c>
      <c r="C33" s="698">
        <v>1.2909999999999999</v>
      </c>
      <c r="D33" s="697">
        <v>1.1140000000000001</v>
      </c>
      <c r="E33" s="699">
        <v>1.3580000000000001</v>
      </c>
      <c r="F33" s="698">
        <v>1.0549999999999999</v>
      </c>
      <c r="G33" s="698">
        <v>1.4319999999999999</v>
      </c>
      <c r="H33" s="697">
        <v>0.995</v>
      </c>
      <c r="I33" s="699">
        <v>1.51</v>
      </c>
      <c r="J33" s="698">
        <v>0.93500000000000005</v>
      </c>
      <c r="K33" s="698">
        <v>1.5940000000000001</v>
      </c>
      <c r="L33" s="697">
        <v>0.876</v>
      </c>
      <c r="M33" s="699">
        <v>1.6830000000000001</v>
      </c>
      <c r="N33" s="698">
        <v>0.81599999999999995</v>
      </c>
      <c r="O33" s="698">
        <v>1.776</v>
      </c>
      <c r="P33" s="697">
        <v>0.75700000000000001</v>
      </c>
      <c r="Q33" s="698">
        <v>1.8740000000000001</v>
      </c>
      <c r="R33" s="697">
        <v>0.69799999999999995</v>
      </c>
      <c r="S33" s="699">
        <v>1.9750000000000001</v>
      </c>
      <c r="T33" s="698">
        <v>0.64100000000000001</v>
      </c>
      <c r="U33" s="698">
        <v>2.08</v>
      </c>
      <c r="V33" s="697">
        <v>0.58499999999999996</v>
      </c>
      <c r="W33" s="698">
        <v>2.1869999999999998</v>
      </c>
      <c r="X33" s="697">
        <v>0.53</v>
      </c>
      <c r="Y33" s="698">
        <v>2.2959999999999998</v>
      </c>
      <c r="Z33" s="697">
        <v>0.47699999999999998</v>
      </c>
      <c r="AA33" s="698">
        <v>2.4079999999999999</v>
      </c>
      <c r="AB33" s="697">
        <v>0.42599999999999999</v>
      </c>
      <c r="AC33" s="698">
        <v>2.52</v>
      </c>
      <c r="AD33" s="697">
        <v>0.377</v>
      </c>
      <c r="AE33" s="698">
        <v>2.633</v>
      </c>
      <c r="AF33" s="697">
        <v>0.33100000000000002</v>
      </c>
      <c r="AG33" s="699">
        <v>2.746</v>
      </c>
      <c r="AH33" s="698">
        <v>0.28699999999999998</v>
      </c>
      <c r="AI33" s="699">
        <v>2.8580000000000001</v>
      </c>
      <c r="AJ33" s="698">
        <v>0.246</v>
      </c>
      <c r="AK33" s="699">
        <v>2.9689999999999999</v>
      </c>
      <c r="AL33" s="698">
        <v>0.20899999999999999</v>
      </c>
      <c r="AM33" s="699">
        <v>3.0779999999999998</v>
      </c>
      <c r="AN33" s="698">
        <v>0.17399999999999999</v>
      </c>
      <c r="AO33" s="699">
        <v>3.1840000000000002</v>
      </c>
    </row>
    <row r="34" spans="1:41">
      <c r="A34" s="305">
        <v>34</v>
      </c>
      <c r="B34" s="697">
        <v>1.1839999999999999</v>
      </c>
      <c r="C34" s="698">
        <v>1.298</v>
      </c>
      <c r="D34" s="697">
        <v>1.1279999999999999</v>
      </c>
      <c r="E34" s="699">
        <v>1.3640000000000001</v>
      </c>
      <c r="F34" s="698">
        <v>1.07</v>
      </c>
      <c r="G34" s="698">
        <v>1.4359999999999999</v>
      </c>
      <c r="H34" s="697">
        <v>1.012</v>
      </c>
      <c r="I34" s="699">
        <v>1.5109999999999999</v>
      </c>
      <c r="J34" s="698">
        <v>0.95399999999999996</v>
      </c>
      <c r="K34" s="698">
        <v>1.591</v>
      </c>
      <c r="L34" s="697">
        <v>0.89600000000000002</v>
      </c>
      <c r="M34" s="699">
        <v>1.677</v>
      </c>
      <c r="N34" s="698">
        <v>0.83699999999999997</v>
      </c>
      <c r="O34" s="698">
        <v>1.766</v>
      </c>
      <c r="P34" s="697">
        <v>0.77900000000000003</v>
      </c>
      <c r="Q34" s="698">
        <v>1.86</v>
      </c>
      <c r="R34" s="697">
        <v>0.72199999999999998</v>
      </c>
      <c r="S34" s="699">
        <v>1.9570000000000001</v>
      </c>
      <c r="T34" s="698">
        <v>0.66500000000000004</v>
      </c>
      <c r="U34" s="698">
        <v>2.0569999999999999</v>
      </c>
      <c r="V34" s="697">
        <v>0.61</v>
      </c>
      <c r="W34" s="698">
        <v>2.16</v>
      </c>
      <c r="X34" s="697">
        <v>0.55600000000000005</v>
      </c>
      <c r="Y34" s="698">
        <v>2.266</v>
      </c>
      <c r="Z34" s="697">
        <v>0.503</v>
      </c>
      <c r="AA34" s="698">
        <v>2.3730000000000002</v>
      </c>
      <c r="AB34" s="697">
        <v>0.45200000000000001</v>
      </c>
      <c r="AC34" s="698">
        <v>2.4809999999999999</v>
      </c>
      <c r="AD34" s="697">
        <v>0.40400000000000003</v>
      </c>
      <c r="AE34" s="698">
        <v>2.59</v>
      </c>
      <c r="AF34" s="697">
        <v>0.35699999999999998</v>
      </c>
      <c r="AG34" s="699">
        <v>2.6989999999999998</v>
      </c>
      <c r="AH34" s="698">
        <v>0.313</v>
      </c>
      <c r="AI34" s="699">
        <v>2.8079999999999998</v>
      </c>
      <c r="AJ34" s="698">
        <v>0.27200000000000002</v>
      </c>
      <c r="AK34" s="699">
        <v>2.915</v>
      </c>
      <c r="AL34" s="698">
        <v>0.23300000000000001</v>
      </c>
      <c r="AM34" s="699">
        <v>3.0219999999999998</v>
      </c>
      <c r="AN34" s="698">
        <v>0.19700000000000001</v>
      </c>
      <c r="AO34" s="699">
        <v>3.1259999999999999</v>
      </c>
    </row>
    <row r="35" spans="1:41">
      <c r="A35" s="305">
        <v>35</v>
      </c>
      <c r="B35" s="697">
        <v>1.1950000000000001</v>
      </c>
      <c r="C35" s="698">
        <v>1.3069999999999999</v>
      </c>
      <c r="D35" s="697">
        <v>1.141</v>
      </c>
      <c r="E35" s="699">
        <v>1.37</v>
      </c>
      <c r="F35" s="698">
        <v>1.085</v>
      </c>
      <c r="G35" s="698">
        <v>1.4390000000000001</v>
      </c>
      <c r="H35" s="697">
        <v>1.028</v>
      </c>
      <c r="I35" s="699">
        <v>1.512</v>
      </c>
      <c r="J35" s="698">
        <v>0.97099999999999997</v>
      </c>
      <c r="K35" s="698">
        <v>1.589</v>
      </c>
      <c r="L35" s="697">
        <v>0.91400000000000003</v>
      </c>
      <c r="M35" s="699">
        <v>1.671</v>
      </c>
      <c r="N35" s="698">
        <v>0.85699999999999998</v>
      </c>
      <c r="O35" s="698">
        <v>1.7569999999999999</v>
      </c>
      <c r="P35" s="697">
        <v>0.8</v>
      </c>
      <c r="Q35" s="698">
        <v>1.847</v>
      </c>
      <c r="R35" s="697">
        <v>0.74399999999999999</v>
      </c>
      <c r="S35" s="699">
        <v>1.94</v>
      </c>
      <c r="T35" s="698">
        <v>0.68899999999999995</v>
      </c>
      <c r="U35" s="698">
        <v>2.0369999999999999</v>
      </c>
      <c r="V35" s="697">
        <v>0.63400000000000001</v>
      </c>
      <c r="W35" s="698">
        <v>2.1360000000000001</v>
      </c>
      <c r="X35" s="697">
        <v>0.58099999999999996</v>
      </c>
      <c r="Y35" s="698">
        <v>2.2370000000000001</v>
      </c>
      <c r="Z35" s="697">
        <v>0.52900000000000003</v>
      </c>
      <c r="AA35" s="698">
        <v>2.34</v>
      </c>
      <c r="AB35" s="697">
        <v>0.47799999999999998</v>
      </c>
      <c r="AC35" s="698">
        <v>2.444</v>
      </c>
      <c r="AD35" s="697">
        <v>0.43</v>
      </c>
      <c r="AE35" s="698">
        <v>2.5499999999999998</v>
      </c>
      <c r="AF35" s="697">
        <v>0.38300000000000001</v>
      </c>
      <c r="AG35" s="699">
        <v>2.6549999999999998</v>
      </c>
      <c r="AH35" s="698">
        <v>0.33900000000000002</v>
      </c>
      <c r="AI35" s="699">
        <v>2.7610000000000001</v>
      </c>
      <c r="AJ35" s="698">
        <v>0.29699999999999999</v>
      </c>
      <c r="AK35" s="699">
        <v>2.8650000000000002</v>
      </c>
      <c r="AL35" s="698">
        <v>0.25700000000000001</v>
      </c>
      <c r="AM35" s="699">
        <v>2.9689999999999999</v>
      </c>
      <c r="AN35" s="698">
        <v>0.221</v>
      </c>
      <c r="AO35" s="699">
        <v>3.0710000000000002</v>
      </c>
    </row>
    <row r="36" spans="1:41">
      <c r="A36" s="305">
        <v>36</v>
      </c>
      <c r="B36" s="697">
        <v>1.2050000000000001</v>
      </c>
      <c r="C36" s="698">
        <v>1.3149999999999999</v>
      </c>
      <c r="D36" s="697">
        <v>1.153</v>
      </c>
      <c r="E36" s="699">
        <v>1.3759999999999999</v>
      </c>
      <c r="F36" s="698">
        <v>1.0980000000000001</v>
      </c>
      <c r="G36" s="698">
        <v>1.4419999999999999</v>
      </c>
      <c r="H36" s="697">
        <v>1.0429999999999999</v>
      </c>
      <c r="I36" s="699">
        <v>1.5129999999999999</v>
      </c>
      <c r="J36" s="698">
        <v>0.98699999999999999</v>
      </c>
      <c r="K36" s="698">
        <v>1.587</v>
      </c>
      <c r="L36" s="697">
        <v>0.93200000000000005</v>
      </c>
      <c r="M36" s="699">
        <v>1.6659999999999999</v>
      </c>
      <c r="N36" s="698">
        <v>0.877</v>
      </c>
      <c r="O36" s="698">
        <v>1.7490000000000001</v>
      </c>
      <c r="P36" s="697">
        <v>0.82099999999999995</v>
      </c>
      <c r="Q36" s="698">
        <v>1.8360000000000001</v>
      </c>
      <c r="R36" s="697">
        <v>0.76600000000000001</v>
      </c>
      <c r="S36" s="699">
        <v>1.925</v>
      </c>
      <c r="T36" s="698">
        <v>0.71099999999999997</v>
      </c>
      <c r="U36" s="698">
        <v>2.0179999999999998</v>
      </c>
      <c r="V36" s="697">
        <v>0.65800000000000003</v>
      </c>
      <c r="W36" s="698">
        <v>2.113</v>
      </c>
      <c r="X36" s="697">
        <v>0.60499999999999998</v>
      </c>
      <c r="Y36" s="698">
        <v>2.21</v>
      </c>
      <c r="Z36" s="697">
        <v>0.55400000000000005</v>
      </c>
      <c r="AA36" s="698">
        <v>2.31</v>
      </c>
      <c r="AB36" s="697">
        <v>0.504</v>
      </c>
      <c r="AC36" s="698">
        <v>2.41</v>
      </c>
      <c r="AD36" s="697">
        <v>0.45500000000000002</v>
      </c>
      <c r="AE36" s="698">
        <v>2.512</v>
      </c>
      <c r="AF36" s="697">
        <v>0.40899999999999997</v>
      </c>
      <c r="AG36" s="699">
        <v>2.6139999999999999</v>
      </c>
      <c r="AH36" s="698">
        <v>0.36399999999999999</v>
      </c>
      <c r="AI36" s="699">
        <v>2.7170000000000001</v>
      </c>
      <c r="AJ36" s="698">
        <v>0.32200000000000001</v>
      </c>
      <c r="AK36" s="699">
        <v>2.8180000000000001</v>
      </c>
      <c r="AL36" s="698">
        <v>0.28199999999999997</v>
      </c>
      <c r="AM36" s="699">
        <v>2.919</v>
      </c>
      <c r="AN36" s="698">
        <v>0.24399999999999999</v>
      </c>
      <c r="AO36" s="699">
        <v>3.0190000000000001</v>
      </c>
    </row>
    <row r="37" spans="1:41">
      <c r="A37" s="305">
        <v>37</v>
      </c>
      <c r="B37" s="697">
        <v>1.2170000000000001</v>
      </c>
      <c r="C37" s="698">
        <v>1.3220000000000001</v>
      </c>
      <c r="D37" s="697">
        <v>1.1639999999999999</v>
      </c>
      <c r="E37" s="699">
        <v>1.383</v>
      </c>
      <c r="F37" s="698">
        <v>1.1120000000000001</v>
      </c>
      <c r="G37" s="698">
        <v>1.446</v>
      </c>
      <c r="H37" s="697">
        <v>1.0580000000000001</v>
      </c>
      <c r="I37" s="699">
        <v>1.514</v>
      </c>
      <c r="J37" s="698">
        <v>1.004</v>
      </c>
      <c r="K37" s="698">
        <v>1.585</v>
      </c>
      <c r="L37" s="697">
        <v>0.95</v>
      </c>
      <c r="M37" s="699">
        <v>1.6619999999999999</v>
      </c>
      <c r="N37" s="698">
        <v>0.89500000000000002</v>
      </c>
      <c r="O37" s="698">
        <v>1.742</v>
      </c>
      <c r="P37" s="697">
        <v>0.84099999999999997</v>
      </c>
      <c r="Q37" s="698">
        <v>1.825</v>
      </c>
      <c r="R37" s="697">
        <v>0.78700000000000003</v>
      </c>
      <c r="S37" s="699">
        <v>1.911</v>
      </c>
      <c r="T37" s="698">
        <v>0.73299999999999998</v>
      </c>
      <c r="U37" s="698">
        <v>2.0009999999999999</v>
      </c>
      <c r="V37" s="697">
        <v>0.68</v>
      </c>
      <c r="W37" s="698">
        <v>2.0920000000000001</v>
      </c>
      <c r="X37" s="697">
        <v>0.628</v>
      </c>
      <c r="Y37" s="698">
        <v>2.1859999999999999</v>
      </c>
      <c r="Z37" s="697">
        <v>0.57799999999999996</v>
      </c>
      <c r="AA37" s="698">
        <v>2.282</v>
      </c>
      <c r="AB37" s="697">
        <v>0.52800000000000002</v>
      </c>
      <c r="AC37" s="698">
        <v>2.379</v>
      </c>
      <c r="AD37" s="697">
        <v>0.48</v>
      </c>
      <c r="AE37" s="698">
        <v>2.4769999999999999</v>
      </c>
      <c r="AF37" s="697">
        <v>0.434</v>
      </c>
      <c r="AG37" s="699">
        <v>2.5760000000000001</v>
      </c>
      <c r="AH37" s="698">
        <v>0.38900000000000001</v>
      </c>
      <c r="AI37" s="699">
        <v>2.6749999999999998</v>
      </c>
      <c r="AJ37" s="698">
        <v>0.34699999999999998</v>
      </c>
      <c r="AK37" s="699">
        <v>2.774</v>
      </c>
      <c r="AL37" s="698">
        <v>0.30599999999999999</v>
      </c>
      <c r="AM37" s="699">
        <v>2.8719999999999999</v>
      </c>
      <c r="AN37" s="698">
        <v>0.26800000000000002</v>
      </c>
      <c r="AO37" s="699">
        <v>2.9689999999999999</v>
      </c>
    </row>
    <row r="38" spans="1:41">
      <c r="A38" s="305">
        <v>38</v>
      </c>
      <c r="B38" s="697">
        <v>1.2270000000000001</v>
      </c>
      <c r="C38" s="698">
        <v>1.33</v>
      </c>
      <c r="D38" s="697">
        <v>1.1759999999999999</v>
      </c>
      <c r="E38" s="699">
        <v>1.3879999999999999</v>
      </c>
      <c r="F38" s="698">
        <v>1.1240000000000001</v>
      </c>
      <c r="G38" s="698">
        <v>1.4490000000000001</v>
      </c>
      <c r="H38" s="697">
        <v>1.0720000000000001</v>
      </c>
      <c r="I38" s="699">
        <v>1.5149999999999999</v>
      </c>
      <c r="J38" s="698">
        <v>1.0189999999999999</v>
      </c>
      <c r="K38" s="698">
        <v>1.5840000000000001</v>
      </c>
      <c r="L38" s="697">
        <v>0.96599999999999997</v>
      </c>
      <c r="M38" s="699">
        <v>1.6579999999999999</v>
      </c>
      <c r="N38" s="698">
        <v>0.91300000000000003</v>
      </c>
      <c r="O38" s="698">
        <v>1.7350000000000001</v>
      </c>
      <c r="P38" s="697">
        <v>0.86</v>
      </c>
      <c r="Q38" s="698">
        <v>1.8160000000000001</v>
      </c>
      <c r="R38" s="697">
        <v>0.80700000000000005</v>
      </c>
      <c r="S38" s="699">
        <v>1.899</v>
      </c>
      <c r="T38" s="698">
        <v>0.754</v>
      </c>
      <c r="U38" s="698">
        <v>1.9850000000000001</v>
      </c>
      <c r="V38" s="697">
        <v>0.70199999999999996</v>
      </c>
      <c r="W38" s="698">
        <v>2.073</v>
      </c>
      <c r="X38" s="697">
        <v>0.65100000000000002</v>
      </c>
      <c r="Y38" s="698">
        <v>2.1640000000000001</v>
      </c>
      <c r="Z38" s="697">
        <v>0.60099999999999998</v>
      </c>
      <c r="AA38" s="698">
        <v>2.2559999999999998</v>
      </c>
      <c r="AB38" s="697">
        <v>0.55200000000000005</v>
      </c>
      <c r="AC38" s="698">
        <v>2.35</v>
      </c>
      <c r="AD38" s="697">
        <v>0.504</v>
      </c>
      <c r="AE38" s="698">
        <v>2.4449999999999998</v>
      </c>
      <c r="AF38" s="697">
        <v>0.45800000000000002</v>
      </c>
      <c r="AG38" s="699">
        <v>2.54</v>
      </c>
      <c r="AH38" s="698">
        <v>0.41399999999999998</v>
      </c>
      <c r="AI38" s="699">
        <v>2.637</v>
      </c>
      <c r="AJ38" s="698">
        <v>0.371</v>
      </c>
      <c r="AK38" s="699">
        <v>2.7330000000000001</v>
      </c>
      <c r="AL38" s="698">
        <v>0.33</v>
      </c>
      <c r="AM38" s="699">
        <v>2.8279999999999998</v>
      </c>
      <c r="AN38" s="698">
        <v>0.29099999999999998</v>
      </c>
      <c r="AO38" s="699">
        <v>2.923</v>
      </c>
    </row>
    <row r="39" spans="1:41">
      <c r="A39" s="305">
        <v>39</v>
      </c>
      <c r="B39" s="697">
        <v>1.2370000000000001</v>
      </c>
      <c r="C39" s="698">
        <v>1.337</v>
      </c>
      <c r="D39" s="697">
        <v>1.1870000000000001</v>
      </c>
      <c r="E39" s="699">
        <v>1.3919999999999999</v>
      </c>
      <c r="F39" s="698">
        <v>1.137</v>
      </c>
      <c r="G39" s="698">
        <v>1.452</v>
      </c>
      <c r="H39" s="697">
        <v>1.085</v>
      </c>
      <c r="I39" s="699">
        <v>1.5169999999999999</v>
      </c>
      <c r="J39" s="698">
        <v>1.0329999999999999</v>
      </c>
      <c r="K39" s="698">
        <v>1.583</v>
      </c>
      <c r="L39" s="697">
        <v>0.98199999999999998</v>
      </c>
      <c r="M39" s="699">
        <v>1.655</v>
      </c>
      <c r="N39" s="698">
        <v>0.93</v>
      </c>
      <c r="O39" s="698">
        <v>1.7290000000000001</v>
      </c>
      <c r="P39" s="697">
        <v>0.878</v>
      </c>
      <c r="Q39" s="698">
        <v>1.8069999999999999</v>
      </c>
      <c r="R39" s="697">
        <v>0.82599999999999996</v>
      </c>
      <c r="S39" s="699">
        <v>1.887</v>
      </c>
      <c r="T39" s="698">
        <v>0.77400000000000002</v>
      </c>
      <c r="U39" s="698">
        <v>1.97</v>
      </c>
      <c r="V39" s="697">
        <v>0.72299999999999998</v>
      </c>
      <c r="W39" s="698">
        <v>2.0550000000000002</v>
      </c>
      <c r="X39" s="697">
        <v>0.67300000000000004</v>
      </c>
      <c r="Y39" s="698">
        <v>2.1429999999999998</v>
      </c>
      <c r="Z39" s="697">
        <v>0.623</v>
      </c>
      <c r="AA39" s="698">
        <v>2.2320000000000002</v>
      </c>
      <c r="AB39" s="697">
        <v>0.57499999999999996</v>
      </c>
      <c r="AC39" s="698">
        <v>2.323</v>
      </c>
      <c r="AD39" s="697">
        <v>0.52800000000000002</v>
      </c>
      <c r="AE39" s="698">
        <v>2.4140000000000001</v>
      </c>
      <c r="AF39" s="697">
        <v>0.48199999999999998</v>
      </c>
      <c r="AG39" s="699">
        <v>2.5070000000000001</v>
      </c>
      <c r="AH39" s="698">
        <v>0.438</v>
      </c>
      <c r="AI39" s="699">
        <v>2.6</v>
      </c>
      <c r="AJ39" s="698">
        <v>0.39500000000000002</v>
      </c>
      <c r="AK39" s="699">
        <v>2.694</v>
      </c>
      <c r="AL39" s="698">
        <v>0.35399999999999998</v>
      </c>
      <c r="AM39" s="699">
        <v>2.7869999999999999</v>
      </c>
      <c r="AN39" s="698">
        <v>0.315</v>
      </c>
      <c r="AO39" s="699">
        <v>2.879</v>
      </c>
    </row>
    <row r="40" spans="1:41">
      <c r="A40" s="305">
        <v>40</v>
      </c>
      <c r="B40" s="697">
        <v>1.246</v>
      </c>
      <c r="C40" s="698">
        <v>1.3440000000000001</v>
      </c>
      <c r="D40" s="697">
        <v>1.1970000000000001</v>
      </c>
      <c r="E40" s="699">
        <v>1.3979999999999999</v>
      </c>
      <c r="F40" s="698">
        <v>1.149</v>
      </c>
      <c r="G40" s="698">
        <v>1.456</v>
      </c>
      <c r="H40" s="697">
        <v>1.0980000000000001</v>
      </c>
      <c r="I40" s="699">
        <v>1.518</v>
      </c>
      <c r="J40" s="698">
        <v>1.0469999999999999</v>
      </c>
      <c r="K40" s="698">
        <v>1.583</v>
      </c>
      <c r="L40" s="697">
        <v>0.997</v>
      </c>
      <c r="M40" s="699">
        <v>1.6519999999999999</v>
      </c>
      <c r="N40" s="698">
        <v>0.94599999999999995</v>
      </c>
      <c r="O40" s="698">
        <v>1.724</v>
      </c>
      <c r="P40" s="697">
        <v>0.89500000000000002</v>
      </c>
      <c r="Q40" s="698">
        <v>1.7989999999999999</v>
      </c>
      <c r="R40" s="697">
        <v>0.84399999999999997</v>
      </c>
      <c r="S40" s="699">
        <v>1.8759999999999999</v>
      </c>
      <c r="T40" s="698">
        <v>0.749</v>
      </c>
      <c r="U40" s="698">
        <v>1.956</v>
      </c>
      <c r="V40" s="697">
        <v>0.74399999999999999</v>
      </c>
      <c r="W40" s="698">
        <v>2.0390000000000001</v>
      </c>
      <c r="X40" s="697">
        <v>0.69399999999999995</v>
      </c>
      <c r="Y40" s="698">
        <v>2.1230000000000002</v>
      </c>
      <c r="Z40" s="697">
        <v>0.64500000000000002</v>
      </c>
      <c r="AA40" s="698">
        <v>2.21</v>
      </c>
      <c r="AB40" s="697">
        <v>0.59699999999999998</v>
      </c>
      <c r="AC40" s="698">
        <v>2.2970000000000002</v>
      </c>
      <c r="AD40" s="697">
        <v>0.55100000000000005</v>
      </c>
      <c r="AE40" s="698">
        <v>2.3860000000000001</v>
      </c>
      <c r="AF40" s="697">
        <v>0.505</v>
      </c>
      <c r="AG40" s="699">
        <v>2.476</v>
      </c>
      <c r="AH40" s="698">
        <v>0.46100000000000002</v>
      </c>
      <c r="AI40" s="699">
        <v>2.5659999999999998</v>
      </c>
      <c r="AJ40" s="698">
        <v>0.41799999999999998</v>
      </c>
      <c r="AK40" s="699">
        <v>2.657</v>
      </c>
      <c r="AL40" s="698">
        <v>0.377</v>
      </c>
      <c r="AM40" s="699">
        <v>2.7480000000000002</v>
      </c>
      <c r="AN40" s="698">
        <v>0.33800000000000002</v>
      </c>
      <c r="AO40" s="699">
        <v>2.8380000000000001</v>
      </c>
    </row>
    <row r="41" spans="1:41">
      <c r="A41" s="305">
        <v>45</v>
      </c>
      <c r="B41" s="697">
        <v>1.288</v>
      </c>
      <c r="C41" s="698">
        <v>1.3759999999999999</v>
      </c>
      <c r="D41" s="697">
        <v>1.2450000000000001</v>
      </c>
      <c r="E41" s="699">
        <v>1.4239999999999999</v>
      </c>
      <c r="F41" s="698">
        <v>1.2010000000000001</v>
      </c>
      <c r="G41" s="698">
        <v>1.474</v>
      </c>
      <c r="H41" s="697">
        <v>1.1559999999999999</v>
      </c>
      <c r="I41" s="699">
        <v>1.528</v>
      </c>
      <c r="J41" s="698">
        <v>1.111</v>
      </c>
      <c r="K41" s="698">
        <v>1.583</v>
      </c>
      <c r="L41" s="697">
        <v>1.0649999999999999</v>
      </c>
      <c r="M41" s="699">
        <v>1.643</v>
      </c>
      <c r="N41" s="698">
        <v>1.0189999999999999</v>
      </c>
      <c r="O41" s="698">
        <v>1.704</v>
      </c>
      <c r="P41" s="697">
        <v>0.97399999999999998</v>
      </c>
      <c r="Q41" s="698">
        <v>1.768</v>
      </c>
      <c r="R41" s="697">
        <v>0.92700000000000005</v>
      </c>
      <c r="S41" s="699">
        <v>1.8340000000000001</v>
      </c>
      <c r="T41" s="698">
        <v>0.88100000000000001</v>
      </c>
      <c r="U41" s="698">
        <v>1.9019999999999999</v>
      </c>
      <c r="V41" s="697">
        <v>0.83499999999999996</v>
      </c>
      <c r="W41" s="698">
        <v>1.972</v>
      </c>
      <c r="X41" s="697">
        <v>0.79</v>
      </c>
      <c r="Y41" s="698">
        <v>2.044</v>
      </c>
      <c r="Z41" s="697">
        <v>0.74399999999999999</v>
      </c>
      <c r="AA41" s="698">
        <v>2.1179999999999999</v>
      </c>
      <c r="AB41" s="697">
        <v>0.7</v>
      </c>
      <c r="AC41" s="698">
        <v>2.1930000000000001</v>
      </c>
      <c r="AD41" s="697">
        <v>0.65500000000000003</v>
      </c>
      <c r="AE41" s="698">
        <v>2.2690000000000001</v>
      </c>
      <c r="AF41" s="697">
        <v>0.61199999999999999</v>
      </c>
      <c r="AG41" s="699">
        <v>2.3460000000000001</v>
      </c>
      <c r="AH41" s="698">
        <v>0.56999999999999995</v>
      </c>
      <c r="AI41" s="699">
        <v>2.4239999999999999</v>
      </c>
      <c r="AJ41" s="698">
        <v>0.52800000000000002</v>
      </c>
      <c r="AK41" s="699">
        <v>2.5030000000000001</v>
      </c>
      <c r="AL41" s="698">
        <v>0.48799999999999999</v>
      </c>
      <c r="AM41" s="699">
        <v>2.5819999999999999</v>
      </c>
      <c r="AN41" s="698">
        <v>0.44800000000000001</v>
      </c>
      <c r="AO41" s="699">
        <v>2.661</v>
      </c>
    </row>
    <row r="42" spans="1:41">
      <c r="A42" s="305">
        <v>50</v>
      </c>
      <c r="B42" s="697">
        <v>1.3240000000000001</v>
      </c>
      <c r="C42" s="698">
        <v>1.403</v>
      </c>
      <c r="D42" s="697">
        <v>1.2849999999999999</v>
      </c>
      <c r="E42" s="699">
        <v>1.4450000000000001</v>
      </c>
      <c r="F42" s="698">
        <v>1.2450000000000001</v>
      </c>
      <c r="G42" s="698">
        <v>1.4910000000000001</v>
      </c>
      <c r="H42" s="697">
        <v>1.206</v>
      </c>
      <c r="I42" s="699">
        <v>1.5369999999999999</v>
      </c>
      <c r="J42" s="698">
        <v>1.1639999999999999</v>
      </c>
      <c r="K42" s="698">
        <v>1.587</v>
      </c>
      <c r="L42" s="697">
        <v>1.123</v>
      </c>
      <c r="M42" s="699">
        <v>1.639</v>
      </c>
      <c r="N42" s="698">
        <v>1.081</v>
      </c>
      <c r="O42" s="698">
        <v>1.6919999999999999</v>
      </c>
      <c r="P42" s="697">
        <v>1.0389999999999999</v>
      </c>
      <c r="Q42" s="698">
        <v>1.748</v>
      </c>
      <c r="R42" s="697">
        <v>0.997</v>
      </c>
      <c r="S42" s="699">
        <v>1.8049999999999999</v>
      </c>
      <c r="T42" s="698">
        <v>0.95499999999999996</v>
      </c>
      <c r="U42" s="698">
        <v>1.8640000000000001</v>
      </c>
      <c r="V42" s="697">
        <v>0.91300000000000003</v>
      </c>
      <c r="W42" s="698">
        <v>1.925</v>
      </c>
      <c r="X42" s="697">
        <v>0.871</v>
      </c>
      <c r="Y42" s="698">
        <v>1.9870000000000001</v>
      </c>
      <c r="Z42" s="697">
        <v>0.82899999999999996</v>
      </c>
      <c r="AA42" s="698">
        <v>2.0510000000000002</v>
      </c>
      <c r="AB42" s="697">
        <v>0.78700000000000003</v>
      </c>
      <c r="AC42" s="698">
        <v>2.1160000000000001</v>
      </c>
      <c r="AD42" s="697">
        <v>0.746</v>
      </c>
      <c r="AE42" s="698">
        <v>2.1819999999999999</v>
      </c>
      <c r="AF42" s="697">
        <v>0.70499999999999996</v>
      </c>
      <c r="AG42" s="699">
        <v>2.25</v>
      </c>
      <c r="AH42" s="698">
        <v>0.66500000000000004</v>
      </c>
      <c r="AI42" s="699">
        <v>2.3180000000000001</v>
      </c>
      <c r="AJ42" s="698">
        <v>0.625</v>
      </c>
      <c r="AK42" s="699">
        <v>2.387</v>
      </c>
      <c r="AL42" s="698">
        <v>0.58599999999999997</v>
      </c>
      <c r="AM42" s="699">
        <v>2.456</v>
      </c>
      <c r="AN42" s="698">
        <v>0.54800000000000004</v>
      </c>
      <c r="AO42" s="699">
        <v>2.5259999999999998</v>
      </c>
    </row>
    <row r="43" spans="1:41">
      <c r="A43" s="305">
        <v>55</v>
      </c>
      <c r="B43" s="697">
        <v>1.3560000000000001</v>
      </c>
      <c r="C43" s="698">
        <v>1.4279999999999999</v>
      </c>
      <c r="D43" s="697">
        <v>1.32</v>
      </c>
      <c r="E43" s="699">
        <v>1.466</v>
      </c>
      <c r="F43" s="698">
        <v>1.284</v>
      </c>
      <c r="G43" s="698">
        <v>1.5049999999999999</v>
      </c>
      <c r="H43" s="697">
        <v>1.246</v>
      </c>
      <c r="I43" s="699">
        <v>1.548</v>
      </c>
      <c r="J43" s="698">
        <v>1.2090000000000001</v>
      </c>
      <c r="K43" s="698">
        <v>1.5920000000000001</v>
      </c>
      <c r="L43" s="697">
        <v>1.1719999999999999</v>
      </c>
      <c r="M43" s="699">
        <v>1.6379999999999999</v>
      </c>
      <c r="N43" s="698">
        <v>1.1339999999999999</v>
      </c>
      <c r="O43" s="698">
        <v>1.6850000000000001</v>
      </c>
      <c r="P43" s="697">
        <v>1.095</v>
      </c>
      <c r="Q43" s="698">
        <v>1.734</v>
      </c>
      <c r="R43" s="697">
        <v>1.0569999999999999</v>
      </c>
      <c r="S43" s="699">
        <v>1.7849999999999999</v>
      </c>
      <c r="T43" s="698">
        <v>1.018</v>
      </c>
      <c r="U43" s="698">
        <v>1.837</v>
      </c>
      <c r="V43" s="697">
        <v>0.97899999999999998</v>
      </c>
      <c r="W43" s="698">
        <v>1.891</v>
      </c>
      <c r="X43" s="697">
        <v>0.94</v>
      </c>
      <c r="Y43" s="698">
        <v>1.9450000000000001</v>
      </c>
      <c r="Z43" s="697">
        <v>0.90200000000000002</v>
      </c>
      <c r="AA43" s="698">
        <v>2.0019999999999998</v>
      </c>
      <c r="AB43" s="697">
        <v>0.86299999999999999</v>
      </c>
      <c r="AC43" s="698">
        <v>2.0590000000000002</v>
      </c>
      <c r="AD43" s="697">
        <v>0.82499999999999996</v>
      </c>
      <c r="AE43" s="698">
        <v>2.117</v>
      </c>
      <c r="AF43" s="697">
        <v>0.78600000000000003</v>
      </c>
      <c r="AG43" s="699">
        <v>2.1760000000000002</v>
      </c>
      <c r="AH43" s="698">
        <v>0.748</v>
      </c>
      <c r="AI43" s="699">
        <v>2.2370000000000001</v>
      </c>
      <c r="AJ43" s="698">
        <v>0.71099999999999997</v>
      </c>
      <c r="AK43" s="699">
        <v>2.298</v>
      </c>
      <c r="AL43" s="698">
        <v>0.67400000000000004</v>
      </c>
      <c r="AM43" s="699">
        <v>2.359</v>
      </c>
      <c r="AN43" s="698">
        <v>0.63700000000000001</v>
      </c>
      <c r="AO43" s="699">
        <v>2.4209999999999998</v>
      </c>
    </row>
    <row r="44" spans="1:41">
      <c r="A44" s="305">
        <v>60</v>
      </c>
      <c r="B44" s="697">
        <v>1.3819999999999999</v>
      </c>
      <c r="C44" s="698">
        <v>1.4490000000000001</v>
      </c>
      <c r="D44" s="697">
        <v>1.351</v>
      </c>
      <c r="E44" s="699">
        <v>1.484</v>
      </c>
      <c r="F44" s="698">
        <v>1.3169999999999999</v>
      </c>
      <c r="G44" s="698">
        <v>1.52</v>
      </c>
      <c r="H44" s="697">
        <v>1.2829999999999999</v>
      </c>
      <c r="I44" s="699">
        <v>1.5589999999999999</v>
      </c>
      <c r="J44" s="698">
        <v>1.248</v>
      </c>
      <c r="K44" s="698">
        <v>1.5980000000000001</v>
      </c>
      <c r="L44" s="697">
        <v>1.214</v>
      </c>
      <c r="M44" s="699">
        <v>1.639</v>
      </c>
      <c r="N44" s="698">
        <v>1.179</v>
      </c>
      <c r="O44" s="698">
        <v>1.6819999999999999</v>
      </c>
      <c r="P44" s="697">
        <v>1.1439999999999999</v>
      </c>
      <c r="Q44" s="698">
        <v>1.726</v>
      </c>
      <c r="R44" s="697">
        <v>1.1080000000000001</v>
      </c>
      <c r="S44" s="699">
        <v>1.7709999999999999</v>
      </c>
      <c r="T44" s="698">
        <v>1.0720000000000001</v>
      </c>
      <c r="U44" s="698">
        <v>1.8169999999999999</v>
      </c>
      <c r="V44" s="697">
        <v>1.0369999999999999</v>
      </c>
      <c r="W44" s="698">
        <v>1.865</v>
      </c>
      <c r="X44" s="697">
        <v>1.0009999999999999</v>
      </c>
      <c r="Y44" s="698">
        <v>1.9139999999999999</v>
      </c>
      <c r="Z44" s="697">
        <v>0.96499999999999997</v>
      </c>
      <c r="AA44" s="698">
        <v>1.964</v>
      </c>
      <c r="AB44" s="697">
        <v>0.92900000000000005</v>
      </c>
      <c r="AC44" s="698">
        <v>2.0150000000000001</v>
      </c>
      <c r="AD44" s="697">
        <v>0.89300000000000002</v>
      </c>
      <c r="AE44" s="698">
        <v>2.0670000000000002</v>
      </c>
      <c r="AF44" s="697">
        <v>0.85699999999999998</v>
      </c>
      <c r="AG44" s="699">
        <v>2.12</v>
      </c>
      <c r="AH44" s="698">
        <v>0.82199999999999995</v>
      </c>
      <c r="AI44" s="699">
        <v>2.173</v>
      </c>
      <c r="AJ44" s="698">
        <v>0.78600000000000003</v>
      </c>
      <c r="AK44" s="699">
        <v>2.2269999999999999</v>
      </c>
      <c r="AL44" s="698">
        <v>0.751</v>
      </c>
      <c r="AM44" s="699">
        <v>2.2829999999999999</v>
      </c>
      <c r="AN44" s="698">
        <v>0.71599999999999997</v>
      </c>
      <c r="AO44" s="699">
        <v>2.3380000000000001</v>
      </c>
    </row>
    <row r="45" spans="1:41">
      <c r="A45" s="305">
        <v>65</v>
      </c>
      <c r="B45" s="697">
        <v>1.407</v>
      </c>
      <c r="C45" s="698">
        <v>1.4670000000000001</v>
      </c>
      <c r="D45" s="697">
        <v>1.377</v>
      </c>
      <c r="E45" s="699">
        <v>1.5</v>
      </c>
      <c r="F45" s="698">
        <v>1.3460000000000001</v>
      </c>
      <c r="G45" s="698">
        <v>1.534</v>
      </c>
      <c r="H45" s="697">
        <v>1.3140000000000001</v>
      </c>
      <c r="I45" s="699">
        <v>1.5680000000000001</v>
      </c>
      <c r="J45" s="698">
        <v>1.2829999999999999</v>
      </c>
      <c r="K45" s="698">
        <v>1.6040000000000001</v>
      </c>
      <c r="L45" s="697">
        <v>1.2509999999999999</v>
      </c>
      <c r="M45" s="699">
        <v>1.6419999999999999</v>
      </c>
      <c r="N45" s="698">
        <v>1.218</v>
      </c>
      <c r="O45" s="698">
        <v>1.68</v>
      </c>
      <c r="P45" s="697">
        <v>1.1859999999999999</v>
      </c>
      <c r="Q45" s="698">
        <v>1.72</v>
      </c>
      <c r="R45" s="697">
        <v>1.153</v>
      </c>
      <c r="S45" s="699">
        <v>1.7609999999999999</v>
      </c>
      <c r="T45" s="698">
        <v>1.1200000000000001</v>
      </c>
      <c r="U45" s="698">
        <v>1.802</v>
      </c>
      <c r="V45" s="697">
        <v>1.087</v>
      </c>
      <c r="W45" s="698">
        <v>1.845</v>
      </c>
      <c r="X45" s="697">
        <v>1.0529999999999999</v>
      </c>
      <c r="Y45" s="698">
        <v>1.889</v>
      </c>
      <c r="Z45" s="697">
        <v>1.02</v>
      </c>
      <c r="AA45" s="698">
        <v>1.9339999999999999</v>
      </c>
      <c r="AB45" s="697">
        <v>0.98599999999999999</v>
      </c>
      <c r="AC45" s="698">
        <v>1.98</v>
      </c>
      <c r="AD45" s="697">
        <v>0.95299999999999996</v>
      </c>
      <c r="AE45" s="698">
        <v>2.0270000000000001</v>
      </c>
      <c r="AF45" s="697">
        <v>0.91900000000000004</v>
      </c>
      <c r="AG45" s="699">
        <v>2.0750000000000002</v>
      </c>
      <c r="AH45" s="698">
        <v>0.88600000000000001</v>
      </c>
      <c r="AI45" s="699">
        <v>2.1230000000000002</v>
      </c>
      <c r="AJ45" s="698">
        <v>0.85199999999999998</v>
      </c>
      <c r="AK45" s="699">
        <v>2.1720000000000002</v>
      </c>
      <c r="AL45" s="698">
        <v>0.81899999999999995</v>
      </c>
      <c r="AM45" s="699">
        <v>2.2210000000000001</v>
      </c>
      <c r="AN45" s="698">
        <v>0.78900000000000003</v>
      </c>
      <c r="AO45" s="699">
        <v>2.2719999999999998</v>
      </c>
    </row>
    <row r="46" spans="1:41">
      <c r="A46" s="305">
        <v>70</v>
      </c>
      <c r="B46" s="697">
        <v>1.429</v>
      </c>
      <c r="C46" s="698">
        <v>1.4850000000000001</v>
      </c>
      <c r="D46" s="697">
        <v>1.4</v>
      </c>
      <c r="E46" s="699">
        <v>1.514</v>
      </c>
      <c r="F46" s="698">
        <v>1.3720000000000001</v>
      </c>
      <c r="G46" s="698">
        <v>1.546</v>
      </c>
      <c r="H46" s="697">
        <v>1.343</v>
      </c>
      <c r="I46" s="699">
        <v>1.577</v>
      </c>
      <c r="J46" s="698">
        <v>1.3129999999999999</v>
      </c>
      <c r="K46" s="698">
        <v>1.611</v>
      </c>
      <c r="L46" s="697">
        <v>1.2829999999999999</v>
      </c>
      <c r="M46" s="699">
        <v>1.645</v>
      </c>
      <c r="N46" s="698">
        <v>1.2529999999999999</v>
      </c>
      <c r="O46" s="698">
        <v>1.68</v>
      </c>
      <c r="P46" s="697">
        <v>1.2230000000000001</v>
      </c>
      <c r="Q46" s="698">
        <v>1.716</v>
      </c>
      <c r="R46" s="697">
        <v>1.1919999999999999</v>
      </c>
      <c r="S46" s="699">
        <v>1.754</v>
      </c>
      <c r="T46" s="698">
        <v>1.1619999999999999</v>
      </c>
      <c r="U46" s="698">
        <v>1.792</v>
      </c>
      <c r="V46" s="697">
        <v>1.131</v>
      </c>
      <c r="W46" s="698">
        <v>1.831</v>
      </c>
      <c r="X46" s="697">
        <v>1.099</v>
      </c>
      <c r="Y46" s="698">
        <v>1.87</v>
      </c>
      <c r="Z46" s="697">
        <v>1.0680000000000001</v>
      </c>
      <c r="AA46" s="698">
        <v>1.911</v>
      </c>
      <c r="AB46" s="697">
        <v>1.0369999999999999</v>
      </c>
      <c r="AC46" s="698">
        <v>1.9530000000000001</v>
      </c>
      <c r="AD46" s="697">
        <v>1.0049999999999999</v>
      </c>
      <c r="AE46" s="698">
        <v>1.9950000000000001</v>
      </c>
      <c r="AF46" s="697">
        <v>0.97399999999999998</v>
      </c>
      <c r="AG46" s="699">
        <v>2.0379999999999998</v>
      </c>
      <c r="AH46" s="698">
        <v>0.94299999999999995</v>
      </c>
      <c r="AI46" s="699">
        <v>2.0819999999999999</v>
      </c>
      <c r="AJ46" s="698">
        <v>0.91100000000000003</v>
      </c>
      <c r="AK46" s="699">
        <v>2.1269999999999998</v>
      </c>
      <c r="AL46" s="698">
        <v>0.88</v>
      </c>
      <c r="AM46" s="699">
        <v>2.1720000000000002</v>
      </c>
      <c r="AN46" s="698">
        <v>0.84899999999999998</v>
      </c>
      <c r="AO46" s="699">
        <v>2.2170000000000001</v>
      </c>
    </row>
    <row r="47" spans="1:41">
      <c r="A47" s="305">
        <v>75</v>
      </c>
      <c r="B47" s="697">
        <v>1.448</v>
      </c>
      <c r="C47" s="698">
        <v>1.5009999999999999</v>
      </c>
      <c r="D47" s="697">
        <v>1.4219999999999999</v>
      </c>
      <c r="E47" s="699">
        <v>1.5289999999999999</v>
      </c>
      <c r="F47" s="698">
        <v>1.395</v>
      </c>
      <c r="G47" s="698">
        <v>1.5569999999999999</v>
      </c>
      <c r="H47" s="697">
        <v>1.3680000000000001</v>
      </c>
      <c r="I47" s="699">
        <v>1.5860000000000001</v>
      </c>
      <c r="J47" s="698">
        <v>1.34</v>
      </c>
      <c r="K47" s="698">
        <v>1.617</v>
      </c>
      <c r="L47" s="697">
        <v>1.3129999999999999</v>
      </c>
      <c r="M47" s="699">
        <v>1.649</v>
      </c>
      <c r="N47" s="698">
        <v>1.284</v>
      </c>
      <c r="O47" s="698">
        <v>1.6819999999999999</v>
      </c>
      <c r="P47" s="697">
        <v>1.256</v>
      </c>
      <c r="Q47" s="698">
        <v>1.714</v>
      </c>
      <c r="R47" s="697">
        <v>1.2270000000000001</v>
      </c>
      <c r="S47" s="699">
        <v>1.748</v>
      </c>
      <c r="T47" s="698">
        <v>1.1990000000000001</v>
      </c>
      <c r="U47" s="698">
        <v>1.7829999999999999</v>
      </c>
      <c r="V47" s="697">
        <v>1.17</v>
      </c>
      <c r="W47" s="698">
        <v>1.819</v>
      </c>
      <c r="X47" s="697">
        <v>1.141</v>
      </c>
      <c r="Y47" s="698">
        <v>1.8560000000000001</v>
      </c>
      <c r="Z47" s="697">
        <v>1.111</v>
      </c>
      <c r="AA47" s="698">
        <v>1.893</v>
      </c>
      <c r="AB47" s="697">
        <v>1.0820000000000001</v>
      </c>
      <c r="AC47" s="698">
        <v>1.931</v>
      </c>
      <c r="AD47" s="697">
        <v>1.052</v>
      </c>
      <c r="AE47" s="698">
        <v>1.97</v>
      </c>
      <c r="AF47" s="697">
        <v>1.0229999999999999</v>
      </c>
      <c r="AG47" s="699">
        <v>2.0089999999999999</v>
      </c>
      <c r="AH47" s="698">
        <v>0.99299999999999999</v>
      </c>
      <c r="AI47" s="699">
        <v>2.0489999999999999</v>
      </c>
      <c r="AJ47" s="698">
        <v>0.96399999999999997</v>
      </c>
      <c r="AK47" s="699">
        <v>2.09</v>
      </c>
      <c r="AL47" s="698">
        <v>0.93400000000000005</v>
      </c>
      <c r="AM47" s="699">
        <v>2.1309999999999998</v>
      </c>
      <c r="AN47" s="698">
        <v>0.90500000000000003</v>
      </c>
      <c r="AO47" s="699">
        <v>2.1720000000000002</v>
      </c>
    </row>
    <row r="48" spans="1:41">
      <c r="A48" s="305">
        <v>80</v>
      </c>
      <c r="B48" s="697">
        <v>1.4650000000000001</v>
      </c>
      <c r="C48" s="698">
        <v>1.514</v>
      </c>
      <c r="D48" s="697">
        <v>1.44</v>
      </c>
      <c r="E48" s="699">
        <v>1.5409999999999999</v>
      </c>
      <c r="F48" s="698">
        <v>1.4159999999999999</v>
      </c>
      <c r="G48" s="698">
        <v>1.5680000000000001</v>
      </c>
      <c r="H48" s="697">
        <v>1.39</v>
      </c>
      <c r="I48" s="699">
        <v>1.595</v>
      </c>
      <c r="J48" s="698">
        <v>1.3640000000000001</v>
      </c>
      <c r="K48" s="698">
        <v>1.6240000000000001</v>
      </c>
      <c r="L48" s="697">
        <v>1.3380000000000001</v>
      </c>
      <c r="M48" s="699">
        <v>1.653</v>
      </c>
      <c r="N48" s="698">
        <v>1.3120000000000001</v>
      </c>
      <c r="O48" s="698">
        <v>1.6830000000000001</v>
      </c>
      <c r="P48" s="697">
        <v>1.2849999999999999</v>
      </c>
      <c r="Q48" s="698">
        <v>1.714</v>
      </c>
      <c r="R48" s="697">
        <v>1.2589999999999999</v>
      </c>
      <c r="S48" s="699">
        <v>1.7450000000000001</v>
      </c>
      <c r="T48" s="698">
        <v>1.232</v>
      </c>
      <c r="U48" s="698">
        <v>1.7769999999999999</v>
      </c>
      <c r="V48" s="697">
        <v>1.2050000000000001</v>
      </c>
      <c r="W48" s="698">
        <v>1.81</v>
      </c>
      <c r="X48" s="697">
        <v>1.177</v>
      </c>
      <c r="Y48" s="698">
        <v>1.8440000000000001</v>
      </c>
      <c r="Z48" s="697">
        <v>1.1499999999999999</v>
      </c>
      <c r="AA48" s="698">
        <v>1.8779999999999999</v>
      </c>
      <c r="AB48" s="697">
        <v>1.1220000000000001</v>
      </c>
      <c r="AC48" s="698">
        <v>1.913</v>
      </c>
      <c r="AD48" s="697">
        <v>1.0940000000000001</v>
      </c>
      <c r="AE48" s="698">
        <v>1.9490000000000001</v>
      </c>
      <c r="AF48" s="697">
        <v>1.0660000000000001</v>
      </c>
      <c r="AG48" s="699">
        <v>1.984</v>
      </c>
      <c r="AH48" s="698">
        <v>1.0389999999999999</v>
      </c>
      <c r="AI48" s="699">
        <v>2.0219999999999998</v>
      </c>
      <c r="AJ48" s="698">
        <v>1.0109999999999999</v>
      </c>
      <c r="AK48" s="699">
        <v>2.0590000000000002</v>
      </c>
      <c r="AL48" s="698">
        <v>0.98299999999999998</v>
      </c>
      <c r="AM48" s="699">
        <v>2.097</v>
      </c>
      <c r="AN48" s="698">
        <v>0.95499999999999996</v>
      </c>
      <c r="AO48" s="699">
        <v>2.1349999999999998</v>
      </c>
    </row>
    <row r="49" spans="1:41">
      <c r="A49" s="305">
        <v>85</v>
      </c>
      <c r="B49" s="697">
        <v>1.4810000000000001</v>
      </c>
      <c r="C49" s="698">
        <v>1.5289999999999999</v>
      </c>
      <c r="D49" s="697">
        <v>1.458</v>
      </c>
      <c r="E49" s="699">
        <v>1.5529999999999999</v>
      </c>
      <c r="F49" s="698">
        <v>1.4339999999999999</v>
      </c>
      <c r="G49" s="698">
        <v>1.577</v>
      </c>
      <c r="H49" s="697">
        <v>1.411</v>
      </c>
      <c r="I49" s="699">
        <v>1.603</v>
      </c>
      <c r="J49" s="698">
        <v>1.3859999999999999</v>
      </c>
      <c r="K49" s="698">
        <v>1.63</v>
      </c>
      <c r="L49" s="697">
        <v>1.3620000000000001</v>
      </c>
      <c r="M49" s="699">
        <v>1.657</v>
      </c>
      <c r="N49" s="698">
        <v>1.337</v>
      </c>
      <c r="O49" s="698">
        <v>1.6850000000000001</v>
      </c>
      <c r="P49" s="697">
        <v>1.3120000000000001</v>
      </c>
      <c r="Q49" s="698">
        <v>1.714</v>
      </c>
      <c r="R49" s="697">
        <v>1.2869999999999999</v>
      </c>
      <c r="S49" s="699">
        <v>1.7430000000000001</v>
      </c>
      <c r="T49" s="698">
        <v>1.262</v>
      </c>
      <c r="U49" s="698">
        <v>1.7729999999999999</v>
      </c>
      <c r="V49" s="697">
        <v>1.236</v>
      </c>
      <c r="W49" s="698">
        <v>1.8029999999999999</v>
      </c>
      <c r="X49" s="697">
        <v>1.21</v>
      </c>
      <c r="Y49" s="698">
        <v>1.8340000000000001</v>
      </c>
      <c r="Z49" s="697">
        <v>1.1839999999999999</v>
      </c>
      <c r="AA49" s="698">
        <v>1.8660000000000001</v>
      </c>
      <c r="AB49" s="697">
        <v>1.1579999999999999</v>
      </c>
      <c r="AC49" s="698">
        <v>1.8979999999999999</v>
      </c>
      <c r="AD49" s="697">
        <v>1.1319999999999999</v>
      </c>
      <c r="AE49" s="698">
        <v>1.931</v>
      </c>
      <c r="AF49" s="697">
        <v>1.1060000000000001</v>
      </c>
      <c r="AG49" s="699">
        <v>1.9650000000000001</v>
      </c>
      <c r="AH49" s="698">
        <v>1.08</v>
      </c>
      <c r="AI49" s="699">
        <v>1.9990000000000001</v>
      </c>
      <c r="AJ49" s="698">
        <v>1.0529999999999999</v>
      </c>
      <c r="AK49" s="699">
        <v>2.0329999999999999</v>
      </c>
      <c r="AL49" s="698">
        <v>1.0269999999999999</v>
      </c>
      <c r="AM49" s="699">
        <v>2.0680000000000001</v>
      </c>
      <c r="AN49" s="698">
        <v>1</v>
      </c>
      <c r="AO49" s="699">
        <v>2.1040000000000001</v>
      </c>
    </row>
    <row r="50" spans="1:41">
      <c r="A50" s="305">
        <v>90</v>
      </c>
      <c r="B50" s="697">
        <v>1.496</v>
      </c>
      <c r="C50" s="698">
        <v>1.5409999999999999</v>
      </c>
      <c r="D50" s="697">
        <v>1.474</v>
      </c>
      <c r="E50" s="699">
        <v>1.5629999999999999</v>
      </c>
      <c r="F50" s="698">
        <v>1.452</v>
      </c>
      <c r="G50" s="698">
        <v>1.587</v>
      </c>
      <c r="H50" s="697">
        <v>1.429</v>
      </c>
      <c r="I50" s="699">
        <v>1.611</v>
      </c>
      <c r="J50" s="698">
        <v>1.4059999999999999</v>
      </c>
      <c r="K50" s="698">
        <v>1.6359999999999999</v>
      </c>
      <c r="L50" s="697">
        <v>1.383</v>
      </c>
      <c r="M50" s="699">
        <v>1.661</v>
      </c>
      <c r="N50" s="698">
        <v>1.36</v>
      </c>
      <c r="O50" s="698">
        <v>1.6870000000000001</v>
      </c>
      <c r="P50" s="697">
        <v>1.3360000000000001</v>
      </c>
      <c r="Q50" s="698">
        <v>1.714</v>
      </c>
      <c r="R50" s="697">
        <v>1.3120000000000001</v>
      </c>
      <c r="S50" s="699">
        <v>1.7410000000000001</v>
      </c>
      <c r="T50" s="698">
        <v>1.288</v>
      </c>
      <c r="U50" s="698">
        <v>1.7689999999999999</v>
      </c>
      <c r="V50" s="697">
        <v>1.264</v>
      </c>
      <c r="W50" s="698">
        <v>1.798</v>
      </c>
      <c r="X50" s="697">
        <v>1.24</v>
      </c>
      <c r="Y50" s="698">
        <v>1.827</v>
      </c>
      <c r="Z50" s="697">
        <v>1.2150000000000001</v>
      </c>
      <c r="AA50" s="698">
        <v>1.8560000000000001</v>
      </c>
      <c r="AB50" s="697">
        <v>1.1910000000000001</v>
      </c>
      <c r="AC50" s="698">
        <v>1.8859999999999999</v>
      </c>
      <c r="AD50" s="697">
        <v>1.1659999999999999</v>
      </c>
      <c r="AE50" s="698">
        <v>1.917</v>
      </c>
      <c r="AF50" s="697">
        <v>1.141</v>
      </c>
      <c r="AG50" s="699">
        <v>1.948</v>
      </c>
      <c r="AH50" s="698">
        <v>1.1160000000000001</v>
      </c>
      <c r="AI50" s="699">
        <v>1.9790000000000001</v>
      </c>
      <c r="AJ50" s="698">
        <v>1.091</v>
      </c>
      <c r="AK50" s="699">
        <v>2.012</v>
      </c>
      <c r="AL50" s="698">
        <v>1.0660000000000001</v>
      </c>
      <c r="AM50" s="699">
        <v>2.044</v>
      </c>
      <c r="AN50" s="698">
        <v>1.0409999999999999</v>
      </c>
      <c r="AO50" s="699">
        <v>2.077</v>
      </c>
    </row>
    <row r="51" spans="1:41">
      <c r="A51" s="305">
        <v>95</v>
      </c>
      <c r="B51" s="697">
        <v>1.51</v>
      </c>
      <c r="C51" s="698">
        <v>1.552</v>
      </c>
      <c r="D51" s="697">
        <v>1.4890000000000001</v>
      </c>
      <c r="E51" s="699">
        <v>1.573</v>
      </c>
      <c r="F51" s="698">
        <v>1.468</v>
      </c>
      <c r="G51" s="698">
        <v>1.5960000000000001</v>
      </c>
      <c r="H51" s="697">
        <v>1.446</v>
      </c>
      <c r="I51" s="699">
        <v>1.6180000000000001</v>
      </c>
      <c r="J51" s="698">
        <v>1.425</v>
      </c>
      <c r="K51" s="698">
        <v>1.641</v>
      </c>
      <c r="L51" s="697">
        <v>1.403</v>
      </c>
      <c r="M51" s="699">
        <v>1.6659999999999999</v>
      </c>
      <c r="N51" s="698">
        <v>1.381</v>
      </c>
      <c r="O51" s="698">
        <v>1.69</v>
      </c>
      <c r="P51" s="697">
        <v>1.3580000000000001</v>
      </c>
      <c r="Q51" s="698">
        <v>1.7150000000000001</v>
      </c>
      <c r="R51" s="697">
        <v>1.3360000000000001</v>
      </c>
      <c r="S51" s="699">
        <v>1.7410000000000001</v>
      </c>
      <c r="T51" s="698">
        <v>1.3129999999999999</v>
      </c>
      <c r="U51" s="698">
        <v>1.7669999999999999</v>
      </c>
      <c r="V51" s="697">
        <v>1.29</v>
      </c>
      <c r="W51" s="698">
        <v>1.7929999999999999</v>
      </c>
      <c r="X51" s="697">
        <v>1.2669999999999999</v>
      </c>
      <c r="Y51" s="698">
        <v>1.821</v>
      </c>
      <c r="Z51" s="697">
        <v>1.244</v>
      </c>
      <c r="AA51" s="698">
        <v>1.8480000000000001</v>
      </c>
      <c r="AB51" s="697">
        <v>1.2210000000000001</v>
      </c>
      <c r="AC51" s="698">
        <v>1.8759999999999999</v>
      </c>
      <c r="AD51" s="697">
        <v>1.1970000000000001</v>
      </c>
      <c r="AE51" s="698">
        <v>1.905</v>
      </c>
      <c r="AF51" s="697">
        <v>1.1739999999999999</v>
      </c>
      <c r="AG51" s="699">
        <v>1.9430000000000001</v>
      </c>
      <c r="AH51" s="698">
        <v>1.1499999999999999</v>
      </c>
      <c r="AI51" s="699">
        <v>1.9630000000000001</v>
      </c>
      <c r="AJ51" s="698">
        <v>1.1259999999999999</v>
      </c>
      <c r="AK51" s="699">
        <v>1.9930000000000001</v>
      </c>
      <c r="AL51" s="698">
        <v>1.1020000000000001</v>
      </c>
      <c r="AM51" s="699">
        <v>2.0230000000000001</v>
      </c>
      <c r="AN51" s="698">
        <v>1.079</v>
      </c>
      <c r="AO51" s="699">
        <v>2.0539999999999998</v>
      </c>
    </row>
    <row r="52" spans="1:41">
      <c r="A52" s="305">
        <v>100</v>
      </c>
      <c r="B52" s="697">
        <v>1.522</v>
      </c>
      <c r="C52" s="698">
        <v>1.5620000000000001</v>
      </c>
      <c r="D52" s="697">
        <v>1.502</v>
      </c>
      <c r="E52" s="699">
        <v>1.5820000000000001</v>
      </c>
      <c r="F52" s="698">
        <v>1.482</v>
      </c>
      <c r="G52" s="698">
        <v>1.6040000000000001</v>
      </c>
      <c r="H52" s="697">
        <v>1.4610000000000001</v>
      </c>
      <c r="I52" s="699">
        <v>1.625</v>
      </c>
      <c r="J52" s="698">
        <v>1.4410000000000001</v>
      </c>
      <c r="K52" s="698">
        <v>1.647</v>
      </c>
      <c r="L52" s="697">
        <v>1.421</v>
      </c>
      <c r="M52" s="699">
        <v>1.67</v>
      </c>
      <c r="N52" s="698">
        <v>1.4</v>
      </c>
      <c r="O52" s="698">
        <v>1.6930000000000001</v>
      </c>
      <c r="P52" s="697">
        <v>1.3779999999999999</v>
      </c>
      <c r="Q52" s="698">
        <v>1.7170000000000001</v>
      </c>
      <c r="R52" s="697">
        <v>1.357</v>
      </c>
      <c r="S52" s="699">
        <v>1.7410000000000001</v>
      </c>
      <c r="T52" s="698">
        <v>1.335</v>
      </c>
      <c r="U52" s="698">
        <v>1.7649999999999999</v>
      </c>
      <c r="V52" s="697">
        <v>1.3140000000000001</v>
      </c>
      <c r="W52" s="698">
        <v>1.79</v>
      </c>
      <c r="X52" s="697">
        <v>1.292</v>
      </c>
      <c r="Y52" s="698">
        <v>1.8160000000000001</v>
      </c>
      <c r="Z52" s="697">
        <v>1.27</v>
      </c>
      <c r="AA52" s="698">
        <v>1.841</v>
      </c>
      <c r="AB52" s="697">
        <v>1.248</v>
      </c>
      <c r="AC52" s="698">
        <v>1.8680000000000001</v>
      </c>
      <c r="AD52" s="697">
        <v>1.2250000000000001</v>
      </c>
      <c r="AE52" s="698">
        <v>1.895</v>
      </c>
      <c r="AF52" s="697">
        <v>1.2030000000000001</v>
      </c>
      <c r="AG52" s="699">
        <v>1.9219999999999999</v>
      </c>
      <c r="AH52" s="698">
        <v>1.181</v>
      </c>
      <c r="AI52" s="699">
        <v>1.9490000000000001</v>
      </c>
      <c r="AJ52" s="698">
        <v>1.1579999999999999</v>
      </c>
      <c r="AK52" s="699">
        <v>1.9770000000000001</v>
      </c>
      <c r="AL52" s="698">
        <v>1.1359999999999999</v>
      </c>
      <c r="AM52" s="699">
        <v>2.0059999999999998</v>
      </c>
      <c r="AN52" s="698">
        <v>1.113</v>
      </c>
      <c r="AO52" s="699">
        <v>2.0339999999999998</v>
      </c>
    </row>
    <row r="53" spans="1:41">
      <c r="A53" s="305">
        <v>150</v>
      </c>
      <c r="B53" s="697">
        <v>1.611</v>
      </c>
      <c r="C53" s="698">
        <v>1.637</v>
      </c>
      <c r="D53" s="697">
        <v>1.5980000000000001</v>
      </c>
      <c r="E53" s="699">
        <v>1.651</v>
      </c>
      <c r="F53" s="698">
        <v>1.5840000000000001</v>
      </c>
      <c r="G53" s="698">
        <v>1.665</v>
      </c>
      <c r="H53" s="697">
        <v>1.571</v>
      </c>
      <c r="I53" s="699">
        <v>1.679</v>
      </c>
      <c r="J53" s="698">
        <v>1.5569999999999999</v>
      </c>
      <c r="K53" s="698">
        <v>1.6930000000000001</v>
      </c>
      <c r="L53" s="697">
        <v>1.5429999999999999</v>
      </c>
      <c r="M53" s="699">
        <v>1.708</v>
      </c>
      <c r="N53" s="698">
        <v>1.53</v>
      </c>
      <c r="O53" s="698">
        <v>1.722</v>
      </c>
      <c r="P53" s="697">
        <v>1.5149999999999999</v>
      </c>
      <c r="Q53" s="698">
        <v>1.7370000000000001</v>
      </c>
      <c r="R53" s="697">
        <v>1.5009999999999999</v>
      </c>
      <c r="S53" s="699">
        <v>1.752</v>
      </c>
      <c r="T53" s="698">
        <v>1.486</v>
      </c>
      <c r="U53" s="698">
        <v>1.7669999999999999</v>
      </c>
      <c r="V53" s="697">
        <v>1.4730000000000001</v>
      </c>
      <c r="W53" s="698">
        <v>1.7829999999999999</v>
      </c>
      <c r="X53" s="697">
        <v>1.458</v>
      </c>
      <c r="Y53" s="698">
        <v>1.7989999999999999</v>
      </c>
      <c r="Z53" s="697">
        <v>1.444</v>
      </c>
      <c r="AA53" s="698">
        <v>1.8140000000000001</v>
      </c>
      <c r="AB53" s="697">
        <v>1.429</v>
      </c>
      <c r="AC53" s="698">
        <v>1.83</v>
      </c>
      <c r="AD53" s="697">
        <v>1.4139999999999999</v>
      </c>
      <c r="AE53" s="698">
        <v>1.847</v>
      </c>
      <c r="AF53" s="697">
        <v>1.4</v>
      </c>
      <c r="AG53" s="699">
        <v>1.863</v>
      </c>
      <c r="AH53" s="698">
        <v>1.385</v>
      </c>
      <c r="AI53" s="699">
        <v>1.88</v>
      </c>
      <c r="AJ53" s="698">
        <v>1.37</v>
      </c>
      <c r="AK53" s="699">
        <v>1.897</v>
      </c>
      <c r="AL53" s="698">
        <v>1.355</v>
      </c>
      <c r="AM53" s="699">
        <v>1.913</v>
      </c>
      <c r="AN53" s="698">
        <v>1.34</v>
      </c>
      <c r="AO53" s="699">
        <v>1.931</v>
      </c>
    </row>
    <row r="54" spans="1:41">
      <c r="A54" s="304">
        <v>200</v>
      </c>
      <c r="B54" s="700">
        <v>1.6639999999999999</v>
      </c>
      <c r="C54" s="701">
        <v>1.6839999999999999</v>
      </c>
      <c r="D54" s="700">
        <v>1.653</v>
      </c>
      <c r="E54" s="702">
        <v>1.6930000000000001</v>
      </c>
      <c r="F54" s="701">
        <v>1.643</v>
      </c>
      <c r="G54" s="701">
        <v>1.704</v>
      </c>
      <c r="H54" s="700">
        <v>1.633</v>
      </c>
      <c r="I54" s="702">
        <v>1.7150000000000001</v>
      </c>
      <c r="J54" s="701">
        <v>1.623</v>
      </c>
      <c r="K54" s="701">
        <v>1.7250000000000001</v>
      </c>
      <c r="L54" s="700">
        <v>1.613</v>
      </c>
      <c r="M54" s="702">
        <v>1.7350000000000001</v>
      </c>
      <c r="N54" s="701">
        <v>1.603</v>
      </c>
      <c r="O54" s="701">
        <v>1.746</v>
      </c>
      <c r="P54" s="700">
        <v>1.5920000000000001</v>
      </c>
      <c r="Q54" s="701">
        <v>1.7569999999999999</v>
      </c>
      <c r="R54" s="700">
        <v>1.5820000000000001</v>
      </c>
      <c r="S54" s="702">
        <v>1.768</v>
      </c>
      <c r="T54" s="701">
        <v>1.571</v>
      </c>
      <c r="U54" s="701">
        <v>1.7789999999999999</v>
      </c>
      <c r="V54" s="700">
        <v>1.5609999999999999</v>
      </c>
      <c r="W54" s="701">
        <v>1.7909999999999999</v>
      </c>
      <c r="X54" s="700">
        <v>1.55</v>
      </c>
      <c r="Y54" s="701">
        <v>1.8009999999999999</v>
      </c>
      <c r="Z54" s="700">
        <v>1.5389999999999999</v>
      </c>
      <c r="AA54" s="701">
        <v>1.8129999999999999</v>
      </c>
      <c r="AB54" s="700">
        <v>1.528</v>
      </c>
      <c r="AC54" s="701">
        <v>1.8240000000000001</v>
      </c>
      <c r="AD54" s="700">
        <v>1.518</v>
      </c>
      <c r="AE54" s="701">
        <v>1.8360000000000001</v>
      </c>
      <c r="AF54" s="700">
        <v>1.5069999999999999</v>
      </c>
      <c r="AG54" s="702">
        <v>1.847</v>
      </c>
      <c r="AH54" s="701">
        <v>1.4950000000000001</v>
      </c>
      <c r="AI54" s="702">
        <v>1.86</v>
      </c>
      <c r="AJ54" s="701">
        <v>1.484</v>
      </c>
      <c r="AK54" s="702">
        <v>1.871</v>
      </c>
      <c r="AL54" s="701">
        <v>1.474</v>
      </c>
      <c r="AM54" s="702">
        <v>1.883</v>
      </c>
      <c r="AN54" s="701">
        <v>1.462</v>
      </c>
      <c r="AO54" s="702">
        <v>1.8959999999999999</v>
      </c>
    </row>
    <row r="56" spans="1:41">
      <c r="A56" s="708" t="s">
        <v>1040</v>
      </c>
    </row>
  </sheetData>
  <mergeCells count="20">
    <mergeCell ref="X5:Y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L5:AM5"/>
    <mergeCell ref="AN5:AO5"/>
    <mergeCell ref="Z5:AA5"/>
    <mergeCell ref="AB5:AC5"/>
    <mergeCell ref="AD5:AE5"/>
    <mergeCell ref="AF5:AG5"/>
    <mergeCell ref="AH5:AI5"/>
    <mergeCell ref="AJ5:AK5"/>
  </mergeCells>
  <hyperlinks>
    <hyperlink ref="A56" r:id="rId1" xr:uid="{00000000-0004-0000-6900-000000000000}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1"/>
  <dimension ref="A1:AO54"/>
  <sheetViews>
    <sheetView workbookViewId="0"/>
  </sheetViews>
  <sheetFormatPr defaultColWidth="9.140625" defaultRowHeight="15"/>
  <cols>
    <col min="1" max="1" width="5.7109375" style="24" customWidth="1"/>
    <col min="2" max="41" width="5.7109375" style="704" customWidth="1"/>
    <col min="42" max="16384" width="9.140625" style="704"/>
  </cols>
  <sheetData>
    <row r="1" spans="1:41">
      <c r="A1" s="703" t="s">
        <v>1037</v>
      </c>
    </row>
    <row r="3" spans="1:41">
      <c r="A3" s="703" t="s">
        <v>1041</v>
      </c>
    </row>
    <row r="5" spans="1:41" s="24" customFormat="1">
      <c r="A5" s="705" t="s">
        <v>1039</v>
      </c>
      <c r="B5" s="757">
        <v>1</v>
      </c>
      <c r="C5" s="757"/>
      <c r="D5" s="757">
        <v>2</v>
      </c>
      <c r="E5" s="757"/>
      <c r="F5" s="757">
        <v>3</v>
      </c>
      <c r="G5" s="757"/>
      <c r="H5" s="757">
        <v>4</v>
      </c>
      <c r="I5" s="757"/>
      <c r="J5" s="757">
        <v>5</v>
      </c>
      <c r="K5" s="757"/>
      <c r="L5" s="757">
        <v>6</v>
      </c>
      <c r="M5" s="757"/>
      <c r="N5" s="757">
        <v>7</v>
      </c>
      <c r="O5" s="757"/>
      <c r="P5" s="757">
        <v>8</v>
      </c>
      <c r="Q5" s="757"/>
      <c r="R5" s="757">
        <v>9</v>
      </c>
      <c r="S5" s="757"/>
      <c r="T5" s="757">
        <v>10</v>
      </c>
      <c r="U5" s="757"/>
      <c r="V5" s="757">
        <v>11</v>
      </c>
      <c r="W5" s="757"/>
      <c r="X5" s="757">
        <v>12</v>
      </c>
      <c r="Y5" s="757"/>
      <c r="Z5" s="757">
        <v>13</v>
      </c>
      <c r="AA5" s="757"/>
      <c r="AB5" s="757">
        <v>14</v>
      </c>
      <c r="AC5" s="757"/>
      <c r="AD5" s="757">
        <v>15</v>
      </c>
      <c r="AE5" s="757"/>
      <c r="AF5" s="757">
        <v>16</v>
      </c>
      <c r="AG5" s="757"/>
      <c r="AH5" s="757">
        <v>17</v>
      </c>
      <c r="AI5" s="757"/>
      <c r="AJ5" s="757">
        <v>18</v>
      </c>
      <c r="AK5" s="757"/>
      <c r="AL5" s="757">
        <v>19</v>
      </c>
      <c r="AM5" s="757"/>
      <c r="AN5" s="757">
        <v>20</v>
      </c>
      <c r="AO5" s="757"/>
    </row>
    <row r="6" spans="1:41">
      <c r="A6" s="707">
        <v>6</v>
      </c>
      <c r="B6" s="694">
        <v>0.61</v>
      </c>
      <c r="C6" s="695">
        <v>1.4</v>
      </c>
      <c r="D6" s="694"/>
      <c r="E6" s="696"/>
      <c r="F6" s="695"/>
      <c r="G6" s="695"/>
      <c r="H6" s="694"/>
      <c r="I6" s="696"/>
      <c r="J6" s="695"/>
      <c r="K6" s="695"/>
      <c r="L6" s="694"/>
      <c r="M6" s="696"/>
      <c r="N6" s="695"/>
      <c r="O6" s="695"/>
      <c r="P6" s="694"/>
      <c r="Q6" s="695"/>
      <c r="R6" s="694"/>
      <c r="S6" s="696"/>
      <c r="T6" s="695"/>
      <c r="U6" s="695"/>
      <c r="V6" s="694"/>
      <c r="W6" s="696"/>
      <c r="X6" s="695"/>
      <c r="Y6" s="695"/>
      <c r="Z6" s="694"/>
      <c r="AA6" s="696"/>
      <c r="AB6" s="695"/>
      <c r="AC6" s="695"/>
      <c r="AD6" s="694"/>
      <c r="AE6" s="696"/>
      <c r="AF6" s="695"/>
      <c r="AG6" s="695"/>
      <c r="AH6" s="694"/>
      <c r="AI6" s="696"/>
      <c r="AJ6" s="695"/>
      <c r="AK6" s="695"/>
      <c r="AL6" s="694"/>
      <c r="AM6" s="696"/>
      <c r="AN6" s="695"/>
      <c r="AO6" s="696"/>
    </row>
    <row r="7" spans="1:41">
      <c r="A7" s="305">
        <v>7</v>
      </c>
      <c r="B7" s="697">
        <v>0.7</v>
      </c>
      <c r="C7" s="698">
        <v>1.3560000000000001</v>
      </c>
      <c r="D7" s="697">
        <v>0.46700000000000003</v>
      </c>
      <c r="E7" s="699">
        <v>1.8959999999999999</v>
      </c>
      <c r="F7" s="698"/>
      <c r="G7" s="698"/>
      <c r="H7" s="697"/>
      <c r="I7" s="699"/>
      <c r="J7" s="698"/>
      <c r="K7" s="698"/>
      <c r="L7" s="697"/>
      <c r="M7" s="699"/>
      <c r="N7" s="698"/>
      <c r="O7" s="698"/>
      <c r="P7" s="697"/>
      <c r="Q7" s="698"/>
      <c r="R7" s="697"/>
      <c r="S7" s="699"/>
      <c r="T7" s="698"/>
      <c r="U7" s="698"/>
      <c r="V7" s="697"/>
      <c r="W7" s="699"/>
      <c r="X7" s="698"/>
      <c r="Y7" s="698"/>
      <c r="Z7" s="697"/>
      <c r="AA7" s="699"/>
      <c r="AB7" s="698"/>
      <c r="AC7" s="698"/>
      <c r="AD7" s="697"/>
      <c r="AE7" s="699"/>
      <c r="AF7" s="698"/>
      <c r="AG7" s="698"/>
      <c r="AH7" s="697"/>
      <c r="AI7" s="699"/>
      <c r="AJ7" s="698"/>
      <c r="AK7" s="698"/>
      <c r="AL7" s="697"/>
      <c r="AM7" s="699"/>
      <c r="AN7" s="698"/>
      <c r="AO7" s="699"/>
    </row>
    <row r="8" spans="1:41">
      <c r="A8" s="305">
        <v>8</v>
      </c>
      <c r="B8" s="697">
        <v>0.76300000000000001</v>
      </c>
      <c r="C8" s="698">
        <v>1.3320000000000001</v>
      </c>
      <c r="D8" s="697">
        <v>0.55900000000000005</v>
      </c>
      <c r="E8" s="699">
        <v>1.7769999999999999</v>
      </c>
      <c r="F8" s="698">
        <v>0.36699999999999999</v>
      </c>
      <c r="G8" s="698">
        <v>2.2869999999999999</v>
      </c>
      <c r="H8" s="697"/>
      <c r="I8" s="699"/>
      <c r="J8" s="698"/>
      <c r="K8" s="698"/>
      <c r="L8" s="697"/>
      <c r="M8" s="699"/>
      <c r="N8" s="698"/>
      <c r="O8" s="698"/>
      <c r="P8" s="697"/>
      <c r="Q8" s="698"/>
      <c r="R8" s="697"/>
      <c r="S8" s="699"/>
      <c r="T8" s="698"/>
      <c r="U8" s="698"/>
      <c r="V8" s="697"/>
      <c r="W8" s="699"/>
      <c r="X8" s="698"/>
      <c r="Y8" s="698"/>
      <c r="Z8" s="697"/>
      <c r="AA8" s="699"/>
      <c r="AB8" s="698"/>
      <c r="AC8" s="698"/>
      <c r="AD8" s="697"/>
      <c r="AE8" s="699"/>
      <c r="AF8" s="698"/>
      <c r="AG8" s="698"/>
      <c r="AH8" s="697"/>
      <c r="AI8" s="699"/>
      <c r="AJ8" s="698"/>
      <c r="AK8" s="698"/>
      <c r="AL8" s="697"/>
      <c r="AM8" s="699"/>
      <c r="AN8" s="698"/>
      <c r="AO8" s="699"/>
    </row>
    <row r="9" spans="1:41">
      <c r="A9" s="305">
        <v>9</v>
      </c>
      <c r="B9" s="697">
        <v>0.82399999999999995</v>
      </c>
      <c r="C9" s="698">
        <v>1.32</v>
      </c>
      <c r="D9" s="697">
        <v>0.629</v>
      </c>
      <c r="E9" s="699">
        <v>1.6990000000000001</v>
      </c>
      <c r="F9" s="698">
        <v>0.45500000000000002</v>
      </c>
      <c r="G9" s="698">
        <v>2.1280000000000001</v>
      </c>
      <c r="H9" s="697">
        <v>0.29599999999999999</v>
      </c>
      <c r="I9" s="699">
        <v>2.5880000000000001</v>
      </c>
      <c r="J9" s="698"/>
      <c r="K9" s="698"/>
      <c r="L9" s="697"/>
      <c r="M9" s="699"/>
      <c r="N9" s="698"/>
      <c r="O9" s="698"/>
      <c r="P9" s="697"/>
      <c r="Q9" s="698"/>
      <c r="R9" s="697"/>
      <c r="S9" s="699"/>
      <c r="T9" s="698"/>
      <c r="U9" s="698"/>
      <c r="V9" s="697"/>
      <c r="W9" s="699"/>
      <c r="X9" s="698"/>
      <c r="Y9" s="698"/>
      <c r="Z9" s="697"/>
      <c r="AA9" s="699"/>
      <c r="AB9" s="698"/>
      <c r="AC9" s="698"/>
      <c r="AD9" s="697"/>
      <c r="AE9" s="699"/>
      <c r="AF9" s="698"/>
      <c r="AG9" s="698"/>
      <c r="AH9" s="697"/>
      <c r="AI9" s="699"/>
      <c r="AJ9" s="698"/>
      <c r="AK9" s="698"/>
      <c r="AL9" s="697"/>
      <c r="AM9" s="699"/>
      <c r="AN9" s="698"/>
      <c r="AO9" s="699"/>
    </row>
    <row r="10" spans="1:41">
      <c r="A10" s="305">
        <v>10</v>
      </c>
      <c r="B10" s="697">
        <v>0.879</v>
      </c>
      <c r="C10" s="698">
        <v>1.32</v>
      </c>
      <c r="D10" s="697">
        <v>0.69699999999999995</v>
      </c>
      <c r="E10" s="699">
        <v>1.641</v>
      </c>
      <c r="F10" s="698">
        <v>0.52500000000000002</v>
      </c>
      <c r="G10" s="698">
        <v>2.016</v>
      </c>
      <c r="H10" s="697">
        <v>0.376</v>
      </c>
      <c r="I10" s="699">
        <v>2.4140000000000001</v>
      </c>
      <c r="J10" s="698">
        <v>0.24299999999999999</v>
      </c>
      <c r="K10" s="698">
        <v>2.8220000000000001</v>
      </c>
      <c r="L10" s="697"/>
      <c r="M10" s="699"/>
      <c r="N10" s="698"/>
      <c r="O10" s="698"/>
      <c r="P10" s="697"/>
      <c r="Q10" s="698"/>
      <c r="R10" s="697"/>
      <c r="S10" s="699"/>
      <c r="T10" s="698"/>
      <c r="U10" s="698"/>
      <c r="V10" s="697"/>
      <c r="W10" s="699"/>
      <c r="X10" s="698"/>
      <c r="Y10" s="698"/>
      <c r="Z10" s="697"/>
      <c r="AA10" s="699"/>
      <c r="AB10" s="698"/>
      <c r="AC10" s="698"/>
      <c r="AD10" s="697"/>
      <c r="AE10" s="699"/>
      <c r="AF10" s="698"/>
      <c r="AG10" s="698"/>
      <c r="AH10" s="697"/>
      <c r="AI10" s="699"/>
      <c r="AJ10" s="698"/>
      <c r="AK10" s="698"/>
      <c r="AL10" s="697"/>
      <c r="AM10" s="699"/>
      <c r="AN10" s="698"/>
      <c r="AO10" s="699"/>
    </row>
    <row r="11" spans="1:41">
      <c r="A11" s="305">
        <v>11</v>
      </c>
      <c r="B11" s="697">
        <v>0.92700000000000005</v>
      </c>
      <c r="C11" s="698">
        <v>1.3240000000000001</v>
      </c>
      <c r="D11" s="697">
        <v>0.75800000000000001</v>
      </c>
      <c r="E11" s="699">
        <v>1.6040000000000001</v>
      </c>
      <c r="F11" s="698">
        <v>0.59499999999999997</v>
      </c>
      <c r="G11" s="698">
        <v>1.9279999999999999</v>
      </c>
      <c r="H11" s="697">
        <v>0.44400000000000001</v>
      </c>
      <c r="I11" s="699">
        <v>2.2829999999999999</v>
      </c>
      <c r="J11" s="698">
        <v>0.315</v>
      </c>
      <c r="K11" s="698">
        <v>2.645</v>
      </c>
      <c r="L11" s="697">
        <v>0.20300000000000001</v>
      </c>
      <c r="M11" s="699">
        <v>3.004</v>
      </c>
      <c r="N11" s="698"/>
      <c r="O11" s="698"/>
      <c r="P11" s="697"/>
      <c r="Q11" s="698"/>
      <c r="R11" s="697"/>
      <c r="S11" s="699"/>
      <c r="T11" s="698"/>
      <c r="U11" s="698"/>
      <c r="V11" s="697"/>
      <c r="W11" s="699"/>
      <c r="X11" s="698"/>
      <c r="Y11" s="698"/>
      <c r="Z11" s="697"/>
      <c r="AA11" s="699"/>
      <c r="AB11" s="698"/>
      <c r="AC11" s="698"/>
      <c r="AD11" s="697"/>
      <c r="AE11" s="699"/>
      <c r="AF11" s="698"/>
      <c r="AG11" s="698"/>
      <c r="AH11" s="697"/>
      <c r="AI11" s="699"/>
      <c r="AJ11" s="698"/>
      <c r="AK11" s="698"/>
      <c r="AL11" s="697"/>
      <c r="AM11" s="699"/>
      <c r="AN11" s="698"/>
      <c r="AO11" s="699"/>
    </row>
    <row r="12" spans="1:41">
      <c r="A12" s="305">
        <v>12</v>
      </c>
      <c r="B12" s="697">
        <v>0.97099999999999997</v>
      </c>
      <c r="C12" s="698">
        <v>1.331</v>
      </c>
      <c r="D12" s="697">
        <v>0.81200000000000006</v>
      </c>
      <c r="E12" s="699">
        <v>1.579</v>
      </c>
      <c r="F12" s="698">
        <v>0.65800000000000003</v>
      </c>
      <c r="G12" s="698">
        <v>1.8640000000000001</v>
      </c>
      <c r="H12" s="697">
        <v>0.51200000000000001</v>
      </c>
      <c r="I12" s="699">
        <v>2.177</v>
      </c>
      <c r="J12" s="698">
        <v>0.38</v>
      </c>
      <c r="K12" s="698">
        <v>2.5059999999999998</v>
      </c>
      <c r="L12" s="697">
        <v>0.26800000000000002</v>
      </c>
      <c r="M12" s="699">
        <v>2.8319999999999999</v>
      </c>
      <c r="N12" s="698">
        <v>0.17100000000000001</v>
      </c>
      <c r="O12" s="698">
        <v>3.149</v>
      </c>
      <c r="P12" s="697"/>
      <c r="Q12" s="698"/>
      <c r="R12" s="697"/>
      <c r="S12" s="699"/>
      <c r="T12" s="698"/>
      <c r="U12" s="698"/>
      <c r="V12" s="697"/>
      <c r="W12" s="699"/>
      <c r="X12" s="698"/>
      <c r="Y12" s="698"/>
      <c r="Z12" s="697"/>
      <c r="AA12" s="699"/>
      <c r="AB12" s="698"/>
      <c r="AC12" s="698"/>
      <c r="AD12" s="697"/>
      <c r="AE12" s="699"/>
      <c r="AF12" s="698"/>
      <c r="AG12" s="698"/>
      <c r="AH12" s="697"/>
      <c r="AI12" s="699"/>
      <c r="AJ12" s="698"/>
      <c r="AK12" s="698"/>
      <c r="AL12" s="697"/>
      <c r="AM12" s="699"/>
      <c r="AN12" s="698"/>
      <c r="AO12" s="699"/>
    </row>
    <row r="13" spans="1:41">
      <c r="A13" s="305">
        <v>13</v>
      </c>
      <c r="B13" s="697">
        <v>1.01</v>
      </c>
      <c r="C13" s="698">
        <v>1.34</v>
      </c>
      <c r="D13" s="697">
        <v>0.86099999999999999</v>
      </c>
      <c r="E13" s="699">
        <v>1.5620000000000001</v>
      </c>
      <c r="F13" s="698">
        <v>0.71499999999999997</v>
      </c>
      <c r="G13" s="698">
        <v>1.8160000000000001</v>
      </c>
      <c r="H13" s="697">
        <v>0.57399999999999995</v>
      </c>
      <c r="I13" s="699">
        <v>2.0939999999999999</v>
      </c>
      <c r="J13" s="698">
        <v>0.44400000000000001</v>
      </c>
      <c r="K13" s="698">
        <v>2.39</v>
      </c>
      <c r="L13" s="697">
        <v>0.32800000000000001</v>
      </c>
      <c r="M13" s="699">
        <v>2.6920000000000002</v>
      </c>
      <c r="N13" s="698">
        <v>0.23</v>
      </c>
      <c r="O13" s="698">
        <v>2.9849999999999999</v>
      </c>
      <c r="P13" s="697">
        <v>0.14699999999999999</v>
      </c>
      <c r="Q13" s="698">
        <v>3.266</v>
      </c>
      <c r="R13" s="697"/>
      <c r="S13" s="699"/>
      <c r="T13" s="698"/>
      <c r="U13" s="698"/>
      <c r="V13" s="697"/>
      <c r="W13" s="699"/>
      <c r="X13" s="698"/>
      <c r="Y13" s="698"/>
      <c r="Z13" s="697"/>
      <c r="AA13" s="699"/>
      <c r="AB13" s="698"/>
      <c r="AC13" s="698"/>
      <c r="AD13" s="697"/>
      <c r="AE13" s="699"/>
      <c r="AF13" s="698"/>
      <c r="AG13" s="698"/>
      <c r="AH13" s="697"/>
      <c r="AI13" s="699"/>
      <c r="AJ13" s="698"/>
      <c r="AK13" s="698"/>
      <c r="AL13" s="697"/>
      <c r="AM13" s="699"/>
      <c r="AN13" s="698"/>
      <c r="AO13" s="699"/>
    </row>
    <row r="14" spans="1:41">
      <c r="A14" s="305">
        <v>14</v>
      </c>
      <c r="B14" s="697">
        <v>1.0449999999999999</v>
      </c>
      <c r="C14" s="698">
        <v>1.35</v>
      </c>
      <c r="D14" s="697">
        <v>0.90500000000000003</v>
      </c>
      <c r="E14" s="699">
        <v>1.5509999999999999</v>
      </c>
      <c r="F14" s="698">
        <v>0.76700000000000002</v>
      </c>
      <c r="G14" s="698">
        <v>1.7789999999999999</v>
      </c>
      <c r="H14" s="697">
        <v>0.63200000000000001</v>
      </c>
      <c r="I14" s="699">
        <v>2.0299999999999998</v>
      </c>
      <c r="J14" s="698">
        <v>0.505</v>
      </c>
      <c r="K14" s="698">
        <v>2.2959999999999998</v>
      </c>
      <c r="L14" s="697">
        <v>0.38900000000000001</v>
      </c>
      <c r="M14" s="699">
        <v>2.5720000000000001</v>
      </c>
      <c r="N14" s="698">
        <v>0.28599999999999998</v>
      </c>
      <c r="O14" s="698">
        <v>2.8479999999999999</v>
      </c>
      <c r="P14" s="697">
        <v>0.2</v>
      </c>
      <c r="Q14" s="698">
        <v>3.1110000000000002</v>
      </c>
      <c r="R14" s="697">
        <v>0.127</v>
      </c>
      <c r="S14" s="699">
        <v>3.36</v>
      </c>
      <c r="T14" s="698"/>
      <c r="U14" s="698"/>
      <c r="V14" s="697"/>
      <c r="W14" s="699"/>
      <c r="X14" s="698"/>
      <c r="Y14" s="698"/>
      <c r="Z14" s="697"/>
      <c r="AA14" s="699"/>
      <c r="AB14" s="698"/>
      <c r="AC14" s="698"/>
      <c r="AD14" s="697"/>
      <c r="AE14" s="699"/>
      <c r="AF14" s="698"/>
      <c r="AG14" s="698"/>
      <c r="AH14" s="697"/>
      <c r="AI14" s="699"/>
      <c r="AJ14" s="698"/>
      <c r="AK14" s="698"/>
      <c r="AL14" s="697"/>
      <c r="AM14" s="699"/>
      <c r="AN14" s="698"/>
      <c r="AO14" s="699"/>
    </row>
    <row r="15" spans="1:41">
      <c r="A15" s="305">
        <v>15</v>
      </c>
      <c r="B15" s="697">
        <v>1.077</v>
      </c>
      <c r="C15" s="698">
        <v>1.361</v>
      </c>
      <c r="D15" s="697">
        <v>0.94599999999999995</v>
      </c>
      <c r="E15" s="699">
        <v>1.5429999999999999</v>
      </c>
      <c r="F15" s="698">
        <v>0.81399999999999995</v>
      </c>
      <c r="G15" s="698">
        <v>1.75</v>
      </c>
      <c r="H15" s="697">
        <v>0.68500000000000005</v>
      </c>
      <c r="I15" s="699">
        <v>1.9770000000000001</v>
      </c>
      <c r="J15" s="698">
        <v>0.56200000000000006</v>
      </c>
      <c r="K15" s="698">
        <v>2.2200000000000002</v>
      </c>
      <c r="L15" s="697">
        <v>0.44700000000000001</v>
      </c>
      <c r="M15" s="699">
        <v>2.4710000000000001</v>
      </c>
      <c r="N15" s="698">
        <v>0.34300000000000003</v>
      </c>
      <c r="O15" s="698">
        <v>2.7269999999999999</v>
      </c>
      <c r="P15" s="697">
        <v>0.251</v>
      </c>
      <c r="Q15" s="698">
        <v>2.9790000000000001</v>
      </c>
      <c r="R15" s="697">
        <v>0.17499999999999999</v>
      </c>
      <c r="S15" s="699">
        <v>3.2160000000000002</v>
      </c>
      <c r="T15" s="698">
        <v>0.111</v>
      </c>
      <c r="U15" s="698">
        <v>3.4380000000000002</v>
      </c>
      <c r="V15" s="697"/>
      <c r="W15" s="699"/>
      <c r="X15" s="698"/>
      <c r="Y15" s="698"/>
      <c r="Z15" s="697"/>
      <c r="AA15" s="699"/>
      <c r="AB15" s="698"/>
      <c r="AC15" s="698"/>
      <c r="AD15" s="697"/>
      <c r="AE15" s="699"/>
      <c r="AF15" s="698"/>
      <c r="AG15" s="698"/>
      <c r="AH15" s="697"/>
      <c r="AI15" s="699"/>
      <c r="AJ15" s="698"/>
      <c r="AK15" s="698"/>
      <c r="AL15" s="697"/>
      <c r="AM15" s="699"/>
      <c r="AN15" s="698"/>
      <c r="AO15" s="699"/>
    </row>
    <row r="16" spans="1:41">
      <c r="A16" s="305">
        <v>16</v>
      </c>
      <c r="B16" s="697">
        <v>1.1060000000000001</v>
      </c>
      <c r="C16" s="698">
        <v>1.371</v>
      </c>
      <c r="D16" s="697">
        <v>0.98199999999999998</v>
      </c>
      <c r="E16" s="699">
        <v>1.5389999999999999</v>
      </c>
      <c r="F16" s="698">
        <v>0.85699999999999998</v>
      </c>
      <c r="G16" s="698">
        <v>1.728</v>
      </c>
      <c r="H16" s="697">
        <v>0.73399999999999999</v>
      </c>
      <c r="I16" s="699">
        <v>1.9350000000000001</v>
      </c>
      <c r="J16" s="698">
        <v>0.61499999999999999</v>
      </c>
      <c r="K16" s="698">
        <v>2.157</v>
      </c>
      <c r="L16" s="697">
        <v>0.502</v>
      </c>
      <c r="M16" s="699">
        <v>2.3879999999999999</v>
      </c>
      <c r="N16" s="698">
        <v>0.39800000000000002</v>
      </c>
      <c r="O16" s="698">
        <v>2.6240000000000001</v>
      </c>
      <c r="P16" s="697">
        <v>0.30399999999999999</v>
      </c>
      <c r="Q16" s="698">
        <v>2.86</v>
      </c>
      <c r="R16" s="697">
        <v>0.222</v>
      </c>
      <c r="S16" s="699">
        <v>3.09</v>
      </c>
      <c r="T16" s="698">
        <v>0.155</v>
      </c>
      <c r="U16" s="698">
        <v>3.3039999999999998</v>
      </c>
      <c r="V16" s="697">
        <v>9.8000000000000004E-2</v>
      </c>
      <c r="W16" s="699">
        <v>3.5030000000000001</v>
      </c>
      <c r="X16" s="698"/>
      <c r="Y16" s="698"/>
      <c r="Z16" s="697"/>
      <c r="AA16" s="699"/>
      <c r="AB16" s="698"/>
      <c r="AC16" s="698"/>
      <c r="AD16" s="697"/>
      <c r="AE16" s="699"/>
      <c r="AF16" s="698"/>
      <c r="AG16" s="698"/>
      <c r="AH16" s="697"/>
      <c r="AI16" s="699"/>
      <c r="AJ16" s="698"/>
      <c r="AK16" s="698"/>
      <c r="AL16" s="697"/>
      <c r="AM16" s="699"/>
      <c r="AN16" s="698"/>
      <c r="AO16" s="699"/>
    </row>
    <row r="17" spans="1:41">
      <c r="A17" s="305">
        <v>17</v>
      </c>
      <c r="B17" s="697">
        <v>1.133</v>
      </c>
      <c r="C17" s="698">
        <v>1.381</v>
      </c>
      <c r="D17" s="697">
        <v>1.0149999999999999</v>
      </c>
      <c r="E17" s="699">
        <v>1.536</v>
      </c>
      <c r="F17" s="698">
        <v>0.89700000000000002</v>
      </c>
      <c r="G17" s="698">
        <v>1.71</v>
      </c>
      <c r="H17" s="697">
        <v>0.77900000000000003</v>
      </c>
      <c r="I17" s="699">
        <v>1.9</v>
      </c>
      <c r="J17" s="698">
        <v>0.66400000000000003</v>
      </c>
      <c r="K17" s="698">
        <v>2.1040000000000001</v>
      </c>
      <c r="L17" s="697">
        <v>0.55400000000000005</v>
      </c>
      <c r="M17" s="699">
        <v>2.3180000000000001</v>
      </c>
      <c r="N17" s="698">
        <v>0.45100000000000001</v>
      </c>
      <c r="O17" s="698">
        <v>2.5369999999999999</v>
      </c>
      <c r="P17" s="697">
        <v>0.35599999999999998</v>
      </c>
      <c r="Q17" s="698">
        <v>2.7570000000000001</v>
      </c>
      <c r="R17" s="697">
        <v>0.27200000000000002</v>
      </c>
      <c r="S17" s="699">
        <v>2.9750000000000001</v>
      </c>
      <c r="T17" s="698">
        <v>0.19800000000000001</v>
      </c>
      <c r="U17" s="698">
        <v>3.1840000000000002</v>
      </c>
      <c r="V17" s="697">
        <v>0.13800000000000001</v>
      </c>
      <c r="W17" s="699">
        <v>3.3780000000000001</v>
      </c>
      <c r="X17" s="698">
        <v>8.6999999999999994E-2</v>
      </c>
      <c r="Y17" s="698">
        <v>3.5569999999999999</v>
      </c>
      <c r="Z17" s="697"/>
      <c r="AA17" s="699"/>
      <c r="AB17" s="698"/>
      <c r="AC17" s="698"/>
      <c r="AD17" s="697"/>
      <c r="AE17" s="699"/>
      <c r="AF17" s="698"/>
      <c r="AG17" s="698"/>
      <c r="AH17" s="697"/>
      <c r="AI17" s="699"/>
      <c r="AJ17" s="698"/>
      <c r="AK17" s="698"/>
      <c r="AL17" s="697"/>
      <c r="AM17" s="699"/>
      <c r="AN17" s="698"/>
      <c r="AO17" s="699"/>
    </row>
    <row r="18" spans="1:41">
      <c r="A18" s="305">
        <v>18</v>
      </c>
      <c r="B18" s="697">
        <v>1.1579999999999999</v>
      </c>
      <c r="C18" s="698">
        <v>1.391</v>
      </c>
      <c r="D18" s="697">
        <v>1.046</v>
      </c>
      <c r="E18" s="699">
        <v>1.5349999999999999</v>
      </c>
      <c r="F18" s="698">
        <v>0.93300000000000005</v>
      </c>
      <c r="G18" s="698">
        <v>1.696</v>
      </c>
      <c r="H18" s="697">
        <v>0.82</v>
      </c>
      <c r="I18" s="699">
        <v>1.8720000000000001</v>
      </c>
      <c r="J18" s="698">
        <v>0.71</v>
      </c>
      <c r="K18" s="698">
        <v>2.06</v>
      </c>
      <c r="L18" s="697">
        <v>0.60299999999999998</v>
      </c>
      <c r="M18" s="699">
        <v>2.258</v>
      </c>
      <c r="N18" s="698">
        <v>0.502</v>
      </c>
      <c r="O18" s="698">
        <v>2.4609999999999999</v>
      </c>
      <c r="P18" s="697">
        <v>0.40699999999999997</v>
      </c>
      <c r="Q18" s="698">
        <v>2.6680000000000001</v>
      </c>
      <c r="R18" s="697">
        <v>0.32100000000000001</v>
      </c>
      <c r="S18" s="699">
        <v>2.8730000000000002</v>
      </c>
      <c r="T18" s="698">
        <v>0.24399999999999999</v>
      </c>
      <c r="U18" s="698">
        <v>3.073</v>
      </c>
      <c r="V18" s="697">
        <v>0.17699999999999999</v>
      </c>
      <c r="W18" s="699">
        <v>3.2650000000000001</v>
      </c>
      <c r="X18" s="698">
        <v>0.123</v>
      </c>
      <c r="Y18" s="698">
        <v>3.4409999999999998</v>
      </c>
      <c r="Z18" s="697">
        <v>7.8E-2</v>
      </c>
      <c r="AA18" s="699">
        <v>3.6030000000000002</v>
      </c>
      <c r="AB18" s="698"/>
      <c r="AC18" s="698"/>
      <c r="AD18" s="697"/>
      <c r="AE18" s="699"/>
      <c r="AF18" s="698"/>
      <c r="AG18" s="698"/>
      <c r="AH18" s="697"/>
      <c r="AI18" s="699"/>
      <c r="AJ18" s="698"/>
      <c r="AK18" s="698"/>
      <c r="AL18" s="697"/>
      <c r="AM18" s="699"/>
      <c r="AN18" s="698"/>
      <c r="AO18" s="699"/>
    </row>
    <row r="19" spans="1:41">
      <c r="A19" s="305">
        <v>19</v>
      </c>
      <c r="B19" s="697">
        <v>1.18</v>
      </c>
      <c r="C19" s="698">
        <v>1.401</v>
      </c>
      <c r="D19" s="697">
        <v>1.0740000000000001</v>
      </c>
      <c r="E19" s="699">
        <v>1.536</v>
      </c>
      <c r="F19" s="698">
        <v>0.96699999999999997</v>
      </c>
      <c r="G19" s="698">
        <v>1.6850000000000001</v>
      </c>
      <c r="H19" s="697">
        <v>0.85899999999999999</v>
      </c>
      <c r="I19" s="699">
        <v>1.8480000000000001</v>
      </c>
      <c r="J19" s="698">
        <v>0.752</v>
      </c>
      <c r="K19" s="698">
        <v>2.0230000000000001</v>
      </c>
      <c r="L19" s="697">
        <v>0.64900000000000002</v>
      </c>
      <c r="M19" s="699">
        <v>2.206</v>
      </c>
      <c r="N19" s="698">
        <v>0.54900000000000004</v>
      </c>
      <c r="O19" s="698">
        <v>2.3959999999999999</v>
      </c>
      <c r="P19" s="697">
        <v>0.45600000000000002</v>
      </c>
      <c r="Q19" s="698">
        <v>2.589</v>
      </c>
      <c r="R19" s="697">
        <v>0.36899999999999999</v>
      </c>
      <c r="S19" s="699">
        <v>2.7829999999999999</v>
      </c>
      <c r="T19" s="698">
        <v>0.28999999999999998</v>
      </c>
      <c r="U19" s="698">
        <v>2.9740000000000002</v>
      </c>
      <c r="V19" s="697">
        <v>0.22</v>
      </c>
      <c r="W19" s="699">
        <v>3.1589999999999998</v>
      </c>
      <c r="X19" s="698">
        <v>0.16</v>
      </c>
      <c r="Y19" s="698">
        <v>3.335</v>
      </c>
      <c r="Z19" s="697">
        <v>0.111</v>
      </c>
      <c r="AA19" s="699">
        <v>3.496</v>
      </c>
      <c r="AB19" s="698">
        <v>7.0000000000000007E-2</v>
      </c>
      <c r="AC19" s="698">
        <v>3.6419999999999999</v>
      </c>
      <c r="AD19" s="697"/>
      <c r="AE19" s="699"/>
      <c r="AF19" s="698"/>
      <c r="AG19" s="698"/>
      <c r="AH19" s="697"/>
      <c r="AI19" s="699"/>
      <c r="AJ19" s="698"/>
      <c r="AK19" s="698"/>
      <c r="AL19" s="697"/>
      <c r="AM19" s="699"/>
      <c r="AN19" s="698"/>
      <c r="AO19" s="699"/>
    </row>
    <row r="20" spans="1:41">
      <c r="A20" s="305">
        <v>20</v>
      </c>
      <c r="B20" s="697">
        <v>1.2010000000000001</v>
      </c>
      <c r="C20" s="698">
        <v>1.411</v>
      </c>
      <c r="D20" s="697">
        <v>1.1000000000000001</v>
      </c>
      <c r="E20" s="699">
        <v>1.5369999999999999</v>
      </c>
      <c r="F20" s="698">
        <v>0.998</v>
      </c>
      <c r="G20" s="698">
        <v>1.6759999999999999</v>
      </c>
      <c r="H20" s="697">
        <v>0.89400000000000002</v>
      </c>
      <c r="I20" s="699">
        <v>1.8280000000000001</v>
      </c>
      <c r="J20" s="698">
        <v>0.79200000000000004</v>
      </c>
      <c r="K20" s="698">
        <v>1.9910000000000001</v>
      </c>
      <c r="L20" s="697">
        <v>0.69099999999999995</v>
      </c>
      <c r="M20" s="699">
        <v>2.1619999999999999</v>
      </c>
      <c r="N20" s="698">
        <v>0.59499999999999997</v>
      </c>
      <c r="O20" s="698">
        <v>2.339</v>
      </c>
      <c r="P20" s="697">
        <v>0.502</v>
      </c>
      <c r="Q20" s="698">
        <v>2.5209999999999999</v>
      </c>
      <c r="R20" s="697">
        <v>0.41599999999999998</v>
      </c>
      <c r="S20" s="699">
        <v>2.7040000000000002</v>
      </c>
      <c r="T20" s="698">
        <v>0.33600000000000002</v>
      </c>
      <c r="U20" s="698">
        <v>2.8849999999999998</v>
      </c>
      <c r="V20" s="697">
        <v>0.26300000000000001</v>
      </c>
      <c r="W20" s="699">
        <v>3.0630000000000002</v>
      </c>
      <c r="X20" s="698">
        <v>0.2</v>
      </c>
      <c r="Y20" s="698">
        <v>3.234</v>
      </c>
      <c r="Z20" s="697">
        <v>0.14499999999999999</v>
      </c>
      <c r="AA20" s="699">
        <v>3.395</v>
      </c>
      <c r="AB20" s="698">
        <v>0.1</v>
      </c>
      <c r="AC20" s="698">
        <v>3.5419999999999998</v>
      </c>
      <c r="AD20" s="697">
        <v>6.3E-2</v>
      </c>
      <c r="AE20" s="699">
        <v>3.6760000000000002</v>
      </c>
      <c r="AF20" s="698"/>
      <c r="AG20" s="698"/>
      <c r="AH20" s="697"/>
      <c r="AI20" s="699"/>
      <c r="AJ20" s="698"/>
      <c r="AK20" s="698"/>
      <c r="AL20" s="697"/>
      <c r="AM20" s="699"/>
      <c r="AN20" s="698"/>
      <c r="AO20" s="699"/>
    </row>
    <row r="21" spans="1:41">
      <c r="A21" s="305">
        <v>21</v>
      </c>
      <c r="B21" s="697">
        <v>1.2210000000000001</v>
      </c>
      <c r="C21" s="698">
        <v>1.42</v>
      </c>
      <c r="D21" s="697">
        <v>1.125</v>
      </c>
      <c r="E21" s="699">
        <v>1.538</v>
      </c>
      <c r="F21" s="698">
        <v>1.026</v>
      </c>
      <c r="G21" s="698">
        <v>1.669</v>
      </c>
      <c r="H21" s="697">
        <v>0.92700000000000005</v>
      </c>
      <c r="I21" s="699">
        <v>1.8120000000000001</v>
      </c>
      <c r="J21" s="698">
        <v>0.82899999999999996</v>
      </c>
      <c r="K21" s="698">
        <v>1.964</v>
      </c>
      <c r="L21" s="697">
        <v>0.73099999999999998</v>
      </c>
      <c r="M21" s="699">
        <v>2.1240000000000001</v>
      </c>
      <c r="N21" s="698">
        <v>0.63700000000000001</v>
      </c>
      <c r="O21" s="698">
        <v>2.29</v>
      </c>
      <c r="P21" s="697">
        <v>0.54600000000000004</v>
      </c>
      <c r="Q21" s="698">
        <v>2.4609999999999999</v>
      </c>
      <c r="R21" s="697">
        <v>0.46100000000000002</v>
      </c>
      <c r="S21" s="699">
        <v>2.633</v>
      </c>
      <c r="T21" s="698">
        <v>0.38</v>
      </c>
      <c r="U21" s="698">
        <v>2.806</v>
      </c>
      <c r="V21" s="697">
        <v>0.307</v>
      </c>
      <c r="W21" s="699">
        <v>2.976</v>
      </c>
      <c r="X21" s="698">
        <v>0.24</v>
      </c>
      <c r="Y21" s="698">
        <v>3.141</v>
      </c>
      <c r="Z21" s="697">
        <v>0.182</v>
      </c>
      <c r="AA21" s="699">
        <v>3.3</v>
      </c>
      <c r="AB21" s="698">
        <v>0.13200000000000001</v>
      </c>
      <c r="AC21" s="698">
        <v>3.448</v>
      </c>
      <c r="AD21" s="697">
        <v>9.0999999999999998E-2</v>
      </c>
      <c r="AE21" s="699">
        <v>3.5830000000000002</v>
      </c>
      <c r="AF21" s="698">
        <v>5.8000000000000003E-2</v>
      </c>
      <c r="AG21" s="698">
        <v>3.7050000000000001</v>
      </c>
      <c r="AH21" s="697"/>
      <c r="AI21" s="699"/>
      <c r="AJ21" s="698"/>
      <c r="AK21" s="698"/>
      <c r="AL21" s="697"/>
      <c r="AM21" s="699"/>
      <c r="AN21" s="698"/>
      <c r="AO21" s="699"/>
    </row>
    <row r="22" spans="1:41">
      <c r="A22" s="305">
        <v>22</v>
      </c>
      <c r="B22" s="697">
        <v>1.2390000000000001</v>
      </c>
      <c r="C22" s="698">
        <v>1.429</v>
      </c>
      <c r="D22" s="697">
        <v>1.147</v>
      </c>
      <c r="E22" s="699">
        <v>1.5409999999999999</v>
      </c>
      <c r="F22" s="698">
        <v>1.0529999999999999</v>
      </c>
      <c r="G22" s="698">
        <v>1.6639999999999999</v>
      </c>
      <c r="H22" s="697">
        <v>0.95799999999999996</v>
      </c>
      <c r="I22" s="699">
        <v>1.7969999999999999</v>
      </c>
      <c r="J22" s="698">
        <v>0.86299999999999999</v>
      </c>
      <c r="K22" s="698">
        <v>1.94</v>
      </c>
      <c r="L22" s="697">
        <v>0.76900000000000002</v>
      </c>
      <c r="M22" s="699">
        <v>2.09</v>
      </c>
      <c r="N22" s="698">
        <v>0.67700000000000005</v>
      </c>
      <c r="O22" s="698">
        <v>2.246</v>
      </c>
      <c r="P22" s="697">
        <v>0.58799999999999997</v>
      </c>
      <c r="Q22" s="698">
        <v>2.407</v>
      </c>
      <c r="R22" s="697">
        <v>0.504</v>
      </c>
      <c r="S22" s="699">
        <v>2.5710000000000002</v>
      </c>
      <c r="T22" s="698">
        <v>0.42399999999999999</v>
      </c>
      <c r="U22" s="698">
        <v>2.7349999999999999</v>
      </c>
      <c r="V22" s="697">
        <v>0.34899999999999998</v>
      </c>
      <c r="W22" s="699">
        <v>2.8969999999999998</v>
      </c>
      <c r="X22" s="698">
        <v>0.28100000000000003</v>
      </c>
      <c r="Y22" s="698">
        <v>3.0569999999999999</v>
      </c>
      <c r="Z22" s="697">
        <v>0.22</v>
      </c>
      <c r="AA22" s="699">
        <v>3.2109999999999999</v>
      </c>
      <c r="AB22" s="698">
        <v>0.16600000000000001</v>
      </c>
      <c r="AC22" s="698">
        <v>3.3580000000000001</v>
      </c>
      <c r="AD22" s="697">
        <v>0.12</v>
      </c>
      <c r="AE22" s="699">
        <v>3.4950000000000001</v>
      </c>
      <c r="AF22" s="698">
        <v>8.3000000000000004E-2</v>
      </c>
      <c r="AG22" s="698">
        <v>3.6190000000000002</v>
      </c>
      <c r="AH22" s="697">
        <v>5.1999999999999998E-2</v>
      </c>
      <c r="AI22" s="699">
        <v>3.7309999999999999</v>
      </c>
      <c r="AJ22" s="698"/>
      <c r="AK22" s="698"/>
      <c r="AL22" s="697"/>
      <c r="AM22" s="699"/>
      <c r="AN22" s="698"/>
      <c r="AO22" s="699"/>
    </row>
    <row r="23" spans="1:41">
      <c r="A23" s="305">
        <v>23</v>
      </c>
      <c r="B23" s="697">
        <v>1.2569999999999999</v>
      </c>
      <c r="C23" s="698">
        <v>1.4370000000000001</v>
      </c>
      <c r="D23" s="697">
        <v>1.1679999999999999</v>
      </c>
      <c r="E23" s="699">
        <v>1.5429999999999999</v>
      </c>
      <c r="F23" s="698">
        <v>1.0780000000000001</v>
      </c>
      <c r="G23" s="698">
        <v>1.66</v>
      </c>
      <c r="H23" s="697">
        <v>0.98599999999999999</v>
      </c>
      <c r="I23" s="699">
        <v>1.7849999999999999</v>
      </c>
      <c r="J23" s="698">
        <v>0.89500000000000002</v>
      </c>
      <c r="K23" s="698">
        <v>1.92</v>
      </c>
      <c r="L23" s="697">
        <v>0.80400000000000005</v>
      </c>
      <c r="M23" s="699">
        <v>2.0609999999999999</v>
      </c>
      <c r="N23" s="698">
        <v>0.71499999999999997</v>
      </c>
      <c r="O23" s="698">
        <v>2.2080000000000002</v>
      </c>
      <c r="P23" s="697">
        <v>0.628</v>
      </c>
      <c r="Q23" s="698">
        <v>2.36</v>
      </c>
      <c r="R23" s="697">
        <v>0.54500000000000004</v>
      </c>
      <c r="S23" s="699">
        <v>2.5139999999999998</v>
      </c>
      <c r="T23" s="698">
        <v>0.46500000000000002</v>
      </c>
      <c r="U23" s="698">
        <v>2.67</v>
      </c>
      <c r="V23" s="697">
        <v>0.39100000000000001</v>
      </c>
      <c r="W23" s="699">
        <v>2.8260000000000001</v>
      </c>
      <c r="X23" s="698">
        <v>0.32200000000000001</v>
      </c>
      <c r="Y23" s="698">
        <v>2.9790000000000001</v>
      </c>
      <c r="Z23" s="697">
        <v>0.25900000000000001</v>
      </c>
      <c r="AA23" s="699">
        <v>3.1280000000000001</v>
      </c>
      <c r="AB23" s="698">
        <v>0.20200000000000001</v>
      </c>
      <c r="AC23" s="698">
        <v>3.2719999999999998</v>
      </c>
      <c r="AD23" s="697">
        <v>0.153</v>
      </c>
      <c r="AE23" s="699">
        <v>3.4089999999999998</v>
      </c>
      <c r="AF23" s="698">
        <v>0.11</v>
      </c>
      <c r="AG23" s="698">
        <v>3.5350000000000001</v>
      </c>
      <c r="AH23" s="697">
        <v>7.5999999999999998E-2</v>
      </c>
      <c r="AI23" s="699">
        <v>3.65</v>
      </c>
      <c r="AJ23" s="698">
        <v>4.8000000000000001E-2</v>
      </c>
      <c r="AK23" s="698">
        <v>3.7530000000000001</v>
      </c>
      <c r="AL23" s="697"/>
      <c r="AM23" s="699"/>
      <c r="AN23" s="698"/>
      <c r="AO23" s="699"/>
    </row>
    <row r="24" spans="1:41">
      <c r="A24" s="305">
        <v>24</v>
      </c>
      <c r="B24" s="697">
        <v>1.2729999999999999</v>
      </c>
      <c r="C24" s="698">
        <v>1.446</v>
      </c>
      <c r="D24" s="697">
        <v>1.1879999999999999</v>
      </c>
      <c r="E24" s="699">
        <v>1.546</v>
      </c>
      <c r="F24" s="698">
        <v>1.101</v>
      </c>
      <c r="G24" s="698">
        <v>1.6559999999999999</v>
      </c>
      <c r="H24" s="697">
        <v>1.0129999999999999</v>
      </c>
      <c r="I24" s="699">
        <v>1.7749999999999999</v>
      </c>
      <c r="J24" s="698">
        <v>0.92500000000000004</v>
      </c>
      <c r="K24" s="698">
        <v>1.9019999999999999</v>
      </c>
      <c r="L24" s="697">
        <v>0.83699999999999997</v>
      </c>
      <c r="M24" s="699">
        <v>2.0350000000000001</v>
      </c>
      <c r="N24" s="698">
        <v>0.75</v>
      </c>
      <c r="O24" s="698">
        <v>2.1739999999999999</v>
      </c>
      <c r="P24" s="697">
        <v>0.66600000000000004</v>
      </c>
      <c r="Q24" s="698">
        <v>2.3180000000000001</v>
      </c>
      <c r="R24" s="697">
        <v>0.58399999999999996</v>
      </c>
      <c r="S24" s="699">
        <v>2.464</v>
      </c>
      <c r="T24" s="698">
        <v>0.50600000000000001</v>
      </c>
      <c r="U24" s="698">
        <v>2.613</v>
      </c>
      <c r="V24" s="697">
        <v>0.43099999999999999</v>
      </c>
      <c r="W24" s="699">
        <v>2.7610000000000001</v>
      </c>
      <c r="X24" s="698">
        <v>0.36199999999999999</v>
      </c>
      <c r="Y24" s="698">
        <v>2.9079999999999999</v>
      </c>
      <c r="Z24" s="697">
        <v>0.29699999999999999</v>
      </c>
      <c r="AA24" s="699">
        <v>3.0529999999999999</v>
      </c>
      <c r="AB24" s="698">
        <v>0.23899999999999999</v>
      </c>
      <c r="AC24" s="698">
        <v>3.1930000000000001</v>
      </c>
      <c r="AD24" s="697">
        <v>0.186</v>
      </c>
      <c r="AE24" s="699">
        <v>3.327</v>
      </c>
      <c r="AF24" s="698">
        <v>0.14099999999999999</v>
      </c>
      <c r="AG24" s="698">
        <v>3.4540000000000002</v>
      </c>
      <c r="AH24" s="697">
        <v>0.10100000000000001</v>
      </c>
      <c r="AI24" s="699">
        <v>3.5720000000000001</v>
      </c>
      <c r="AJ24" s="698">
        <v>7.0000000000000007E-2</v>
      </c>
      <c r="AK24" s="698">
        <v>3.6779999999999999</v>
      </c>
      <c r="AL24" s="697">
        <v>4.3999999999999997E-2</v>
      </c>
      <c r="AM24" s="699">
        <v>3.7730000000000001</v>
      </c>
      <c r="AN24" s="698"/>
      <c r="AO24" s="699"/>
    </row>
    <row r="25" spans="1:41">
      <c r="A25" s="305">
        <v>25</v>
      </c>
      <c r="B25" s="697">
        <v>1.288</v>
      </c>
      <c r="C25" s="698">
        <v>1.454</v>
      </c>
      <c r="D25" s="697">
        <v>1.206</v>
      </c>
      <c r="E25" s="699">
        <v>1.55</v>
      </c>
      <c r="F25" s="698">
        <v>1.123</v>
      </c>
      <c r="G25" s="698">
        <v>1.6539999999999999</v>
      </c>
      <c r="H25" s="697">
        <v>1.038</v>
      </c>
      <c r="I25" s="699">
        <v>1.7669999999999999</v>
      </c>
      <c r="J25" s="698">
        <v>0.95299999999999996</v>
      </c>
      <c r="K25" s="698">
        <v>1.8859999999999999</v>
      </c>
      <c r="L25" s="697">
        <v>0.86799999999999999</v>
      </c>
      <c r="M25" s="699">
        <v>2.0129999999999999</v>
      </c>
      <c r="N25" s="698">
        <v>0.78400000000000003</v>
      </c>
      <c r="O25" s="698">
        <v>2.1440000000000001</v>
      </c>
      <c r="P25" s="697">
        <v>0.70199999999999996</v>
      </c>
      <c r="Q25" s="698">
        <v>2.2799999999999998</v>
      </c>
      <c r="R25" s="697">
        <v>0.621</v>
      </c>
      <c r="S25" s="699">
        <v>2.419</v>
      </c>
      <c r="T25" s="698">
        <v>0.54400000000000004</v>
      </c>
      <c r="U25" s="698">
        <v>2.56</v>
      </c>
      <c r="V25" s="697">
        <v>0.47</v>
      </c>
      <c r="W25" s="699">
        <v>2.702</v>
      </c>
      <c r="X25" s="698">
        <v>0.4</v>
      </c>
      <c r="Y25" s="698">
        <v>2.8439999999999999</v>
      </c>
      <c r="Z25" s="697">
        <v>0.33500000000000002</v>
      </c>
      <c r="AA25" s="699">
        <v>2.9830000000000001</v>
      </c>
      <c r="AB25" s="698">
        <v>0.27500000000000002</v>
      </c>
      <c r="AC25" s="698">
        <v>3.1190000000000002</v>
      </c>
      <c r="AD25" s="697">
        <v>0.221</v>
      </c>
      <c r="AE25" s="699">
        <v>3.2509999999999999</v>
      </c>
      <c r="AF25" s="698">
        <v>0.17199999999999999</v>
      </c>
      <c r="AG25" s="698">
        <v>3.3759999999999999</v>
      </c>
      <c r="AH25" s="697">
        <v>0.13</v>
      </c>
      <c r="AI25" s="699">
        <v>3.4940000000000002</v>
      </c>
      <c r="AJ25" s="698">
        <v>9.4E-2</v>
      </c>
      <c r="AK25" s="698">
        <v>3.6040000000000001</v>
      </c>
      <c r="AL25" s="697">
        <v>6.5000000000000002E-2</v>
      </c>
      <c r="AM25" s="699">
        <v>3.702</v>
      </c>
      <c r="AN25" s="698">
        <v>4.1000000000000002E-2</v>
      </c>
      <c r="AO25" s="699">
        <v>3.79</v>
      </c>
    </row>
    <row r="26" spans="1:41">
      <c r="A26" s="305">
        <v>26</v>
      </c>
      <c r="B26" s="697">
        <v>1.302</v>
      </c>
      <c r="C26" s="698">
        <v>1.4610000000000001</v>
      </c>
      <c r="D26" s="697">
        <v>1.224</v>
      </c>
      <c r="E26" s="699">
        <v>1.5529999999999999</v>
      </c>
      <c r="F26" s="698">
        <v>1.143</v>
      </c>
      <c r="G26" s="698">
        <v>1.6519999999999999</v>
      </c>
      <c r="H26" s="697">
        <v>1.0620000000000001</v>
      </c>
      <c r="I26" s="699">
        <v>1.7589999999999999</v>
      </c>
      <c r="J26" s="698">
        <v>0.97899999999999998</v>
      </c>
      <c r="K26" s="698">
        <v>1.873</v>
      </c>
      <c r="L26" s="697">
        <v>0.89700000000000002</v>
      </c>
      <c r="M26" s="699">
        <v>1.992</v>
      </c>
      <c r="N26" s="698">
        <v>0.81599999999999995</v>
      </c>
      <c r="O26" s="698">
        <v>2.117</v>
      </c>
      <c r="P26" s="697">
        <v>0.73499999999999999</v>
      </c>
      <c r="Q26" s="698">
        <v>2.246</v>
      </c>
      <c r="R26" s="697">
        <v>0.65700000000000003</v>
      </c>
      <c r="S26" s="699">
        <v>2.379</v>
      </c>
      <c r="T26" s="698">
        <v>0.58099999999999996</v>
      </c>
      <c r="U26" s="698">
        <v>2.5129999999999999</v>
      </c>
      <c r="V26" s="697">
        <v>0.50800000000000001</v>
      </c>
      <c r="W26" s="699">
        <v>2.649</v>
      </c>
      <c r="X26" s="698">
        <v>0.438</v>
      </c>
      <c r="Y26" s="698">
        <v>2.7839999999999998</v>
      </c>
      <c r="Z26" s="697">
        <v>0.373</v>
      </c>
      <c r="AA26" s="699">
        <v>2.919</v>
      </c>
      <c r="AB26" s="698">
        <v>0.312</v>
      </c>
      <c r="AC26" s="698">
        <v>3.0510000000000002</v>
      </c>
      <c r="AD26" s="697">
        <v>0.25600000000000001</v>
      </c>
      <c r="AE26" s="699">
        <v>3.1789999999999998</v>
      </c>
      <c r="AF26" s="698">
        <v>0.20499999999999999</v>
      </c>
      <c r="AG26" s="698">
        <v>3.3029999999999999</v>
      </c>
      <c r="AH26" s="697">
        <v>0.16</v>
      </c>
      <c r="AI26" s="699">
        <v>3.42</v>
      </c>
      <c r="AJ26" s="698">
        <v>0.12</v>
      </c>
      <c r="AK26" s="698">
        <v>3.5310000000000001</v>
      </c>
      <c r="AL26" s="697">
        <v>8.6999999999999994E-2</v>
      </c>
      <c r="AM26" s="699">
        <v>3.6320000000000001</v>
      </c>
      <c r="AN26" s="698">
        <v>0.06</v>
      </c>
      <c r="AO26" s="699">
        <v>3.7240000000000002</v>
      </c>
    </row>
    <row r="27" spans="1:41">
      <c r="A27" s="305">
        <v>27</v>
      </c>
      <c r="B27" s="697">
        <v>1.3160000000000001</v>
      </c>
      <c r="C27" s="698">
        <v>1.4690000000000001</v>
      </c>
      <c r="D27" s="697">
        <v>1.24</v>
      </c>
      <c r="E27" s="699">
        <v>1.556</v>
      </c>
      <c r="F27" s="698">
        <v>1.1619999999999999</v>
      </c>
      <c r="G27" s="698">
        <v>1.651</v>
      </c>
      <c r="H27" s="697">
        <v>1.0840000000000001</v>
      </c>
      <c r="I27" s="699">
        <v>1.7529999999999999</v>
      </c>
      <c r="J27" s="698">
        <v>1.004</v>
      </c>
      <c r="K27" s="698">
        <v>1.861</v>
      </c>
      <c r="L27" s="697">
        <v>0.92500000000000004</v>
      </c>
      <c r="M27" s="699">
        <v>1.974</v>
      </c>
      <c r="N27" s="698">
        <v>0.84499999999999997</v>
      </c>
      <c r="O27" s="698">
        <v>2.093</v>
      </c>
      <c r="P27" s="697">
        <v>0.76700000000000002</v>
      </c>
      <c r="Q27" s="698">
        <v>2.2160000000000002</v>
      </c>
      <c r="R27" s="697">
        <v>0.69099999999999995</v>
      </c>
      <c r="S27" s="699">
        <v>2.3420000000000001</v>
      </c>
      <c r="T27" s="698">
        <v>0.61599999999999999</v>
      </c>
      <c r="U27" s="698">
        <v>2.4700000000000002</v>
      </c>
      <c r="V27" s="697">
        <v>0.54400000000000004</v>
      </c>
      <c r="W27" s="699">
        <v>2.6</v>
      </c>
      <c r="X27" s="698">
        <v>0.47499999999999998</v>
      </c>
      <c r="Y27" s="698">
        <v>2.73</v>
      </c>
      <c r="Z27" s="697">
        <v>0.40899999999999997</v>
      </c>
      <c r="AA27" s="699">
        <v>2.859</v>
      </c>
      <c r="AB27" s="698">
        <v>0.34799999999999998</v>
      </c>
      <c r="AC27" s="698">
        <v>2.9870000000000001</v>
      </c>
      <c r="AD27" s="697">
        <v>0.29099999999999998</v>
      </c>
      <c r="AE27" s="699">
        <v>3.1120000000000001</v>
      </c>
      <c r="AF27" s="698">
        <v>0.23799999999999999</v>
      </c>
      <c r="AG27" s="698">
        <v>3.2330000000000001</v>
      </c>
      <c r="AH27" s="697">
        <v>0.191</v>
      </c>
      <c r="AI27" s="699">
        <v>3.3490000000000002</v>
      </c>
      <c r="AJ27" s="698">
        <v>0.14899999999999999</v>
      </c>
      <c r="AK27" s="698">
        <v>3.46</v>
      </c>
      <c r="AL27" s="697">
        <v>0.112</v>
      </c>
      <c r="AM27" s="699">
        <v>3.5630000000000002</v>
      </c>
      <c r="AN27" s="698">
        <v>8.1000000000000003E-2</v>
      </c>
      <c r="AO27" s="699">
        <v>3.6579999999999999</v>
      </c>
    </row>
    <row r="28" spans="1:41">
      <c r="A28" s="305">
        <v>28</v>
      </c>
      <c r="B28" s="697">
        <v>1.3280000000000001</v>
      </c>
      <c r="C28" s="698">
        <v>1.476</v>
      </c>
      <c r="D28" s="697">
        <v>1.2549999999999999</v>
      </c>
      <c r="E28" s="699">
        <v>1.56</v>
      </c>
      <c r="F28" s="698">
        <v>1.181</v>
      </c>
      <c r="G28" s="698">
        <v>1.65</v>
      </c>
      <c r="H28" s="697">
        <v>1.1040000000000001</v>
      </c>
      <c r="I28" s="699">
        <v>1.7470000000000001</v>
      </c>
      <c r="J28" s="698">
        <v>1.028</v>
      </c>
      <c r="K28" s="698">
        <v>1.85</v>
      </c>
      <c r="L28" s="697">
        <v>0.95099999999999996</v>
      </c>
      <c r="M28" s="699">
        <v>1.9590000000000001</v>
      </c>
      <c r="N28" s="698">
        <v>0.874</v>
      </c>
      <c r="O28" s="698">
        <v>2.0710000000000002</v>
      </c>
      <c r="P28" s="697">
        <v>0.79800000000000004</v>
      </c>
      <c r="Q28" s="698">
        <v>2.1880000000000002</v>
      </c>
      <c r="R28" s="697">
        <v>0.72299999999999998</v>
      </c>
      <c r="S28" s="699">
        <v>2.3090000000000002</v>
      </c>
      <c r="T28" s="698">
        <v>0.64900000000000002</v>
      </c>
      <c r="U28" s="698">
        <v>2.431</v>
      </c>
      <c r="V28" s="697">
        <v>0.57799999999999996</v>
      </c>
      <c r="W28" s="699">
        <v>2.5550000000000002</v>
      </c>
      <c r="X28" s="698">
        <v>0.51</v>
      </c>
      <c r="Y28" s="698">
        <v>2.68</v>
      </c>
      <c r="Z28" s="697">
        <v>0.44500000000000001</v>
      </c>
      <c r="AA28" s="699">
        <v>2.8050000000000002</v>
      </c>
      <c r="AB28" s="698">
        <v>0.38300000000000001</v>
      </c>
      <c r="AC28" s="698">
        <v>2.9279999999999999</v>
      </c>
      <c r="AD28" s="697">
        <v>0.32500000000000001</v>
      </c>
      <c r="AE28" s="699">
        <v>3.05</v>
      </c>
      <c r="AF28" s="698">
        <v>0.27100000000000002</v>
      </c>
      <c r="AG28" s="698">
        <v>3.1680000000000001</v>
      </c>
      <c r="AH28" s="697">
        <v>0.222</v>
      </c>
      <c r="AI28" s="699">
        <v>3.2829999999999999</v>
      </c>
      <c r="AJ28" s="698">
        <v>0.17799999999999999</v>
      </c>
      <c r="AK28" s="698">
        <v>3.3919999999999999</v>
      </c>
      <c r="AL28" s="697">
        <v>0.13800000000000001</v>
      </c>
      <c r="AM28" s="699">
        <v>3.4950000000000001</v>
      </c>
      <c r="AN28" s="698">
        <v>0.104</v>
      </c>
      <c r="AO28" s="699">
        <v>3.5920000000000001</v>
      </c>
    </row>
    <row r="29" spans="1:41">
      <c r="A29" s="305">
        <v>29</v>
      </c>
      <c r="B29" s="697">
        <v>1.341</v>
      </c>
      <c r="C29" s="698">
        <v>1.4830000000000001</v>
      </c>
      <c r="D29" s="697">
        <v>1.27</v>
      </c>
      <c r="E29" s="699">
        <v>1.5629999999999999</v>
      </c>
      <c r="F29" s="698">
        <v>1.198</v>
      </c>
      <c r="G29" s="698">
        <v>1.65</v>
      </c>
      <c r="H29" s="697">
        <v>1.1240000000000001</v>
      </c>
      <c r="I29" s="699">
        <v>1.7430000000000001</v>
      </c>
      <c r="J29" s="698">
        <v>1.05</v>
      </c>
      <c r="K29" s="698">
        <v>1.841</v>
      </c>
      <c r="L29" s="697">
        <v>0.97499999999999998</v>
      </c>
      <c r="M29" s="699">
        <v>1.944</v>
      </c>
      <c r="N29" s="698">
        <v>0.9</v>
      </c>
      <c r="O29" s="698">
        <v>2.052</v>
      </c>
      <c r="P29" s="697">
        <v>0.82599999999999996</v>
      </c>
      <c r="Q29" s="698">
        <v>2.1640000000000001</v>
      </c>
      <c r="R29" s="697">
        <v>0.753</v>
      </c>
      <c r="S29" s="699">
        <v>2.278</v>
      </c>
      <c r="T29" s="698">
        <v>0.68100000000000005</v>
      </c>
      <c r="U29" s="698">
        <v>2.3959999999999999</v>
      </c>
      <c r="V29" s="697">
        <v>0.61199999999999999</v>
      </c>
      <c r="W29" s="699">
        <v>2.5150000000000001</v>
      </c>
      <c r="X29" s="698">
        <v>0.54400000000000004</v>
      </c>
      <c r="Y29" s="698">
        <v>2.6339999999999999</v>
      </c>
      <c r="Z29" s="697">
        <v>0.47899999999999998</v>
      </c>
      <c r="AA29" s="699">
        <v>2.7549999999999999</v>
      </c>
      <c r="AB29" s="698">
        <v>0.41799999999999998</v>
      </c>
      <c r="AC29" s="698">
        <v>2.8740000000000001</v>
      </c>
      <c r="AD29" s="697">
        <v>0.35899999999999999</v>
      </c>
      <c r="AE29" s="699">
        <v>2.992</v>
      </c>
      <c r="AF29" s="698">
        <v>0.30499999999999999</v>
      </c>
      <c r="AG29" s="698">
        <v>3.1070000000000002</v>
      </c>
      <c r="AH29" s="697">
        <v>0.254</v>
      </c>
      <c r="AI29" s="699">
        <v>3.2189999999999999</v>
      </c>
      <c r="AJ29" s="698">
        <v>0.20799999999999999</v>
      </c>
      <c r="AK29" s="698">
        <v>3.327</v>
      </c>
      <c r="AL29" s="697">
        <v>0.16600000000000001</v>
      </c>
      <c r="AM29" s="699">
        <v>3.431</v>
      </c>
      <c r="AN29" s="698">
        <v>0.129</v>
      </c>
      <c r="AO29" s="699">
        <v>3.528</v>
      </c>
    </row>
    <row r="30" spans="1:41">
      <c r="A30" s="305">
        <v>30</v>
      </c>
      <c r="B30" s="697">
        <v>1.3520000000000001</v>
      </c>
      <c r="C30" s="698">
        <v>1.4890000000000001</v>
      </c>
      <c r="D30" s="697">
        <v>1.284</v>
      </c>
      <c r="E30" s="699">
        <v>1.5669999999999999</v>
      </c>
      <c r="F30" s="698">
        <v>1.214</v>
      </c>
      <c r="G30" s="698">
        <v>1.65</v>
      </c>
      <c r="H30" s="697">
        <v>1.143</v>
      </c>
      <c r="I30" s="699">
        <v>1.7390000000000001</v>
      </c>
      <c r="J30" s="698">
        <v>1.071</v>
      </c>
      <c r="K30" s="698">
        <v>1.833</v>
      </c>
      <c r="L30" s="697">
        <v>0.998</v>
      </c>
      <c r="M30" s="699">
        <v>1.931</v>
      </c>
      <c r="N30" s="698">
        <v>0.92600000000000005</v>
      </c>
      <c r="O30" s="698">
        <v>2.0339999999999998</v>
      </c>
      <c r="P30" s="697">
        <v>0.85399999999999998</v>
      </c>
      <c r="Q30" s="698">
        <v>2.141</v>
      </c>
      <c r="R30" s="697">
        <v>0.78200000000000003</v>
      </c>
      <c r="S30" s="699">
        <v>2.2509999999999999</v>
      </c>
      <c r="T30" s="698">
        <v>0.71199999999999997</v>
      </c>
      <c r="U30" s="698">
        <v>2.363</v>
      </c>
      <c r="V30" s="697">
        <v>0.64300000000000002</v>
      </c>
      <c r="W30" s="699">
        <v>2.4769999999999999</v>
      </c>
      <c r="X30" s="698">
        <v>0.57699999999999996</v>
      </c>
      <c r="Y30" s="698">
        <v>2.5920000000000001</v>
      </c>
      <c r="Z30" s="697">
        <v>0.51200000000000001</v>
      </c>
      <c r="AA30" s="699">
        <v>2.7080000000000002</v>
      </c>
      <c r="AB30" s="698">
        <v>0.45100000000000001</v>
      </c>
      <c r="AC30" s="698">
        <v>2.823</v>
      </c>
      <c r="AD30" s="697">
        <v>0.39200000000000002</v>
      </c>
      <c r="AE30" s="699">
        <v>2.9369999999999998</v>
      </c>
      <c r="AF30" s="698">
        <v>0.33700000000000002</v>
      </c>
      <c r="AG30" s="698">
        <v>3.05</v>
      </c>
      <c r="AH30" s="697">
        <v>0.28599999999999998</v>
      </c>
      <c r="AI30" s="699">
        <v>3.16</v>
      </c>
      <c r="AJ30" s="698">
        <v>0.23799999999999999</v>
      </c>
      <c r="AK30" s="698">
        <v>3.266</v>
      </c>
      <c r="AL30" s="697">
        <v>0.19500000000000001</v>
      </c>
      <c r="AM30" s="699">
        <v>3.3679999999999999</v>
      </c>
      <c r="AN30" s="698">
        <v>0.156</v>
      </c>
      <c r="AO30" s="699">
        <v>3.4649999999999999</v>
      </c>
    </row>
    <row r="31" spans="1:41">
      <c r="A31" s="305">
        <v>31</v>
      </c>
      <c r="B31" s="697">
        <v>1.363</v>
      </c>
      <c r="C31" s="698">
        <v>1.496</v>
      </c>
      <c r="D31" s="697">
        <v>1.2969999999999999</v>
      </c>
      <c r="E31" s="699">
        <v>1.57</v>
      </c>
      <c r="F31" s="698">
        <v>1.2290000000000001</v>
      </c>
      <c r="G31" s="698">
        <v>1.65</v>
      </c>
      <c r="H31" s="697">
        <v>1.1599999999999999</v>
      </c>
      <c r="I31" s="699">
        <v>1.7350000000000001</v>
      </c>
      <c r="J31" s="698">
        <v>1.0900000000000001</v>
      </c>
      <c r="K31" s="698">
        <v>1.825</v>
      </c>
      <c r="L31" s="697">
        <v>1.02</v>
      </c>
      <c r="M31" s="699">
        <v>1.92</v>
      </c>
      <c r="N31" s="698">
        <v>0.95</v>
      </c>
      <c r="O31" s="698">
        <v>2.0179999999999998</v>
      </c>
      <c r="P31" s="697">
        <v>0.879</v>
      </c>
      <c r="Q31" s="698">
        <v>2.12</v>
      </c>
      <c r="R31" s="697">
        <v>0.81</v>
      </c>
      <c r="S31" s="699">
        <v>2.226</v>
      </c>
      <c r="T31" s="698">
        <v>0.74099999999999999</v>
      </c>
      <c r="U31" s="698">
        <v>2.3330000000000002</v>
      </c>
      <c r="V31" s="697">
        <v>0.67400000000000004</v>
      </c>
      <c r="W31" s="699">
        <v>2.4430000000000001</v>
      </c>
      <c r="X31" s="698">
        <v>0.60799999999999998</v>
      </c>
      <c r="Y31" s="698">
        <v>2.5529999999999999</v>
      </c>
      <c r="Z31" s="697">
        <v>0.54500000000000004</v>
      </c>
      <c r="AA31" s="699">
        <v>2.665</v>
      </c>
      <c r="AB31" s="698">
        <v>0.48399999999999999</v>
      </c>
      <c r="AC31" s="698">
        <v>2.7759999999999998</v>
      </c>
      <c r="AD31" s="697">
        <v>0.42499999999999999</v>
      </c>
      <c r="AE31" s="699">
        <v>2.887</v>
      </c>
      <c r="AF31" s="698">
        <v>0.37</v>
      </c>
      <c r="AG31" s="698">
        <v>2.996</v>
      </c>
      <c r="AH31" s="697">
        <v>0.317</v>
      </c>
      <c r="AI31" s="699">
        <v>3.1030000000000002</v>
      </c>
      <c r="AJ31" s="698">
        <v>0.26900000000000002</v>
      </c>
      <c r="AK31" s="698">
        <v>3.2080000000000002</v>
      </c>
      <c r="AL31" s="697">
        <v>0.224</v>
      </c>
      <c r="AM31" s="699">
        <v>3.3090000000000002</v>
      </c>
      <c r="AN31" s="698">
        <v>0.183</v>
      </c>
      <c r="AO31" s="699">
        <v>3.4060000000000001</v>
      </c>
    </row>
    <row r="32" spans="1:41">
      <c r="A32" s="305">
        <v>32</v>
      </c>
      <c r="B32" s="697">
        <v>1.373</v>
      </c>
      <c r="C32" s="698">
        <v>1.502</v>
      </c>
      <c r="D32" s="697">
        <v>1.3089999999999999</v>
      </c>
      <c r="E32" s="699">
        <v>1.5740000000000001</v>
      </c>
      <c r="F32" s="698">
        <v>1.244</v>
      </c>
      <c r="G32" s="698">
        <v>1.65</v>
      </c>
      <c r="H32" s="697">
        <v>1.177</v>
      </c>
      <c r="I32" s="699">
        <v>1.732</v>
      </c>
      <c r="J32" s="698">
        <v>1.109</v>
      </c>
      <c r="K32" s="698">
        <v>1.819</v>
      </c>
      <c r="L32" s="697">
        <v>1.0409999999999999</v>
      </c>
      <c r="M32" s="699">
        <v>1.909</v>
      </c>
      <c r="N32" s="698">
        <v>0.97199999999999998</v>
      </c>
      <c r="O32" s="698">
        <v>2.004</v>
      </c>
      <c r="P32" s="697">
        <v>0.90400000000000003</v>
      </c>
      <c r="Q32" s="698">
        <v>2.1019999999999999</v>
      </c>
      <c r="R32" s="697">
        <v>0.83599999999999997</v>
      </c>
      <c r="S32" s="699">
        <v>2.2029999999999998</v>
      </c>
      <c r="T32" s="698">
        <v>0.76900000000000002</v>
      </c>
      <c r="U32" s="698">
        <v>2.306</v>
      </c>
      <c r="V32" s="697">
        <v>0.70299999999999996</v>
      </c>
      <c r="W32" s="699">
        <v>2.411</v>
      </c>
      <c r="X32" s="698">
        <v>0.63800000000000001</v>
      </c>
      <c r="Y32" s="698">
        <v>2.5169999999999999</v>
      </c>
      <c r="Z32" s="697">
        <v>0.57599999999999996</v>
      </c>
      <c r="AA32" s="699">
        <v>2.625</v>
      </c>
      <c r="AB32" s="698">
        <v>0.51500000000000001</v>
      </c>
      <c r="AC32" s="698">
        <v>2.7330000000000001</v>
      </c>
      <c r="AD32" s="697">
        <v>0.45700000000000002</v>
      </c>
      <c r="AE32" s="699">
        <v>2.84</v>
      </c>
      <c r="AF32" s="698">
        <v>0.40100000000000002</v>
      </c>
      <c r="AG32" s="698">
        <v>2.9460000000000002</v>
      </c>
      <c r="AH32" s="697">
        <v>0.34899999999999998</v>
      </c>
      <c r="AI32" s="699">
        <v>3.05</v>
      </c>
      <c r="AJ32" s="698">
        <v>0.29899999999999999</v>
      </c>
      <c r="AK32" s="698">
        <v>3.153</v>
      </c>
      <c r="AL32" s="697">
        <v>0.253</v>
      </c>
      <c r="AM32" s="699">
        <v>3.2519999999999998</v>
      </c>
      <c r="AN32" s="698">
        <v>0.21099999999999999</v>
      </c>
      <c r="AO32" s="699">
        <v>3.3479999999999999</v>
      </c>
    </row>
    <row r="33" spans="1:41">
      <c r="A33" s="305">
        <v>33</v>
      </c>
      <c r="B33" s="697">
        <v>1.383</v>
      </c>
      <c r="C33" s="698">
        <v>1.508</v>
      </c>
      <c r="D33" s="697">
        <v>1.321</v>
      </c>
      <c r="E33" s="699">
        <v>1.577</v>
      </c>
      <c r="F33" s="698">
        <v>1.258</v>
      </c>
      <c r="G33" s="698">
        <v>1.651</v>
      </c>
      <c r="H33" s="697">
        <v>1.1930000000000001</v>
      </c>
      <c r="I33" s="699">
        <v>1.73</v>
      </c>
      <c r="J33" s="698">
        <v>1.127</v>
      </c>
      <c r="K33" s="698">
        <v>1.8129999999999999</v>
      </c>
      <c r="L33" s="697">
        <v>1.0609999999999999</v>
      </c>
      <c r="M33" s="699">
        <v>1.9</v>
      </c>
      <c r="N33" s="698">
        <v>0.99399999999999999</v>
      </c>
      <c r="O33" s="698">
        <v>1.9910000000000001</v>
      </c>
      <c r="P33" s="697">
        <v>0.92700000000000005</v>
      </c>
      <c r="Q33" s="698">
        <v>2.085</v>
      </c>
      <c r="R33" s="697">
        <v>0.86099999999999999</v>
      </c>
      <c r="S33" s="699">
        <v>2.181</v>
      </c>
      <c r="T33" s="698">
        <v>0.79600000000000004</v>
      </c>
      <c r="U33" s="698">
        <v>2.2810000000000001</v>
      </c>
      <c r="V33" s="697">
        <v>0.73099999999999998</v>
      </c>
      <c r="W33" s="699">
        <v>2.3820000000000001</v>
      </c>
      <c r="X33" s="698">
        <v>0.66800000000000004</v>
      </c>
      <c r="Y33" s="698">
        <v>2.484</v>
      </c>
      <c r="Z33" s="697">
        <v>0.60599999999999998</v>
      </c>
      <c r="AA33" s="699">
        <v>2.5880000000000001</v>
      </c>
      <c r="AB33" s="698">
        <v>0.54600000000000004</v>
      </c>
      <c r="AC33" s="698">
        <v>2.6920000000000002</v>
      </c>
      <c r="AD33" s="697">
        <v>0.48799999999999999</v>
      </c>
      <c r="AE33" s="699">
        <v>2.7959999999999998</v>
      </c>
      <c r="AF33" s="698">
        <v>0.432</v>
      </c>
      <c r="AG33" s="698">
        <v>2.899</v>
      </c>
      <c r="AH33" s="697">
        <v>0.379</v>
      </c>
      <c r="AI33" s="699">
        <v>3</v>
      </c>
      <c r="AJ33" s="698">
        <v>0.32900000000000001</v>
      </c>
      <c r="AK33" s="698">
        <v>3.1</v>
      </c>
      <c r="AL33" s="697">
        <v>0.28299999999999997</v>
      </c>
      <c r="AM33" s="699">
        <v>3.198</v>
      </c>
      <c r="AN33" s="698">
        <v>0.23899999999999999</v>
      </c>
      <c r="AO33" s="699">
        <v>3.2930000000000001</v>
      </c>
    </row>
    <row r="34" spans="1:41">
      <c r="A34" s="305">
        <v>34</v>
      </c>
      <c r="B34" s="697">
        <v>1.393</v>
      </c>
      <c r="C34" s="698">
        <v>1.514</v>
      </c>
      <c r="D34" s="697">
        <v>1.333</v>
      </c>
      <c r="E34" s="699">
        <v>1.58</v>
      </c>
      <c r="F34" s="698">
        <v>1.2709999999999999</v>
      </c>
      <c r="G34" s="698">
        <v>1.6519999999999999</v>
      </c>
      <c r="H34" s="697">
        <v>1.208</v>
      </c>
      <c r="I34" s="699">
        <v>1.728</v>
      </c>
      <c r="J34" s="698">
        <v>1.1439999999999999</v>
      </c>
      <c r="K34" s="698">
        <v>1.8080000000000001</v>
      </c>
      <c r="L34" s="697">
        <v>1.079</v>
      </c>
      <c r="M34" s="699">
        <v>1.891</v>
      </c>
      <c r="N34" s="698">
        <v>1.0149999999999999</v>
      </c>
      <c r="O34" s="698">
        <v>1.978</v>
      </c>
      <c r="P34" s="697">
        <v>0.95</v>
      </c>
      <c r="Q34" s="698">
        <v>2.069</v>
      </c>
      <c r="R34" s="697">
        <v>0.88500000000000001</v>
      </c>
      <c r="S34" s="699">
        <v>2.1619999999999999</v>
      </c>
      <c r="T34" s="698">
        <v>0.82099999999999995</v>
      </c>
      <c r="U34" s="698">
        <v>2.2570000000000001</v>
      </c>
      <c r="V34" s="697">
        <v>0.75800000000000001</v>
      </c>
      <c r="W34" s="699">
        <v>2.355</v>
      </c>
      <c r="X34" s="698">
        <v>0.69499999999999995</v>
      </c>
      <c r="Y34" s="698">
        <v>2.4540000000000002</v>
      </c>
      <c r="Z34" s="697">
        <v>0.63400000000000001</v>
      </c>
      <c r="AA34" s="699">
        <v>2.5539999999999998</v>
      </c>
      <c r="AB34" s="698">
        <v>0.57499999999999996</v>
      </c>
      <c r="AC34" s="698">
        <v>2.6539999999999999</v>
      </c>
      <c r="AD34" s="697">
        <v>0.51800000000000002</v>
      </c>
      <c r="AE34" s="699">
        <v>2.754</v>
      </c>
      <c r="AF34" s="698">
        <v>0.46200000000000002</v>
      </c>
      <c r="AG34" s="698">
        <v>2.8540000000000001</v>
      </c>
      <c r="AH34" s="697">
        <v>0.40899999999999997</v>
      </c>
      <c r="AI34" s="699">
        <v>2.9540000000000002</v>
      </c>
      <c r="AJ34" s="698">
        <v>0.35899999999999999</v>
      </c>
      <c r="AK34" s="698">
        <v>3.0510000000000002</v>
      </c>
      <c r="AL34" s="697">
        <v>0.312</v>
      </c>
      <c r="AM34" s="699">
        <v>3.1469999999999998</v>
      </c>
      <c r="AN34" s="698">
        <v>0.26700000000000002</v>
      </c>
      <c r="AO34" s="699">
        <v>3.24</v>
      </c>
    </row>
    <row r="35" spans="1:41">
      <c r="A35" s="305">
        <v>35</v>
      </c>
      <c r="B35" s="697">
        <v>1.4019999999999999</v>
      </c>
      <c r="C35" s="698">
        <v>1.5189999999999999</v>
      </c>
      <c r="D35" s="697">
        <v>1.343</v>
      </c>
      <c r="E35" s="699">
        <v>1.5840000000000001</v>
      </c>
      <c r="F35" s="698">
        <v>1.2829999999999999</v>
      </c>
      <c r="G35" s="698">
        <v>1.653</v>
      </c>
      <c r="H35" s="697">
        <v>1.222</v>
      </c>
      <c r="I35" s="699">
        <v>1.726</v>
      </c>
      <c r="J35" s="698">
        <v>1.1599999999999999</v>
      </c>
      <c r="K35" s="698">
        <v>1.8029999999999999</v>
      </c>
      <c r="L35" s="697">
        <v>1.097</v>
      </c>
      <c r="M35" s="699">
        <v>1.8839999999999999</v>
      </c>
      <c r="N35" s="698">
        <v>1.034</v>
      </c>
      <c r="O35" s="698">
        <v>1.9670000000000001</v>
      </c>
      <c r="P35" s="697">
        <v>0.97099999999999997</v>
      </c>
      <c r="Q35" s="698">
        <v>2.0539999999999998</v>
      </c>
      <c r="R35" s="697">
        <v>0.90800000000000003</v>
      </c>
      <c r="S35" s="699">
        <v>2.1440000000000001</v>
      </c>
      <c r="T35" s="698">
        <v>0.84499999999999997</v>
      </c>
      <c r="U35" s="698">
        <v>2.2360000000000002</v>
      </c>
      <c r="V35" s="697">
        <v>0.78300000000000003</v>
      </c>
      <c r="W35" s="699">
        <v>2.33</v>
      </c>
      <c r="X35" s="698">
        <v>0.72199999999999998</v>
      </c>
      <c r="Y35" s="698">
        <v>2.4249999999999998</v>
      </c>
      <c r="Z35" s="697">
        <v>0.66200000000000003</v>
      </c>
      <c r="AA35" s="699">
        <v>2.5209999999999999</v>
      </c>
      <c r="AB35" s="698">
        <v>0.60399999999999998</v>
      </c>
      <c r="AC35" s="698">
        <v>2.6190000000000002</v>
      </c>
      <c r="AD35" s="697">
        <v>0.54700000000000004</v>
      </c>
      <c r="AE35" s="699">
        <v>2.7160000000000002</v>
      </c>
      <c r="AF35" s="698">
        <v>0.49199999999999999</v>
      </c>
      <c r="AG35" s="698">
        <v>2.8130000000000002</v>
      </c>
      <c r="AH35" s="697">
        <v>0.439</v>
      </c>
      <c r="AI35" s="699">
        <v>2.91</v>
      </c>
      <c r="AJ35" s="698">
        <v>0.38800000000000001</v>
      </c>
      <c r="AK35" s="698">
        <v>3.0049999999999999</v>
      </c>
      <c r="AL35" s="697">
        <v>0.34</v>
      </c>
      <c r="AM35" s="699">
        <v>3.0990000000000002</v>
      </c>
      <c r="AN35" s="698">
        <v>0.29499999999999998</v>
      </c>
      <c r="AO35" s="699">
        <v>3.19</v>
      </c>
    </row>
    <row r="36" spans="1:41">
      <c r="A36" s="305">
        <v>36</v>
      </c>
      <c r="B36" s="697">
        <v>1.411</v>
      </c>
      <c r="C36" s="698">
        <v>1.5249999999999999</v>
      </c>
      <c r="D36" s="697">
        <v>1.3540000000000001</v>
      </c>
      <c r="E36" s="699">
        <v>1.587</v>
      </c>
      <c r="F36" s="698">
        <v>1.2949999999999999</v>
      </c>
      <c r="G36" s="698">
        <v>1.6539999999999999</v>
      </c>
      <c r="H36" s="697">
        <v>1.236</v>
      </c>
      <c r="I36" s="699">
        <v>1.724</v>
      </c>
      <c r="J36" s="698">
        <v>1.175</v>
      </c>
      <c r="K36" s="698">
        <v>1.7989999999999999</v>
      </c>
      <c r="L36" s="697">
        <v>1.1140000000000001</v>
      </c>
      <c r="M36" s="699">
        <v>1.8759999999999999</v>
      </c>
      <c r="N36" s="698">
        <v>1.0529999999999999</v>
      </c>
      <c r="O36" s="698">
        <v>1.9570000000000001</v>
      </c>
      <c r="P36" s="697">
        <v>0.99099999999999999</v>
      </c>
      <c r="Q36" s="698">
        <v>2.0409999999999999</v>
      </c>
      <c r="R36" s="697">
        <v>0.93</v>
      </c>
      <c r="S36" s="699">
        <v>2.1269999999999998</v>
      </c>
      <c r="T36" s="698">
        <v>0.86799999999999999</v>
      </c>
      <c r="U36" s="698">
        <v>2.2160000000000002</v>
      </c>
      <c r="V36" s="697">
        <v>0.80800000000000005</v>
      </c>
      <c r="W36" s="699">
        <v>2.306</v>
      </c>
      <c r="X36" s="698">
        <v>0.748</v>
      </c>
      <c r="Y36" s="698">
        <v>2.3980000000000001</v>
      </c>
      <c r="Z36" s="697">
        <v>0.68899999999999995</v>
      </c>
      <c r="AA36" s="699">
        <v>2.492</v>
      </c>
      <c r="AB36" s="698">
        <v>0.63100000000000001</v>
      </c>
      <c r="AC36" s="698">
        <v>2.5859999999999999</v>
      </c>
      <c r="AD36" s="697">
        <v>0.57499999999999996</v>
      </c>
      <c r="AE36" s="699">
        <v>2.68</v>
      </c>
      <c r="AF36" s="698">
        <v>0.52</v>
      </c>
      <c r="AG36" s="698">
        <v>2.774</v>
      </c>
      <c r="AH36" s="697">
        <v>0.46700000000000003</v>
      </c>
      <c r="AI36" s="699">
        <v>2.8679999999999999</v>
      </c>
      <c r="AJ36" s="698">
        <v>0.41699999999999998</v>
      </c>
      <c r="AK36" s="698">
        <v>2.9609999999999999</v>
      </c>
      <c r="AL36" s="697">
        <v>0.36899999999999999</v>
      </c>
      <c r="AM36" s="699">
        <v>3.0529999999999999</v>
      </c>
      <c r="AN36" s="698">
        <v>0.32300000000000001</v>
      </c>
      <c r="AO36" s="699">
        <v>3.1419999999999999</v>
      </c>
    </row>
    <row r="37" spans="1:41">
      <c r="A37" s="305">
        <v>37</v>
      </c>
      <c r="B37" s="697">
        <v>1.419</v>
      </c>
      <c r="C37" s="698">
        <v>1.53</v>
      </c>
      <c r="D37" s="697">
        <v>1.3640000000000001</v>
      </c>
      <c r="E37" s="699">
        <v>1.59</v>
      </c>
      <c r="F37" s="698">
        <v>1.3069999999999999</v>
      </c>
      <c r="G37" s="698">
        <v>1.655</v>
      </c>
      <c r="H37" s="697">
        <v>1.2490000000000001</v>
      </c>
      <c r="I37" s="699">
        <v>1.7230000000000001</v>
      </c>
      <c r="J37" s="698">
        <v>1.19</v>
      </c>
      <c r="K37" s="698">
        <v>1.7949999999999999</v>
      </c>
      <c r="L37" s="697">
        <v>1.131</v>
      </c>
      <c r="M37" s="699">
        <v>1.87</v>
      </c>
      <c r="N37" s="698">
        <v>1.071</v>
      </c>
      <c r="O37" s="698">
        <v>1.948</v>
      </c>
      <c r="P37" s="697">
        <v>1.0109999999999999</v>
      </c>
      <c r="Q37" s="698">
        <v>2.0289999999999999</v>
      </c>
      <c r="R37" s="697">
        <v>0.95099999999999996</v>
      </c>
      <c r="S37" s="699">
        <v>2.1120000000000001</v>
      </c>
      <c r="T37" s="698">
        <v>0.89100000000000001</v>
      </c>
      <c r="U37" s="698">
        <v>2.1970000000000001</v>
      </c>
      <c r="V37" s="697">
        <v>0.83099999999999996</v>
      </c>
      <c r="W37" s="699">
        <v>2.2850000000000001</v>
      </c>
      <c r="X37" s="698">
        <v>0.77200000000000002</v>
      </c>
      <c r="Y37" s="698">
        <v>2.3740000000000001</v>
      </c>
      <c r="Z37" s="697">
        <v>0.71399999999999997</v>
      </c>
      <c r="AA37" s="699">
        <v>2.464</v>
      </c>
      <c r="AB37" s="698">
        <v>0.65700000000000003</v>
      </c>
      <c r="AC37" s="698">
        <v>2.5550000000000002</v>
      </c>
      <c r="AD37" s="697">
        <v>0.60199999999999998</v>
      </c>
      <c r="AE37" s="699">
        <v>2.6459999999999999</v>
      </c>
      <c r="AF37" s="698">
        <v>0.54800000000000004</v>
      </c>
      <c r="AG37" s="698">
        <v>2.738</v>
      </c>
      <c r="AH37" s="697">
        <v>0.495</v>
      </c>
      <c r="AI37" s="699">
        <v>2.8290000000000002</v>
      </c>
      <c r="AJ37" s="698">
        <v>0.44500000000000001</v>
      </c>
      <c r="AK37" s="698">
        <v>2.92</v>
      </c>
      <c r="AL37" s="697">
        <v>0.39700000000000002</v>
      </c>
      <c r="AM37" s="699">
        <v>3.0089999999999999</v>
      </c>
      <c r="AN37" s="698">
        <v>0.35099999999999998</v>
      </c>
      <c r="AO37" s="699">
        <v>3.097</v>
      </c>
    </row>
    <row r="38" spans="1:41">
      <c r="A38" s="305">
        <v>38</v>
      </c>
      <c r="B38" s="697">
        <v>1.427</v>
      </c>
      <c r="C38" s="698">
        <v>1.5349999999999999</v>
      </c>
      <c r="D38" s="697">
        <v>1.373</v>
      </c>
      <c r="E38" s="699">
        <v>1.5940000000000001</v>
      </c>
      <c r="F38" s="698">
        <v>1.3180000000000001</v>
      </c>
      <c r="G38" s="698">
        <v>1.6559999999999999</v>
      </c>
      <c r="H38" s="697">
        <v>1.2609999999999999</v>
      </c>
      <c r="I38" s="699">
        <v>1.722</v>
      </c>
      <c r="J38" s="698">
        <v>1.204</v>
      </c>
      <c r="K38" s="698">
        <v>1.792</v>
      </c>
      <c r="L38" s="697">
        <v>1.1459999999999999</v>
      </c>
      <c r="M38" s="699">
        <v>1.8640000000000001</v>
      </c>
      <c r="N38" s="698">
        <v>1.0880000000000001</v>
      </c>
      <c r="O38" s="698">
        <v>1.9390000000000001</v>
      </c>
      <c r="P38" s="697">
        <v>1.0289999999999999</v>
      </c>
      <c r="Q38" s="698">
        <v>2.0169999999999999</v>
      </c>
      <c r="R38" s="697">
        <v>0.97</v>
      </c>
      <c r="S38" s="699">
        <v>2.0979999999999999</v>
      </c>
      <c r="T38" s="698">
        <v>0.91200000000000003</v>
      </c>
      <c r="U38" s="698">
        <v>2.1800000000000002</v>
      </c>
      <c r="V38" s="697">
        <v>0.85399999999999998</v>
      </c>
      <c r="W38" s="699">
        <v>2.2650000000000001</v>
      </c>
      <c r="X38" s="698">
        <v>0.79600000000000004</v>
      </c>
      <c r="Y38" s="698">
        <v>2.351</v>
      </c>
      <c r="Z38" s="697">
        <v>0.73899999999999999</v>
      </c>
      <c r="AA38" s="699">
        <v>2.4380000000000002</v>
      </c>
      <c r="AB38" s="698">
        <v>0.68300000000000005</v>
      </c>
      <c r="AC38" s="698">
        <v>2.5259999999999998</v>
      </c>
      <c r="AD38" s="697">
        <v>0.628</v>
      </c>
      <c r="AE38" s="699">
        <v>2.6139999999999999</v>
      </c>
      <c r="AF38" s="698">
        <v>0.57499999999999996</v>
      </c>
      <c r="AG38" s="698">
        <v>2.7029999999999998</v>
      </c>
      <c r="AH38" s="697">
        <v>0.52200000000000002</v>
      </c>
      <c r="AI38" s="699">
        <v>2.7919999999999998</v>
      </c>
      <c r="AJ38" s="698">
        <v>0.47199999999999998</v>
      </c>
      <c r="AK38" s="698">
        <v>2.88</v>
      </c>
      <c r="AL38" s="697">
        <v>0.42399999999999999</v>
      </c>
      <c r="AM38" s="699">
        <v>2.968</v>
      </c>
      <c r="AN38" s="698">
        <v>0.378</v>
      </c>
      <c r="AO38" s="699">
        <v>3.0539999999999998</v>
      </c>
    </row>
    <row r="39" spans="1:41">
      <c r="A39" s="305">
        <v>39</v>
      </c>
      <c r="B39" s="697">
        <v>1.4350000000000001</v>
      </c>
      <c r="C39" s="698">
        <v>1.54</v>
      </c>
      <c r="D39" s="697">
        <v>1.3819999999999999</v>
      </c>
      <c r="E39" s="699">
        <v>1.597</v>
      </c>
      <c r="F39" s="698">
        <v>1.3280000000000001</v>
      </c>
      <c r="G39" s="698">
        <v>1.6579999999999999</v>
      </c>
      <c r="H39" s="697">
        <v>1.2729999999999999</v>
      </c>
      <c r="I39" s="699">
        <v>1.722</v>
      </c>
      <c r="J39" s="698">
        <v>1.218</v>
      </c>
      <c r="K39" s="698">
        <v>1.7889999999999999</v>
      </c>
      <c r="L39" s="697">
        <v>1.161</v>
      </c>
      <c r="M39" s="699">
        <v>1.859</v>
      </c>
      <c r="N39" s="698">
        <v>1.1040000000000001</v>
      </c>
      <c r="O39" s="698">
        <v>1.9319999999999999</v>
      </c>
      <c r="P39" s="697">
        <v>1.0469999999999999</v>
      </c>
      <c r="Q39" s="698">
        <v>2.0070000000000001</v>
      </c>
      <c r="R39" s="697">
        <v>0.99</v>
      </c>
      <c r="S39" s="699">
        <v>2.085</v>
      </c>
      <c r="T39" s="698">
        <v>0.93200000000000005</v>
      </c>
      <c r="U39" s="698">
        <v>2.1640000000000001</v>
      </c>
      <c r="V39" s="697">
        <v>0.875</v>
      </c>
      <c r="W39" s="699">
        <v>2.246</v>
      </c>
      <c r="X39" s="698">
        <v>0.81899999999999995</v>
      </c>
      <c r="Y39" s="698">
        <v>2.3290000000000002</v>
      </c>
      <c r="Z39" s="697">
        <v>0.76300000000000001</v>
      </c>
      <c r="AA39" s="699">
        <v>2.4129999999999998</v>
      </c>
      <c r="AB39" s="698">
        <v>0.70699999999999996</v>
      </c>
      <c r="AC39" s="698">
        <v>2.4990000000000001</v>
      </c>
      <c r="AD39" s="697">
        <v>0.65300000000000002</v>
      </c>
      <c r="AE39" s="699">
        <v>2.585</v>
      </c>
      <c r="AF39" s="698">
        <v>0.6</v>
      </c>
      <c r="AG39" s="698">
        <v>2.6709999999999998</v>
      </c>
      <c r="AH39" s="697">
        <v>0.54900000000000004</v>
      </c>
      <c r="AI39" s="699">
        <v>2.7570000000000001</v>
      </c>
      <c r="AJ39" s="698">
        <v>0.499</v>
      </c>
      <c r="AK39" s="698">
        <v>2.843</v>
      </c>
      <c r="AL39" s="697">
        <v>0.45100000000000001</v>
      </c>
      <c r="AM39" s="699">
        <v>2.9289999999999998</v>
      </c>
      <c r="AN39" s="698">
        <v>0.40400000000000003</v>
      </c>
      <c r="AO39" s="699">
        <v>3.0129999999999999</v>
      </c>
    </row>
    <row r="40" spans="1:41">
      <c r="A40" s="305">
        <v>40</v>
      </c>
      <c r="B40" s="697">
        <v>1.4419999999999999</v>
      </c>
      <c r="C40" s="698">
        <v>1.544</v>
      </c>
      <c r="D40" s="697">
        <v>1.391</v>
      </c>
      <c r="E40" s="699">
        <v>1.6</v>
      </c>
      <c r="F40" s="698">
        <v>1.3380000000000001</v>
      </c>
      <c r="G40" s="698">
        <v>1.659</v>
      </c>
      <c r="H40" s="697">
        <v>1.2849999999999999</v>
      </c>
      <c r="I40" s="699">
        <v>1.7210000000000001</v>
      </c>
      <c r="J40" s="698">
        <v>1.23</v>
      </c>
      <c r="K40" s="698">
        <v>1.786</v>
      </c>
      <c r="L40" s="697">
        <v>1.175</v>
      </c>
      <c r="M40" s="699">
        <v>1.8540000000000001</v>
      </c>
      <c r="N40" s="698">
        <v>1.1200000000000001</v>
      </c>
      <c r="O40" s="698">
        <v>1.9239999999999999</v>
      </c>
      <c r="P40" s="697">
        <v>1.0640000000000001</v>
      </c>
      <c r="Q40" s="698">
        <v>1.9970000000000001</v>
      </c>
      <c r="R40" s="697">
        <v>1.008</v>
      </c>
      <c r="S40" s="699">
        <v>2.0720000000000001</v>
      </c>
      <c r="T40" s="698">
        <v>0.95199999999999996</v>
      </c>
      <c r="U40" s="698">
        <v>2.149</v>
      </c>
      <c r="V40" s="697">
        <v>0.89600000000000002</v>
      </c>
      <c r="W40" s="699">
        <v>2.2280000000000002</v>
      </c>
      <c r="X40" s="698">
        <v>0.84</v>
      </c>
      <c r="Y40" s="698">
        <v>2.3090000000000002</v>
      </c>
      <c r="Z40" s="697">
        <v>0.78500000000000003</v>
      </c>
      <c r="AA40" s="699">
        <v>2.391</v>
      </c>
      <c r="AB40" s="698">
        <v>0.73099999999999998</v>
      </c>
      <c r="AC40" s="698">
        <v>2.4729999999999999</v>
      </c>
      <c r="AD40" s="697">
        <v>0.67800000000000005</v>
      </c>
      <c r="AE40" s="699">
        <v>2.5569999999999999</v>
      </c>
      <c r="AF40" s="698">
        <v>0.626</v>
      </c>
      <c r="AG40" s="698">
        <v>2.641</v>
      </c>
      <c r="AH40" s="697">
        <v>0.57499999999999996</v>
      </c>
      <c r="AI40" s="699">
        <v>2.7240000000000002</v>
      </c>
      <c r="AJ40" s="698">
        <v>0.52500000000000002</v>
      </c>
      <c r="AK40" s="698">
        <v>2.8079999999999998</v>
      </c>
      <c r="AL40" s="697">
        <v>0.47699999999999998</v>
      </c>
      <c r="AM40" s="699">
        <v>2.8290000000000002</v>
      </c>
      <c r="AN40" s="698">
        <v>0.43</v>
      </c>
      <c r="AO40" s="699">
        <v>2.9740000000000002</v>
      </c>
    </row>
    <row r="41" spans="1:41">
      <c r="A41" s="305">
        <v>45</v>
      </c>
      <c r="B41" s="697">
        <v>1.4750000000000001</v>
      </c>
      <c r="C41" s="698">
        <v>1.5660000000000001</v>
      </c>
      <c r="D41" s="697">
        <v>1.43</v>
      </c>
      <c r="E41" s="699">
        <v>1.615</v>
      </c>
      <c r="F41" s="698">
        <v>1.383</v>
      </c>
      <c r="G41" s="698">
        <v>1.6659999999999999</v>
      </c>
      <c r="H41" s="697">
        <v>1.3360000000000001</v>
      </c>
      <c r="I41" s="699">
        <v>1.72</v>
      </c>
      <c r="J41" s="698">
        <v>1.2869999999999999</v>
      </c>
      <c r="K41" s="698">
        <v>1.776</v>
      </c>
      <c r="L41" s="697">
        <v>1.238</v>
      </c>
      <c r="M41" s="699">
        <v>1.835</v>
      </c>
      <c r="N41" s="698">
        <v>1.1890000000000001</v>
      </c>
      <c r="O41" s="698">
        <v>1.895</v>
      </c>
      <c r="P41" s="697">
        <v>1.139</v>
      </c>
      <c r="Q41" s="698">
        <v>1.958</v>
      </c>
      <c r="R41" s="697">
        <v>1.089</v>
      </c>
      <c r="S41" s="699">
        <v>2.0219999999999998</v>
      </c>
      <c r="T41" s="698">
        <v>1.038</v>
      </c>
      <c r="U41" s="698">
        <v>2.0880000000000001</v>
      </c>
      <c r="V41" s="697">
        <v>0.98799999999999999</v>
      </c>
      <c r="W41" s="699">
        <v>2.1560000000000001</v>
      </c>
      <c r="X41" s="698">
        <v>0.93799999999999994</v>
      </c>
      <c r="Y41" s="698">
        <v>2.2250000000000001</v>
      </c>
      <c r="Z41" s="697">
        <v>0.88700000000000001</v>
      </c>
      <c r="AA41" s="699">
        <v>2.2959999999999998</v>
      </c>
      <c r="AB41" s="698">
        <v>0.83799999999999997</v>
      </c>
      <c r="AC41" s="698">
        <v>2.367</v>
      </c>
      <c r="AD41" s="697">
        <v>0.78800000000000003</v>
      </c>
      <c r="AE41" s="699">
        <v>2.4390000000000001</v>
      </c>
      <c r="AF41" s="698">
        <v>0.74</v>
      </c>
      <c r="AG41" s="698">
        <v>2.512</v>
      </c>
      <c r="AH41" s="697">
        <v>0.69199999999999995</v>
      </c>
      <c r="AI41" s="699">
        <v>2.5859999999999999</v>
      </c>
      <c r="AJ41" s="698">
        <v>0.64400000000000002</v>
      </c>
      <c r="AK41" s="698">
        <v>2.6589999999999998</v>
      </c>
      <c r="AL41" s="697">
        <v>0.59799999999999998</v>
      </c>
      <c r="AM41" s="699">
        <v>2.7330000000000001</v>
      </c>
      <c r="AN41" s="698">
        <v>0.55300000000000005</v>
      </c>
      <c r="AO41" s="699">
        <v>2.8069999999999999</v>
      </c>
    </row>
    <row r="42" spans="1:41">
      <c r="A42" s="305">
        <v>50</v>
      </c>
      <c r="B42" s="697">
        <v>1.5029999999999999</v>
      </c>
      <c r="C42" s="698">
        <v>1.585</v>
      </c>
      <c r="D42" s="697">
        <v>1.462</v>
      </c>
      <c r="E42" s="699">
        <v>1.6279999999999999</v>
      </c>
      <c r="F42" s="698">
        <v>1.421</v>
      </c>
      <c r="G42" s="698">
        <v>1.6739999999999999</v>
      </c>
      <c r="H42" s="697">
        <v>1.3779999999999999</v>
      </c>
      <c r="I42" s="699">
        <v>1.7210000000000001</v>
      </c>
      <c r="J42" s="698">
        <v>1.335</v>
      </c>
      <c r="K42" s="698">
        <v>1.7709999999999999</v>
      </c>
      <c r="L42" s="697">
        <v>1.2909999999999999</v>
      </c>
      <c r="M42" s="699">
        <v>1.8220000000000001</v>
      </c>
      <c r="N42" s="698">
        <v>1.246</v>
      </c>
      <c r="O42" s="698">
        <v>1.875</v>
      </c>
      <c r="P42" s="697">
        <v>1.2010000000000001</v>
      </c>
      <c r="Q42" s="698">
        <v>1.93</v>
      </c>
      <c r="R42" s="697">
        <v>1.1559999999999999</v>
      </c>
      <c r="S42" s="699">
        <v>1.986</v>
      </c>
      <c r="T42" s="698">
        <v>1.1100000000000001</v>
      </c>
      <c r="U42" s="698">
        <v>2.044</v>
      </c>
      <c r="V42" s="697">
        <v>1.0640000000000001</v>
      </c>
      <c r="W42" s="699">
        <v>2.1030000000000002</v>
      </c>
      <c r="X42" s="698">
        <v>1.0189999999999999</v>
      </c>
      <c r="Y42" s="698">
        <v>2.1629999999999998</v>
      </c>
      <c r="Z42" s="697">
        <v>0.97299999999999998</v>
      </c>
      <c r="AA42" s="699">
        <v>2.2250000000000001</v>
      </c>
      <c r="AB42" s="698">
        <v>0.92700000000000005</v>
      </c>
      <c r="AC42" s="698">
        <v>2.2869999999999999</v>
      </c>
      <c r="AD42" s="697">
        <v>0.88200000000000001</v>
      </c>
      <c r="AE42" s="699">
        <v>2.35</v>
      </c>
      <c r="AF42" s="698">
        <v>0.83599999999999997</v>
      </c>
      <c r="AG42" s="698">
        <v>2.4140000000000001</v>
      </c>
      <c r="AH42" s="697">
        <v>0.79200000000000004</v>
      </c>
      <c r="AI42" s="699">
        <v>2.4790000000000001</v>
      </c>
      <c r="AJ42" s="698">
        <v>0.747</v>
      </c>
      <c r="AK42" s="698">
        <v>2.544</v>
      </c>
      <c r="AL42" s="697">
        <v>0.70299999999999996</v>
      </c>
      <c r="AM42" s="699">
        <v>2.61</v>
      </c>
      <c r="AN42" s="698">
        <v>0.66</v>
      </c>
      <c r="AO42" s="699">
        <v>2.6749999999999998</v>
      </c>
    </row>
    <row r="43" spans="1:41">
      <c r="A43" s="305">
        <v>55</v>
      </c>
      <c r="B43" s="697">
        <v>1.528</v>
      </c>
      <c r="C43" s="698">
        <v>1.601</v>
      </c>
      <c r="D43" s="697">
        <v>1.49</v>
      </c>
      <c r="E43" s="699">
        <v>1.641</v>
      </c>
      <c r="F43" s="698">
        <v>1.452</v>
      </c>
      <c r="G43" s="698">
        <v>1.681</v>
      </c>
      <c r="H43" s="697">
        <v>1.4139999999999999</v>
      </c>
      <c r="I43" s="699">
        <v>1.724</v>
      </c>
      <c r="J43" s="698">
        <v>1.3740000000000001</v>
      </c>
      <c r="K43" s="698">
        <v>1.768</v>
      </c>
      <c r="L43" s="697">
        <v>1.3340000000000001</v>
      </c>
      <c r="M43" s="699">
        <v>1.8140000000000001</v>
      </c>
      <c r="N43" s="698">
        <v>1.294</v>
      </c>
      <c r="O43" s="698">
        <v>1.861</v>
      </c>
      <c r="P43" s="697">
        <v>1.2529999999999999</v>
      </c>
      <c r="Q43" s="698">
        <v>1.909</v>
      </c>
      <c r="R43" s="697">
        <v>1.212</v>
      </c>
      <c r="S43" s="699">
        <v>1.9590000000000001</v>
      </c>
      <c r="T43" s="698">
        <v>1.17</v>
      </c>
      <c r="U43" s="698">
        <v>2.0099999999999998</v>
      </c>
      <c r="V43" s="697">
        <v>1.129</v>
      </c>
      <c r="W43" s="699">
        <v>2.0619999999999998</v>
      </c>
      <c r="X43" s="698">
        <v>1.087</v>
      </c>
      <c r="Y43" s="698">
        <v>2.1160000000000001</v>
      </c>
      <c r="Z43" s="697">
        <v>1.0449999999999999</v>
      </c>
      <c r="AA43" s="699">
        <v>2.17</v>
      </c>
      <c r="AB43" s="698">
        <v>1.0029999999999999</v>
      </c>
      <c r="AC43" s="698">
        <v>2.2250000000000001</v>
      </c>
      <c r="AD43" s="697">
        <v>0.96099999999999997</v>
      </c>
      <c r="AE43" s="699">
        <v>2.2810000000000001</v>
      </c>
      <c r="AF43" s="698">
        <v>0.91900000000000004</v>
      </c>
      <c r="AG43" s="698">
        <v>2.3380000000000001</v>
      </c>
      <c r="AH43" s="697">
        <v>0.877</v>
      </c>
      <c r="AI43" s="699">
        <v>2.3959999999999999</v>
      </c>
      <c r="AJ43" s="698">
        <v>0.83599999999999997</v>
      </c>
      <c r="AK43" s="698">
        <v>2.4540000000000002</v>
      </c>
      <c r="AL43" s="697">
        <v>0.79500000000000004</v>
      </c>
      <c r="AM43" s="699">
        <v>2.512</v>
      </c>
      <c r="AN43" s="698">
        <v>0.754</v>
      </c>
      <c r="AO43" s="699">
        <v>2.5710000000000002</v>
      </c>
    </row>
    <row r="44" spans="1:41">
      <c r="A44" s="305">
        <v>60</v>
      </c>
      <c r="B44" s="697">
        <v>1.5489999999999999</v>
      </c>
      <c r="C44" s="698">
        <v>1.6160000000000001</v>
      </c>
      <c r="D44" s="697">
        <v>1.514</v>
      </c>
      <c r="E44" s="699">
        <v>1.6519999999999999</v>
      </c>
      <c r="F44" s="698">
        <v>1.48</v>
      </c>
      <c r="G44" s="698">
        <v>1.6890000000000001</v>
      </c>
      <c r="H44" s="697">
        <v>1.444</v>
      </c>
      <c r="I44" s="699">
        <v>1.7270000000000001</v>
      </c>
      <c r="J44" s="698">
        <v>1.4079999999999999</v>
      </c>
      <c r="K44" s="698">
        <v>1.7669999999999999</v>
      </c>
      <c r="L44" s="697">
        <v>1.3720000000000001</v>
      </c>
      <c r="M44" s="699">
        <v>1.8080000000000001</v>
      </c>
      <c r="N44" s="698">
        <v>1.335</v>
      </c>
      <c r="O44" s="698">
        <v>1.85</v>
      </c>
      <c r="P44" s="697">
        <v>1.298</v>
      </c>
      <c r="Q44" s="698">
        <v>1.8939999999999999</v>
      </c>
      <c r="R44" s="697">
        <v>1.26</v>
      </c>
      <c r="S44" s="699">
        <v>1.9390000000000001</v>
      </c>
      <c r="T44" s="698">
        <v>1.222</v>
      </c>
      <c r="U44" s="698">
        <v>1.984</v>
      </c>
      <c r="V44" s="697">
        <v>1.1839999999999999</v>
      </c>
      <c r="W44" s="699">
        <v>2.0310000000000001</v>
      </c>
      <c r="X44" s="698">
        <v>1.145</v>
      </c>
      <c r="Y44" s="698">
        <v>2.0790000000000002</v>
      </c>
      <c r="Z44" s="697">
        <v>1.1060000000000001</v>
      </c>
      <c r="AA44" s="699">
        <v>2.1269999999999998</v>
      </c>
      <c r="AB44" s="698">
        <v>1.0680000000000001</v>
      </c>
      <c r="AC44" s="698">
        <v>2.177</v>
      </c>
      <c r="AD44" s="697">
        <v>1.0289999999999999</v>
      </c>
      <c r="AE44" s="699">
        <v>2.2269999999999999</v>
      </c>
      <c r="AF44" s="698">
        <v>0.99</v>
      </c>
      <c r="AG44" s="698">
        <v>2.278</v>
      </c>
      <c r="AH44" s="697">
        <v>0.95099999999999996</v>
      </c>
      <c r="AI44" s="699">
        <v>2.33</v>
      </c>
      <c r="AJ44" s="698">
        <v>0.91300000000000003</v>
      </c>
      <c r="AK44" s="698">
        <v>2.3820000000000001</v>
      </c>
      <c r="AL44" s="697">
        <v>0.874</v>
      </c>
      <c r="AM44" s="699">
        <v>2.4340000000000002</v>
      </c>
      <c r="AN44" s="698">
        <v>0.83599999999999997</v>
      </c>
      <c r="AO44" s="699">
        <v>2.4870000000000001</v>
      </c>
    </row>
    <row r="45" spans="1:41">
      <c r="A45" s="305">
        <v>65</v>
      </c>
      <c r="B45" s="697">
        <v>1.5669999999999999</v>
      </c>
      <c r="C45" s="698">
        <v>1.629</v>
      </c>
      <c r="D45" s="697">
        <v>1.536</v>
      </c>
      <c r="E45" s="699">
        <v>1.6619999999999999</v>
      </c>
      <c r="F45" s="698">
        <v>1.5029999999999999</v>
      </c>
      <c r="G45" s="698">
        <v>1.696</v>
      </c>
      <c r="H45" s="697">
        <v>1.4710000000000001</v>
      </c>
      <c r="I45" s="699">
        <v>1.7310000000000001</v>
      </c>
      <c r="J45" s="698">
        <v>1.4379999999999999</v>
      </c>
      <c r="K45" s="698">
        <v>1.7669999999999999</v>
      </c>
      <c r="L45" s="697">
        <v>1.4039999999999999</v>
      </c>
      <c r="M45" s="699">
        <v>1.8049999999999999</v>
      </c>
      <c r="N45" s="698">
        <v>1.37</v>
      </c>
      <c r="O45" s="698">
        <v>1.843</v>
      </c>
      <c r="P45" s="697">
        <v>1.3360000000000001</v>
      </c>
      <c r="Q45" s="698">
        <v>1.8819999999999999</v>
      </c>
      <c r="R45" s="697">
        <v>1.3009999999999999</v>
      </c>
      <c r="S45" s="699">
        <v>1.923</v>
      </c>
      <c r="T45" s="698">
        <v>1.266</v>
      </c>
      <c r="U45" s="698">
        <v>1.964</v>
      </c>
      <c r="V45" s="697">
        <v>1.2310000000000001</v>
      </c>
      <c r="W45" s="699">
        <v>2.0059999999999998</v>
      </c>
      <c r="X45" s="698">
        <v>1.1950000000000001</v>
      </c>
      <c r="Y45" s="698">
        <v>2.0489999999999999</v>
      </c>
      <c r="Z45" s="697">
        <v>1.1599999999999999</v>
      </c>
      <c r="AA45" s="699">
        <v>2.093</v>
      </c>
      <c r="AB45" s="698">
        <v>1.1240000000000001</v>
      </c>
      <c r="AC45" s="698">
        <v>2.1379999999999999</v>
      </c>
      <c r="AD45" s="697">
        <v>1.0880000000000001</v>
      </c>
      <c r="AE45" s="699">
        <v>2.1829999999999998</v>
      </c>
      <c r="AF45" s="698">
        <v>1.052</v>
      </c>
      <c r="AG45" s="698">
        <v>2.2290000000000001</v>
      </c>
      <c r="AH45" s="697">
        <v>1.016</v>
      </c>
      <c r="AI45" s="699">
        <v>2.2759999999999998</v>
      </c>
      <c r="AJ45" s="698">
        <v>0.98</v>
      </c>
      <c r="AK45" s="698">
        <v>2.323</v>
      </c>
      <c r="AL45" s="697">
        <v>0.94399999999999995</v>
      </c>
      <c r="AM45" s="699">
        <v>2.371</v>
      </c>
      <c r="AN45" s="698">
        <v>0.90800000000000003</v>
      </c>
      <c r="AO45" s="699">
        <v>2.419</v>
      </c>
    </row>
    <row r="46" spans="1:41">
      <c r="A46" s="305">
        <v>70</v>
      </c>
      <c r="B46" s="697">
        <v>1.583</v>
      </c>
      <c r="C46" s="698">
        <v>1.641</v>
      </c>
      <c r="D46" s="697">
        <v>1.554</v>
      </c>
      <c r="E46" s="699">
        <v>1.6719999999999999</v>
      </c>
      <c r="F46" s="698">
        <v>1.5249999999999999</v>
      </c>
      <c r="G46" s="698">
        <v>1.7030000000000001</v>
      </c>
      <c r="H46" s="697">
        <v>1.494</v>
      </c>
      <c r="I46" s="699">
        <v>1.7350000000000001</v>
      </c>
      <c r="J46" s="698">
        <v>1.464</v>
      </c>
      <c r="K46" s="698">
        <v>1.768</v>
      </c>
      <c r="L46" s="697">
        <v>1.4330000000000001</v>
      </c>
      <c r="M46" s="699">
        <v>1.802</v>
      </c>
      <c r="N46" s="698">
        <v>1.401</v>
      </c>
      <c r="O46" s="698">
        <v>1.8380000000000001</v>
      </c>
      <c r="P46" s="697">
        <v>1.369</v>
      </c>
      <c r="Q46" s="698">
        <v>1.8740000000000001</v>
      </c>
      <c r="R46" s="697">
        <v>1.337</v>
      </c>
      <c r="S46" s="699">
        <v>1.91</v>
      </c>
      <c r="T46" s="698">
        <v>1.3049999999999999</v>
      </c>
      <c r="U46" s="698">
        <v>1.948</v>
      </c>
      <c r="V46" s="697">
        <v>1.272</v>
      </c>
      <c r="W46" s="699">
        <v>1.9870000000000001</v>
      </c>
      <c r="X46" s="698">
        <v>1.2390000000000001</v>
      </c>
      <c r="Y46" s="698">
        <v>2.0259999999999998</v>
      </c>
      <c r="Z46" s="697">
        <v>1.206</v>
      </c>
      <c r="AA46" s="699">
        <v>2.0659999999999998</v>
      </c>
      <c r="AB46" s="698">
        <v>1.1719999999999999</v>
      </c>
      <c r="AC46" s="698">
        <v>2.1059999999999999</v>
      </c>
      <c r="AD46" s="697">
        <v>1.139</v>
      </c>
      <c r="AE46" s="699">
        <v>2.1480000000000001</v>
      </c>
      <c r="AF46" s="698">
        <v>1.105</v>
      </c>
      <c r="AG46" s="698">
        <v>2.1890000000000001</v>
      </c>
      <c r="AH46" s="697">
        <v>1.0720000000000001</v>
      </c>
      <c r="AI46" s="699">
        <v>2.2320000000000002</v>
      </c>
      <c r="AJ46" s="698">
        <v>1.038</v>
      </c>
      <c r="AK46" s="698">
        <v>2.2749999999999999</v>
      </c>
      <c r="AL46" s="697">
        <v>1.0049999999999999</v>
      </c>
      <c r="AM46" s="699">
        <v>2.3180000000000001</v>
      </c>
      <c r="AN46" s="698">
        <v>0.97099999999999997</v>
      </c>
      <c r="AO46" s="699">
        <v>2.3620000000000001</v>
      </c>
    </row>
    <row r="47" spans="1:41">
      <c r="A47" s="305">
        <v>75</v>
      </c>
      <c r="B47" s="697">
        <v>1.5980000000000001</v>
      </c>
      <c r="C47" s="698">
        <v>1.6519999999999999</v>
      </c>
      <c r="D47" s="697">
        <v>1.571</v>
      </c>
      <c r="E47" s="699">
        <v>1.68</v>
      </c>
      <c r="F47" s="698">
        <v>1.5429999999999999</v>
      </c>
      <c r="G47" s="698">
        <v>1.7090000000000001</v>
      </c>
      <c r="H47" s="697">
        <v>1.5149999999999999</v>
      </c>
      <c r="I47" s="699">
        <v>1.7390000000000001</v>
      </c>
      <c r="J47" s="698">
        <v>1.4870000000000001</v>
      </c>
      <c r="K47" s="698">
        <v>1.77</v>
      </c>
      <c r="L47" s="697">
        <v>1.458</v>
      </c>
      <c r="M47" s="699">
        <v>1.8009999999999999</v>
      </c>
      <c r="N47" s="698">
        <v>1.4279999999999999</v>
      </c>
      <c r="O47" s="698">
        <v>1.8340000000000001</v>
      </c>
      <c r="P47" s="697">
        <v>1.399</v>
      </c>
      <c r="Q47" s="698">
        <v>1.867</v>
      </c>
      <c r="R47" s="697">
        <v>1.369</v>
      </c>
      <c r="S47" s="699">
        <v>1.901</v>
      </c>
      <c r="T47" s="698">
        <v>1.339</v>
      </c>
      <c r="U47" s="698">
        <v>1.9350000000000001</v>
      </c>
      <c r="V47" s="697">
        <v>1.3080000000000001</v>
      </c>
      <c r="W47" s="699">
        <v>1.97</v>
      </c>
      <c r="X47" s="698">
        <v>1.2769999999999999</v>
      </c>
      <c r="Y47" s="698">
        <v>2.0059999999999998</v>
      </c>
      <c r="Z47" s="697">
        <v>1.2470000000000001</v>
      </c>
      <c r="AA47" s="699">
        <v>2.0430000000000001</v>
      </c>
      <c r="AB47" s="698">
        <v>1.2150000000000001</v>
      </c>
      <c r="AC47" s="698">
        <v>2.08</v>
      </c>
      <c r="AD47" s="697">
        <v>1.1839999999999999</v>
      </c>
      <c r="AE47" s="699">
        <v>2.1179999999999999</v>
      </c>
      <c r="AF47" s="698">
        <v>1.153</v>
      </c>
      <c r="AG47" s="698">
        <v>2.1560000000000001</v>
      </c>
      <c r="AH47" s="697">
        <v>1.121</v>
      </c>
      <c r="AI47" s="699">
        <v>2.1949999999999998</v>
      </c>
      <c r="AJ47" s="698">
        <v>1.0900000000000001</v>
      </c>
      <c r="AK47" s="698">
        <v>2.2349999999999999</v>
      </c>
      <c r="AL47" s="697">
        <v>1.0580000000000001</v>
      </c>
      <c r="AM47" s="699">
        <v>2.2749999999999999</v>
      </c>
      <c r="AN47" s="698">
        <v>1.0269999999999999</v>
      </c>
      <c r="AO47" s="699">
        <v>2.3149999999999999</v>
      </c>
    </row>
    <row r="48" spans="1:41">
      <c r="A48" s="305">
        <v>80</v>
      </c>
      <c r="B48" s="697">
        <v>1.611</v>
      </c>
      <c r="C48" s="698">
        <v>1.6619999999999999</v>
      </c>
      <c r="D48" s="697">
        <v>1.5860000000000001</v>
      </c>
      <c r="E48" s="699">
        <v>1.6879999999999999</v>
      </c>
      <c r="F48" s="698">
        <v>1.56</v>
      </c>
      <c r="G48" s="698">
        <v>1.7150000000000001</v>
      </c>
      <c r="H48" s="697">
        <v>1.534</v>
      </c>
      <c r="I48" s="699">
        <v>1.7430000000000001</v>
      </c>
      <c r="J48" s="698">
        <v>1.5069999999999999</v>
      </c>
      <c r="K48" s="698">
        <v>1.772</v>
      </c>
      <c r="L48" s="697">
        <v>1.48</v>
      </c>
      <c r="M48" s="699">
        <v>1.8009999999999999</v>
      </c>
      <c r="N48" s="698">
        <v>1.4530000000000001</v>
      </c>
      <c r="O48" s="698">
        <v>1.831</v>
      </c>
      <c r="P48" s="697">
        <v>1.425</v>
      </c>
      <c r="Q48" s="698">
        <v>1.861</v>
      </c>
      <c r="R48" s="697">
        <v>1.397</v>
      </c>
      <c r="S48" s="699">
        <v>1.893</v>
      </c>
      <c r="T48" s="698">
        <v>1.369</v>
      </c>
      <c r="U48" s="698">
        <v>1.925</v>
      </c>
      <c r="V48" s="697">
        <v>1.34</v>
      </c>
      <c r="W48" s="699">
        <v>1.9570000000000001</v>
      </c>
      <c r="X48" s="698">
        <v>1.3109999999999999</v>
      </c>
      <c r="Y48" s="698">
        <v>1.9910000000000001</v>
      </c>
      <c r="Z48" s="697">
        <v>1.2829999999999999</v>
      </c>
      <c r="AA48" s="699">
        <v>2.024</v>
      </c>
      <c r="AB48" s="698">
        <v>1.2529999999999999</v>
      </c>
      <c r="AC48" s="698">
        <v>2.0590000000000002</v>
      </c>
      <c r="AD48" s="697">
        <v>1.224</v>
      </c>
      <c r="AE48" s="699">
        <v>2.093</v>
      </c>
      <c r="AF48" s="698">
        <v>1.1950000000000001</v>
      </c>
      <c r="AG48" s="698">
        <v>2.129</v>
      </c>
      <c r="AH48" s="697">
        <v>1.165</v>
      </c>
      <c r="AI48" s="699">
        <v>2.165</v>
      </c>
      <c r="AJ48" s="698">
        <v>1.1359999999999999</v>
      </c>
      <c r="AK48" s="698">
        <v>2.2010000000000001</v>
      </c>
      <c r="AL48" s="697">
        <v>1.1060000000000001</v>
      </c>
      <c r="AM48" s="699">
        <v>2.238</v>
      </c>
      <c r="AN48" s="698">
        <v>1.0760000000000001</v>
      </c>
      <c r="AO48" s="699">
        <v>2.2749999999999999</v>
      </c>
    </row>
    <row r="49" spans="1:41">
      <c r="A49" s="305">
        <v>85</v>
      </c>
      <c r="B49" s="697">
        <v>1.6240000000000001</v>
      </c>
      <c r="C49" s="698">
        <v>1.671</v>
      </c>
      <c r="D49" s="697">
        <v>1.6</v>
      </c>
      <c r="E49" s="699">
        <v>1.696</v>
      </c>
      <c r="F49" s="698">
        <v>1.575</v>
      </c>
      <c r="G49" s="698">
        <v>1.7210000000000001</v>
      </c>
      <c r="H49" s="697">
        <v>1.55</v>
      </c>
      <c r="I49" s="699">
        <v>1.7470000000000001</v>
      </c>
      <c r="J49" s="698">
        <v>1.5249999999999999</v>
      </c>
      <c r="K49" s="698">
        <v>1.774</v>
      </c>
      <c r="L49" s="697">
        <v>1.5</v>
      </c>
      <c r="M49" s="699">
        <v>1.8009999999999999</v>
      </c>
      <c r="N49" s="698">
        <v>1.474</v>
      </c>
      <c r="O49" s="698">
        <v>1.829</v>
      </c>
      <c r="P49" s="697">
        <v>1.448</v>
      </c>
      <c r="Q49" s="698">
        <v>1.857</v>
      </c>
      <c r="R49" s="697">
        <v>1.4219999999999999</v>
      </c>
      <c r="S49" s="699">
        <v>1.8859999999999999</v>
      </c>
      <c r="T49" s="698">
        <v>1.3959999999999999</v>
      </c>
      <c r="U49" s="698">
        <v>1.9159999999999999</v>
      </c>
      <c r="V49" s="697">
        <v>1.369</v>
      </c>
      <c r="W49" s="699">
        <v>1.946</v>
      </c>
      <c r="X49" s="698">
        <v>1.3420000000000001</v>
      </c>
      <c r="Y49" s="698">
        <v>1.9770000000000001</v>
      </c>
      <c r="Z49" s="697">
        <v>1.3149999999999999</v>
      </c>
      <c r="AA49" s="699">
        <v>2.0089999999999999</v>
      </c>
      <c r="AB49" s="698">
        <v>1.2869999999999999</v>
      </c>
      <c r="AC49" s="698">
        <v>2.04</v>
      </c>
      <c r="AD49" s="697">
        <v>1.26</v>
      </c>
      <c r="AE49" s="699">
        <v>2.073</v>
      </c>
      <c r="AF49" s="698">
        <v>1.232</v>
      </c>
      <c r="AG49" s="698">
        <v>2.105</v>
      </c>
      <c r="AH49" s="697">
        <v>1.2050000000000001</v>
      </c>
      <c r="AI49" s="699">
        <v>2.1389999999999998</v>
      </c>
      <c r="AJ49" s="698">
        <v>1.177</v>
      </c>
      <c r="AK49" s="698">
        <v>2.1720000000000002</v>
      </c>
      <c r="AL49" s="697">
        <v>1.149</v>
      </c>
      <c r="AM49" s="699">
        <v>2.206</v>
      </c>
      <c r="AN49" s="698">
        <v>1.121</v>
      </c>
      <c r="AO49" s="699">
        <v>2.2410000000000001</v>
      </c>
    </row>
    <row r="50" spans="1:41">
      <c r="A50" s="305">
        <v>90</v>
      </c>
      <c r="B50" s="697">
        <v>1.635</v>
      </c>
      <c r="C50" s="698">
        <v>1.679</v>
      </c>
      <c r="D50" s="697">
        <v>1.6120000000000001</v>
      </c>
      <c r="E50" s="699">
        <v>1.7030000000000001</v>
      </c>
      <c r="F50" s="698">
        <v>1.589</v>
      </c>
      <c r="G50" s="698">
        <v>1.726</v>
      </c>
      <c r="H50" s="697">
        <v>1.5660000000000001</v>
      </c>
      <c r="I50" s="699">
        <v>1.7509999999999999</v>
      </c>
      <c r="J50" s="698">
        <v>1.542</v>
      </c>
      <c r="K50" s="698">
        <v>1.776</v>
      </c>
      <c r="L50" s="697">
        <v>1.518</v>
      </c>
      <c r="M50" s="699">
        <v>1.8009999999999999</v>
      </c>
      <c r="N50" s="698">
        <v>1.494</v>
      </c>
      <c r="O50" s="698">
        <v>1.827</v>
      </c>
      <c r="P50" s="697">
        <v>1.4690000000000001</v>
      </c>
      <c r="Q50" s="698">
        <v>1.8540000000000001</v>
      </c>
      <c r="R50" s="697">
        <v>1.4450000000000001</v>
      </c>
      <c r="S50" s="699">
        <v>1.881</v>
      </c>
      <c r="T50" s="698">
        <v>1.42</v>
      </c>
      <c r="U50" s="698">
        <v>1.909</v>
      </c>
      <c r="V50" s="697">
        <v>1.395</v>
      </c>
      <c r="W50" s="699">
        <v>1.9370000000000001</v>
      </c>
      <c r="X50" s="698">
        <v>1.369</v>
      </c>
      <c r="Y50" s="698">
        <v>1.966</v>
      </c>
      <c r="Z50" s="697">
        <v>1.3440000000000001</v>
      </c>
      <c r="AA50" s="699">
        <v>1.9950000000000001</v>
      </c>
      <c r="AB50" s="698">
        <v>1.3180000000000001</v>
      </c>
      <c r="AC50" s="698">
        <v>2.0249999999999999</v>
      </c>
      <c r="AD50" s="697">
        <v>1.292</v>
      </c>
      <c r="AE50" s="699">
        <v>2.0550000000000002</v>
      </c>
      <c r="AF50" s="698">
        <v>1.266</v>
      </c>
      <c r="AG50" s="698">
        <v>2.085</v>
      </c>
      <c r="AH50" s="697">
        <v>1.24</v>
      </c>
      <c r="AI50" s="699">
        <v>2.1160000000000001</v>
      </c>
      <c r="AJ50" s="698">
        <v>1.2130000000000001</v>
      </c>
      <c r="AK50" s="698">
        <v>2.1480000000000001</v>
      </c>
      <c r="AL50" s="697">
        <v>1.1870000000000001</v>
      </c>
      <c r="AM50" s="699">
        <v>2.1789999999999998</v>
      </c>
      <c r="AN50" s="698">
        <v>1.1599999999999999</v>
      </c>
      <c r="AO50" s="699">
        <v>2.2109999999999999</v>
      </c>
    </row>
    <row r="51" spans="1:41">
      <c r="A51" s="305">
        <v>95</v>
      </c>
      <c r="B51" s="697">
        <v>1.645</v>
      </c>
      <c r="C51" s="698">
        <v>1.6870000000000001</v>
      </c>
      <c r="D51" s="697">
        <v>1.623</v>
      </c>
      <c r="E51" s="699">
        <v>1.7090000000000001</v>
      </c>
      <c r="F51" s="698">
        <v>1.6020000000000001</v>
      </c>
      <c r="G51" s="698">
        <v>1.732</v>
      </c>
      <c r="H51" s="697">
        <v>1.579</v>
      </c>
      <c r="I51" s="699">
        <v>1.7549999999999999</v>
      </c>
      <c r="J51" s="698">
        <v>1.5569999999999999</v>
      </c>
      <c r="K51" s="698">
        <v>1.778</v>
      </c>
      <c r="L51" s="697">
        <v>1.5349999999999999</v>
      </c>
      <c r="M51" s="699">
        <v>1.802</v>
      </c>
      <c r="N51" s="698">
        <v>1.512</v>
      </c>
      <c r="O51" s="698">
        <v>1.827</v>
      </c>
      <c r="P51" s="697">
        <v>1.4890000000000001</v>
      </c>
      <c r="Q51" s="698">
        <v>1.8520000000000001</v>
      </c>
      <c r="R51" s="697">
        <v>1.4650000000000001</v>
      </c>
      <c r="S51" s="699">
        <v>1.877</v>
      </c>
      <c r="T51" s="698">
        <v>1.4419999999999999</v>
      </c>
      <c r="U51" s="698">
        <v>1.903</v>
      </c>
      <c r="V51" s="697">
        <v>1.4179999999999999</v>
      </c>
      <c r="W51" s="699">
        <v>1.93</v>
      </c>
      <c r="X51" s="698">
        <v>1.3939999999999999</v>
      </c>
      <c r="Y51" s="698">
        <v>1.956</v>
      </c>
      <c r="Z51" s="697">
        <v>1.37</v>
      </c>
      <c r="AA51" s="699">
        <v>1.984</v>
      </c>
      <c r="AB51" s="698">
        <v>1.345</v>
      </c>
      <c r="AC51" s="698">
        <v>2.012</v>
      </c>
      <c r="AD51" s="697">
        <v>1.321</v>
      </c>
      <c r="AE51" s="699">
        <v>2.04</v>
      </c>
      <c r="AF51" s="698">
        <v>1.296</v>
      </c>
      <c r="AG51" s="698">
        <v>2.0680000000000001</v>
      </c>
      <c r="AH51" s="697">
        <v>1.2709999999999999</v>
      </c>
      <c r="AI51" s="699">
        <v>2.097</v>
      </c>
      <c r="AJ51" s="698">
        <v>1.2470000000000001</v>
      </c>
      <c r="AK51" s="698">
        <v>2.1259999999999999</v>
      </c>
      <c r="AL51" s="697">
        <v>1.222</v>
      </c>
      <c r="AM51" s="699">
        <v>2.1560000000000001</v>
      </c>
      <c r="AN51" s="698">
        <v>1.1970000000000001</v>
      </c>
      <c r="AO51" s="699">
        <v>2.1859999999999999</v>
      </c>
    </row>
    <row r="52" spans="1:41">
      <c r="A52" s="305">
        <v>100</v>
      </c>
      <c r="B52" s="697">
        <v>1.6539999999999999</v>
      </c>
      <c r="C52" s="698">
        <v>1.694</v>
      </c>
      <c r="D52" s="697">
        <v>1.6339999999999999</v>
      </c>
      <c r="E52" s="699">
        <v>1.7150000000000001</v>
      </c>
      <c r="F52" s="698">
        <v>1.613</v>
      </c>
      <c r="G52" s="698">
        <v>1.736</v>
      </c>
      <c r="H52" s="697">
        <v>1.5920000000000001</v>
      </c>
      <c r="I52" s="699">
        <v>1.758</v>
      </c>
      <c r="J52" s="698">
        <v>1.571</v>
      </c>
      <c r="K52" s="698">
        <v>1.78</v>
      </c>
      <c r="L52" s="697">
        <v>1.55</v>
      </c>
      <c r="M52" s="699">
        <v>1.8029999999999999</v>
      </c>
      <c r="N52" s="698">
        <v>1.528</v>
      </c>
      <c r="O52" s="698">
        <v>1.8260000000000001</v>
      </c>
      <c r="P52" s="697">
        <v>1.506</v>
      </c>
      <c r="Q52" s="698">
        <v>1.85</v>
      </c>
      <c r="R52" s="697">
        <v>1.484</v>
      </c>
      <c r="S52" s="699">
        <v>1.8740000000000001</v>
      </c>
      <c r="T52" s="698">
        <v>1.462</v>
      </c>
      <c r="U52" s="698">
        <v>1.8979999999999999</v>
      </c>
      <c r="V52" s="697">
        <v>1.4390000000000001</v>
      </c>
      <c r="W52" s="699">
        <v>1.923</v>
      </c>
      <c r="X52" s="698">
        <v>1.4159999999999999</v>
      </c>
      <c r="Y52" s="698">
        <v>1.948</v>
      </c>
      <c r="Z52" s="697">
        <v>1.393</v>
      </c>
      <c r="AA52" s="699">
        <v>1.974</v>
      </c>
      <c r="AB52" s="698">
        <v>1.371</v>
      </c>
      <c r="AC52" s="698">
        <v>2</v>
      </c>
      <c r="AD52" s="697">
        <v>1.347</v>
      </c>
      <c r="AE52" s="699">
        <v>2.0259999999999998</v>
      </c>
      <c r="AF52" s="698">
        <v>1.3240000000000001</v>
      </c>
      <c r="AG52" s="698">
        <v>2.0529999999999999</v>
      </c>
      <c r="AH52" s="697">
        <v>1.3009999999999999</v>
      </c>
      <c r="AI52" s="699">
        <v>2.08</v>
      </c>
      <c r="AJ52" s="698">
        <v>1.2769999999999999</v>
      </c>
      <c r="AK52" s="698">
        <v>2.1080000000000001</v>
      </c>
      <c r="AL52" s="697">
        <v>1.2529999999999999</v>
      </c>
      <c r="AM52" s="699">
        <v>2.1349999999999998</v>
      </c>
      <c r="AN52" s="698">
        <v>1.2290000000000001</v>
      </c>
      <c r="AO52" s="699">
        <v>2.1640000000000001</v>
      </c>
    </row>
    <row r="53" spans="1:41">
      <c r="A53" s="305">
        <v>150</v>
      </c>
      <c r="B53" s="697">
        <v>1.72</v>
      </c>
      <c r="C53" s="698">
        <v>1.7470000000000001</v>
      </c>
      <c r="D53" s="697">
        <v>1.706</v>
      </c>
      <c r="E53" s="699">
        <v>1.76</v>
      </c>
      <c r="F53" s="698">
        <v>1.6930000000000001</v>
      </c>
      <c r="G53" s="698">
        <v>1.774</v>
      </c>
      <c r="H53" s="697">
        <v>1.679</v>
      </c>
      <c r="I53" s="699">
        <v>1.788</v>
      </c>
      <c r="J53" s="698">
        <v>1.665</v>
      </c>
      <c r="K53" s="698">
        <v>1.802</v>
      </c>
      <c r="L53" s="697">
        <v>1.651</v>
      </c>
      <c r="M53" s="699">
        <v>1.8169999999999999</v>
      </c>
      <c r="N53" s="698">
        <v>1.637</v>
      </c>
      <c r="O53" s="698">
        <v>1.8320000000000001</v>
      </c>
      <c r="P53" s="697">
        <v>1.6220000000000001</v>
      </c>
      <c r="Q53" s="698">
        <v>1.8460000000000001</v>
      </c>
      <c r="R53" s="697">
        <v>1.6080000000000001</v>
      </c>
      <c r="S53" s="699">
        <v>1.8620000000000001</v>
      </c>
      <c r="T53" s="698">
        <v>1.593</v>
      </c>
      <c r="U53" s="698">
        <v>1.877</v>
      </c>
      <c r="V53" s="697">
        <v>1.579</v>
      </c>
      <c r="W53" s="699">
        <v>1.8919999999999999</v>
      </c>
      <c r="X53" s="698">
        <v>1.5640000000000001</v>
      </c>
      <c r="Y53" s="698">
        <v>1.9079999999999999</v>
      </c>
      <c r="Z53" s="697">
        <v>1.55</v>
      </c>
      <c r="AA53" s="699">
        <v>1.9239999999999999</v>
      </c>
      <c r="AB53" s="698">
        <v>1.5349999999999999</v>
      </c>
      <c r="AC53" s="698">
        <v>1.94</v>
      </c>
      <c r="AD53" s="697">
        <v>1.5189999999999999</v>
      </c>
      <c r="AE53" s="699">
        <v>1.956</v>
      </c>
      <c r="AF53" s="698">
        <v>1.504</v>
      </c>
      <c r="AG53" s="698">
        <v>1.972</v>
      </c>
      <c r="AH53" s="697">
        <v>1.4890000000000001</v>
      </c>
      <c r="AI53" s="699">
        <v>1.9890000000000001</v>
      </c>
      <c r="AJ53" s="698">
        <v>1.474</v>
      </c>
      <c r="AK53" s="698">
        <v>2.0059999999999998</v>
      </c>
      <c r="AL53" s="697">
        <v>1.458</v>
      </c>
      <c r="AM53" s="699">
        <v>2.0230000000000001</v>
      </c>
      <c r="AN53" s="698">
        <v>1.4430000000000001</v>
      </c>
      <c r="AO53" s="699">
        <v>2.04</v>
      </c>
    </row>
    <row r="54" spans="1:41">
      <c r="A54" s="304">
        <v>200</v>
      </c>
      <c r="B54" s="700">
        <v>1.758</v>
      </c>
      <c r="C54" s="701">
        <v>1.7789999999999999</v>
      </c>
      <c r="D54" s="700">
        <v>1.748</v>
      </c>
      <c r="E54" s="702">
        <v>1.7889999999999999</v>
      </c>
      <c r="F54" s="701">
        <v>1.738</v>
      </c>
      <c r="G54" s="701">
        <v>1.7989999999999999</v>
      </c>
      <c r="H54" s="700">
        <v>1.728</v>
      </c>
      <c r="I54" s="702">
        <v>1.8089999999999999</v>
      </c>
      <c r="J54" s="701">
        <v>1.718</v>
      </c>
      <c r="K54" s="701">
        <v>1.82</v>
      </c>
      <c r="L54" s="700">
        <v>1.7070000000000001</v>
      </c>
      <c r="M54" s="702">
        <v>1.831</v>
      </c>
      <c r="N54" s="701">
        <v>1.6970000000000001</v>
      </c>
      <c r="O54" s="701">
        <v>1.841</v>
      </c>
      <c r="P54" s="700">
        <v>1.6859999999999999</v>
      </c>
      <c r="Q54" s="701">
        <v>1.8520000000000001</v>
      </c>
      <c r="R54" s="700">
        <v>1.675</v>
      </c>
      <c r="S54" s="702">
        <v>1.863</v>
      </c>
      <c r="T54" s="701">
        <v>1.665</v>
      </c>
      <c r="U54" s="701">
        <v>1.8740000000000001</v>
      </c>
      <c r="V54" s="700">
        <v>1.6539999999999999</v>
      </c>
      <c r="W54" s="702">
        <v>1.885</v>
      </c>
      <c r="X54" s="701">
        <v>1.643</v>
      </c>
      <c r="Y54" s="701">
        <v>1.8959999999999999</v>
      </c>
      <c r="Z54" s="700">
        <v>1.6319999999999999</v>
      </c>
      <c r="AA54" s="702">
        <v>1.9079999999999999</v>
      </c>
      <c r="AB54" s="701">
        <v>1.621</v>
      </c>
      <c r="AC54" s="701">
        <v>1.919</v>
      </c>
      <c r="AD54" s="700">
        <v>1.61</v>
      </c>
      <c r="AE54" s="702">
        <v>1.931</v>
      </c>
      <c r="AF54" s="701">
        <v>1.599</v>
      </c>
      <c r="AG54" s="701">
        <v>1.9430000000000001</v>
      </c>
      <c r="AH54" s="700">
        <v>1.5880000000000001</v>
      </c>
      <c r="AI54" s="702">
        <v>1.9550000000000001</v>
      </c>
      <c r="AJ54" s="701">
        <v>1.5760000000000001</v>
      </c>
      <c r="AK54" s="701">
        <v>1.9670000000000001</v>
      </c>
      <c r="AL54" s="700">
        <v>1.5649999999999999</v>
      </c>
      <c r="AM54" s="702">
        <v>1.9790000000000001</v>
      </c>
      <c r="AN54" s="701">
        <v>1.554</v>
      </c>
      <c r="AO54" s="702">
        <v>1.9910000000000001</v>
      </c>
    </row>
  </sheetData>
  <mergeCells count="20">
    <mergeCell ref="X5:Y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L5:AM5"/>
    <mergeCell ref="AN5:AO5"/>
    <mergeCell ref="Z5:AA5"/>
    <mergeCell ref="AB5:AC5"/>
    <mergeCell ref="AD5:AE5"/>
    <mergeCell ref="AF5:AG5"/>
    <mergeCell ref="AH5:AI5"/>
    <mergeCell ref="AJ5:A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107</vt:i4>
      </vt:variant>
    </vt:vector>
  </HeadingPairs>
  <TitlesOfParts>
    <vt:vector size="107" baseType="lpstr">
      <vt:lpstr>TOC0</vt:lpstr>
      <vt:lpstr>TOC</vt:lpstr>
      <vt:lpstr>Reg 1</vt:lpstr>
      <vt:lpstr>Reg 2</vt:lpstr>
      <vt:lpstr>Reg 3</vt:lpstr>
      <vt:lpstr>Reg 4</vt:lpstr>
      <vt:lpstr>Reg 5</vt:lpstr>
      <vt:lpstr>Reg 6</vt:lpstr>
      <vt:lpstr>Reg 7</vt:lpstr>
      <vt:lpstr>Exp Reg</vt:lpstr>
      <vt:lpstr>Exp Reg1</vt:lpstr>
      <vt:lpstr>Exp Reg2</vt:lpstr>
      <vt:lpstr>Exp Reg3</vt:lpstr>
      <vt:lpstr>Exp Reg4</vt:lpstr>
      <vt:lpstr>Exp Reg5</vt:lpstr>
      <vt:lpstr>Pow Reg</vt:lpstr>
      <vt:lpstr>Reg T 1</vt:lpstr>
      <vt:lpstr>Reg T 1A</vt:lpstr>
      <vt:lpstr>Reg T 2</vt:lpstr>
      <vt:lpstr>Reg T 2A</vt:lpstr>
      <vt:lpstr>TReg</vt:lpstr>
      <vt:lpstr>Dem 1</vt:lpstr>
      <vt:lpstr>Dem 2</vt:lpstr>
      <vt:lpstr>Dem 3</vt:lpstr>
      <vt:lpstr>Dem 4</vt:lpstr>
      <vt:lpstr>Dem 5</vt:lpstr>
      <vt:lpstr>Dem 6</vt:lpstr>
      <vt:lpstr>Mult Reg 1</vt:lpstr>
      <vt:lpstr>Mult Reg 2</vt:lpstr>
      <vt:lpstr>Mult Reg 2A</vt:lpstr>
      <vt:lpstr>Mult Reg 2B</vt:lpstr>
      <vt:lpstr>Mult Reg 3</vt:lpstr>
      <vt:lpstr>Mult Reg 4</vt:lpstr>
      <vt:lpstr>Mult Reg 4A</vt:lpstr>
      <vt:lpstr>Mult Reg 5</vt:lpstr>
      <vt:lpstr>Mult Reg 5A</vt:lpstr>
      <vt:lpstr>Mult Reg 5B</vt:lpstr>
      <vt:lpstr>Mult Reg 5C</vt:lpstr>
      <vt:lpstr>Mult Reg 6</vt:lpstr>
      <vt:lpstr>Mult Reg 6A</vt:lpstr>
      <vt:lpstr>Mult Reg 6B</vt:lpstr>
      <vt:lpstr>Mult Reg 6C</vt:lpstr>
      <vt:lpstr>Mult Reg 7</vt:lpstr>
      <vt:lpstr>Mult Reg 8</vt:lpstr>
      <vt:lpstr>Mult Reg 8a</vt:lpstr>
      <vt:lpstr>Stepwise 1</vt:lpstr>
      <vt:lpstr>Stepwise 2</vt:lpstr>
      <vt:lpstr>Season</vt:lpstr>
      <vt:lpstr>Shapely</vt:lpstr>
      <vt:lpstr>MCorr</vt:lpstr>
      <vt:lpstr>Mult Reg Pow</vt:lpstr>
      <vt:lpstr>Mult Reg Pow 1</vt:lpstr>
      <vt:lpstr>Mult Reg Pow 2</vt:lpstr>
      <vt:lpstr>Poly Reg</vt:lpstr>
      <vt:lpstr>Poly Reg 1</vt:lpstr>
      <vt:lpstr>Poly Reg 2</vt:lpstr>
      <vt:lpstr>Poly Reg 3</vt:lpstr>
      <vt:lpstr>Poly Reg 4</vt:lpstr>
      <vt:lpstr>Log Reg</vt:lpstr>
      <vt:lpstr>Interaction Reg</vt:lpstr>
      <vt:lpstr>LAD 1</vt:lpstr>
      <vt:lpstr>LAD 2</vt:lpstr>
      <vt:lpstr>LAD 3</vt:lpstr>
      <vt:lpstr>LAD 4</vt:lpstr>
      <vt:lpstr>LAD 5</vt:lpstr>
      <vt:lpstr>TLS Reg</vt:lpstr>
      <vt:lpstr>Reg Anova 1</vt:lpstr>
      <vt:lpstr>Reg Anova 2</vt:lpstr>
      <vt:lpstr>Reg Anova 3</vt:lpstr>
      <vt:lpstr>Reg Anova 4</vt:lpstr>
      <vt:lpstr>Reg Anova 5</vt:lpstr>
      <vt:lpstr>Reg An3.1</vt:lpstr>
      <vt:lpstr>Reg An3.2</vt:lpstr>
      <vt:lpstr>ANOVA Match 2.5</vt:lpstr>
      <vt:lpstr>ANOVA Match 2.5A</vt:lpstr>
      <vt:lpstr>ANOVA Match 2.5B</vt:lpstr>
      <vt:lpstr>Res 1</vt:lpstr>
      <vt:lpstr>Res 2</vt:lpstr>
      <vt:lpstr>Res 3</vt:lpstr>
      <vt:lpstr>Cooks 1</vt:lpstr>
      <vt:lpstr>Cooks 2</vt:lpstr>
      <vt:lpstr>Cooks 3</vt:lpstr>
      <vt:lpstr>Reg No Const</vt:lpstr>
      <vt:lpstr>Reg No Const 1</vt:lpstr>
      <vt:lpstr>WReg A</vt:lpstr>
      <vt:lpstr>WReg B</vt:lpstr>
      <vt:lpstr>WReg C</vt:lpstr>
      <vt:lpstr>WReg D</vt:lpstr>
      <vt:lpstr>WReg E</vt:lpstr>
      <vt:lpstr> WReg B0</vt:lpstr>
      <vt:lpstr>WReg0</vt:lpstr>
      <vt:lpstr>Robust</vt:lpstr>
      <vt:lpstr>Autocorr</vt:lpstr>
      <vt:lpstr>Runs</vt:lpstr>
      <vt:lpstr>Durbin</vt:lpstr>
      <vt:lpstr>BG</vt:lpstr>
      <vt:lpstr>OC</vt:lpstr>
      <vt:lpstr>Newey</vt:lpstr>
      <vt:lpstr>Collinearity</vt:lpstr>
      <vt:lpstr>VIF</vt:lpstr>
      <vt:lpstr>Ridge 1</vt:lpstr>
      <vt:lpstr>Ridge 2</vt:lpstr>
      <vt:lpstr>Ridge 3</vt:lpstr>
      <vt:lpstr>LASSO</vt:lpstr>
      <vt:lpstr>Med</vt:lpstr>
      <vt:lpstr>DW Table 1</vt:lpstr>
      <vt:lpstr>DW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user</cp:lastModifiedBy>
  <cp:lastPrinted>2015-05-22T15:20:10Z</cp:lastPrinted>
  <dcterms:created xsi:type="dcterms:W3CDTF">2011-12-03T11:22:59Z</dcterms:created>
  <dcterms:modified xsi:type="dcterms:W3CDTF">2018-10-29T12:24:41Z</dcterms:modified>
</cp:coreProperties>
</file>